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hidePivotFieldList="1" defaultThemeVersion="166925"/>
  <mc:AlternateContent xmlns:mc="http://schemas.openxmlformats.org/markup-compatibility/2006">
    <mc:Choice Requires="x15">
      <x15ac:absPath xmlns:x15ac="http://schemas.microsoft.com/office/spreadsheetml/2010/11/ac" url="G:\Drive\Pythonprojects\Haushaltsbuch\"/>
    </mc:Choice>
  </mc:AlternateContent>
  <xr:revisionPtr revIDLastSave="0" documentId="13_ncr:1_{F6A16F34-B9DD-4B6B-890A-1B743AB6DE1E}" xr6:coauthVersionLast="47" xr6:coauthVersionMax="47" xr10:uidLastSave="{00000000-0000-0000-0000-000000000000}"/>
  <bookViews>
    <workbookView showHorizontalScroll="0" showVerticalScroll="0" showSheetTabs="0" xWindow="-120" yWindow="-120" windowWidth="29040" windowHeight="15840" activeTab="2" xr2:uid="{82431156-0275-4BCB-A8D7-35315C21DF17}"/>
  </bookViews>
  <sheets>
    <sheet name="Data" sheetId="2" r:id="rId1"/>
    <sheet name="Analyse" sheetId="4" r:id="rId2"/>
    <sheet name="Dashboard" sheetId="5" r:id="rId3"/>
    <sheet name="Anzeige" sheetId="22" r:id="rId4"/>
    <sheet name="Vergleich" sheetId="25" r:id="rId5"/>
    <sheet name="Ver_Anzeige" sheetId="26" r:id="rId6"/>
    <sheet name="Durchschnitt" sheetId="24" r:id="rId7"/>
    <sheet name="Pfade" sheetId="27" r:id="rId8"/>
  </sheets>
  <functionGroups builtInGroupCount="19"/>
  <definedNames>
    <definedName name="Datenschnitt_Jahr">#N/A</definedName>
    <definedName name="Datenschnitt_Jahr1">#N/A</definedName>
    <definedName name="Datenschnitt_Jahr2">#N/A</definedName>
    <definedName name="Datenschnitt_Monat">#N/A</definedName>
    <definedName name="Datenschnitt_Monat1">#N/A</definedName>
    <definedName name="Datenschnitt_Monat2">#N/A</definedName>
    <definedName name="ExterneDaten_1" localSheetId="0" hidden="1">Data!$A$1:$G$2923</definedName>
  </definedNames>
  <calcPr calcId="181029"/>
  <pivotCaches>
    <pivotCache cacheId="894"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1912"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1936" i="2"/>
  <c r="I1937" i="2"/>
  <c r="I1938" i="2"/>
  <c r="I1939" i="2"/>
  <c r="I1940" i="2"/>
  <c r="I1941" i="2"/>
  <c r="I1942" i="2"/>
  <c r="I1943" i="2"/>
  <c r="I1944" i="2"/>
  <c r="I1945" i="2"/>
  <c r="I1946" i="2"/>
  <c r="I1947" i="2"/>
  <c r="I1948" i="2"/>
  <c r="I1949" i="2"/>
  <c r="I1950" i="2"/>
  <c r="I1951" i="2"/>
  <c r="I1952" i="2"/>
  <c r="I1953" i="2"/>
  <c r="I1954" i="2"/>
  <c r="I1955" i="2"/>
  <c r="I1956" i="2"/>
  <c r="I1957" i="2"/>
  <c r="I1958" i="2"/>
  <c r="I1959" i="2"/>
  <c r="I1960" i="2"/>
  <c r="I1961" i="2"/>
  <c r="I1962" i="2"/>
  <c r="I1963" i="2"/>
  <c r="I1964" i="2"/>
  <c r="I1965" i="2"/>
  <c r="I1966" i="2"/>
  <c r="I1967" i="2"/>
  <c r="I1968" i="2"/>
  <c r="I1969" i="2"/>
  <c r="I1970" i="2"/>
  <c r="I1971" i="2"/>
  <c r="I1972" i="2"/>
  <c r="I1973" i="2"/>
  <c r="I1974" i="2"/>
  <c r="I1975" i="2"/>
  <c r="I1976" i="2"/>
  <c r="I1977" i="2"/>
  <c r="I1978" i="2"/>
  <c r="I1979" i="2"/>
  <c r="I1980" i="2"/>
  <c r="I1981" i="2"/>
  <c r="I1982" i="2"/>
  <c r="I1983" i="2"/>
  <c r="I1984" i="2"/>
  <c r="I1985" i="2"/>
  <c r="I1986" i="2"/>
  <c r="I1987" i="2"/>
  <c r="I1988" i="2"/>
  <c r="I1989" i="2"/>
  <c r="I1990" i="2"/>
  <c r="I1991" i="2"/>
  <c r="I1992" i="2"/>
  <c r="I1993" i="2"/>
  <c r="I1994" i="2"/>
  <c r="I1995" i="2"/>
  <c r="I1996" i="2"/>
  <c r="I1997" i="2"/>
  <c r="I1998" i="2"/>
  <c r="I1999" i="2"/>
  <c r="I2000" i="2"/>
  <c r="I2001" i="2"/>
  <c r="I2002" i="2"/>
  <c r="I2003" i="2"/>
  <c r="I2004" i="2"/>
  <c r="I2005" i="2"/>
  <c r="I2006" i="2"/>
  <c r="I2007" i="2"/>
  <c r="I2008" i="2"/>
  <c r="I2009" i="2"/>
  <c r="I2010" i="2"/>
  <c r="I2011" i="2"/>
  <c r="I2012" i="2"/>
  <c r="I2013" i="2"/>
  <c r="I2014" i="2"/>
  <c r="I2015" i="2"/>
  <c r="I2016" i="2"/>
  <c r="I2017" i="2"/>
  <c r="I2018" i="2"/>
  <c r="I2019" i="2"/>
  <c r="I2020" i="2"/>
  <c r="I2021" i="2"/>
  <c r="I2022" i="2"/>
  <c r="I2023" i="2"/>
  <c r="I2024" i="2"/>
  <c r="I2025" i="2"/>
  <c r="I2026" i="2"/>
  <c r="I2027" i="2"/>
  <c r="I2028" i="2"/>
  <c r="I2029" i="2"/>
  <c r="I2030" i="2"/>
  <c r="I2031" i="2"/>
  <c r="I2032" i="2"/>
  <c r="I2033" i="2"/>
  <c r="I2034" i="2"/>
  <c r="I2035" i="2"/>
  <c r="I2036" i="2"/>
  <c r="I2037" i="2"/>
  <c r="I2038" i="2"/>
  <c r="I2039" i="2"/>
  <c r="I2040" i="2"/>
  <c r="I2041" i="2"/>
  <c r="I2042" i="2"/>
  <c r="I2043" i="2"/>
  <c r="I2044" i="2"/>
  <c r="I2045" i="2"/>
  <c r="I2046" i="2"/>
  <c r="I2047" i="2"/>
  <c r="I2048" i="2"/>
  <c r="I2049" i="2"/>
  <c r="I2050" i="2"/>
  <c r="I2051" i="2"/>
  <c r="I2052" i="2"/>
  <c r="I2053" i="2"/>
  <c r="I2054" i="2"/>
  <c r="I2055" i="2"/>
  <c r="I2056" i="2"/>
  <c r="I2057" i="2"/>
  <c r="I2058" i="2"/>
  <c r="I2059" i="2"/>
  <c r="I2060" i="2"/>
  <c r="I2061" i="2"/>
  <c r="I2062" i="2"/>
  <c r="I2063" i="2"/>
  <c r="I2064" i="2"/>
  <c r="I2065" i="2"/>
  <c r="I2066" i="2"/>
  <c r="I2067" i="2"/>
  <c r="I2068" i="2"/>
  <c r="I2069" i="2"/>
  <c r="I2070" i="2"/>
  <c r="I2071" i="2"/>
  <c r="I2072" i="2"/>
  <c r="I2073" i="2"/>
  <c r="I2074" i="2"/>
  <c r="I2075" i="2"/>
  <c r="I2076" i="2"/>
  <c r="I2077" i="2"/>
  <c r="I2078" i="2"/>
  <c r="I2079" i="2"/>
  <c r="I2080" i="2"/>
  <c r="I2081" i="2"/>
  <c r="I2082" i="2"/>
  <c r="I2083" i="2"/>
  <c r="I2084" i="2"/>
  <c r="I2085" i="2"/>
  <c r="I2086" i="2"/>
  <c r="I2087" i="2"/>
  <c r="I2088" i="2"/>
  <c r="I2089" i="2"/>
  <c r="I2090" i="2"/>
  <c r="I2091" i="2"/>
  <c r="I2092" i="2"/>
  <c r="I2093" i="2"/>
  <c r="I2094" i="2"/>
  <c r="I2095" i="2"/>
  <c r="I2096" i="2"/>
  <c r="I2097" i="2"/>
  <c r="I2098" i="2"/>
  <c r="I2099" i="2"/>
  <c r="I2100" i="2"/>
  <c r="I2101" i="2"/>
  <c r="I2102" i="2"/>
  <c r="I2103" i="2"/>
  <c r="I2104" i="2"/>
  <c r="I2105" i="2"/>
  <c r="I2106" i="2"/>
  <c r="I2107" i="2"/>
  <c r="I2108" i="2"/>
  <c r="I2109" i="2"/>
  <c r="I2110" i="2"/>
  <c r="I2111" i="2"/>
  <c r="I2112" i="2"/>
  <c r="I2113" i="2"/>
  <c r="I2114" i="2"/>
  <c r="I2115" i="2"/>
  <c r="I2116" i="2"/>
  <c r="I2117" i="2"/>
  <c r="I2118" i="2"/>
  <c r="I2119" i="2"/>
  <c r="I2120" i="2"/>
  <c r="I2121" i="2"/>
  <c r="I2122" i="2"/>
  <c r="I2123" i="2"/>
  <c r="I2124" i="2"/>
  <c r="I2125" i="2"/>
  <c r="I2126" i="2"/>
  <c r="I2127" i="2"/>
  <c r="I2128" i="2"/>
  <c r="I2129" i="2"/>
  <c r="I2130" i="2"/>
  <c r="I2131" i="2"/>
  <c r="I2132" i="2"/>
  <c r="I2133" i="2"/>
  <c r="I2134" i="2"/>
  <c r="I2135" i="2"/>
  <c r="I2136" i="2"/>
  <c r="I2137" i="2"/>
  <c r="I2138" i="2"/>
  <c r="I2139" i="2"/>
  <c r="I2140" i="2"/>
  <c r="I2141" i="2"/>
  <c r="I2142" i="2"/>
  <c r="I2143" i="2"/>
  <c r="I2144" i="2"/>
  <c r="I2145" i="2"/>
  <c r="I2146" i="2"/>
  <c r="I2147" i="2"/>
  <c r="I2148" i="2"/>
  <c r="I2149" i="2"/>
  <c r="I2150" i="2"/>
  <c r="I2151" i="2"/>
  <c r="I2152" i="2"/>
  <c r="I2153" i="2"/>
  <c r="I2154" i="2"/>
  <c r="I2155" i="2"/>
  <c r="I2156" i="2"/>
  <c r="I2157" i="2"/>
  <c r="I2158" i="2"/>
  <c r="I2159" i="2"/>
  <c r="I2160" i="2"/>
  <c r="I2161" i="2"/>
  <c r="I2162" i="2"/>
  <c r="I2163" i="2"/>
  <c r="I2164" i="2"/>
  <c r="I2165" i="2"/>
  <c r="I2166" i="2"/>
  <c r="I2167" i="2"/>
  <c r="I2168" i="2"/>
  <c r="I2169" i="2"/>
  <c r="I2170" i="2"/>
  <c r="I2171" i="2"/>
  <c r="I2172" i="2"/>
  <c r="I2173" i="2"/>
  <c r="I2174" i="2"/>
  <c r="I2175" i="2"/>
  <c r="I2176" i="2"/>
  <c r="I2177" i="2"/>
  <c r="I2178" i="2"/>
  <c r="I2179" i="2"/>
  <c r="I2180" i="2"/>
  <c r="I2181" i="2"/>
  <c r="I2182" i="2"/>
  <c r="I2183" i="2"/>
  <c r="I2184" i="2"/>
  <c r="I2185" i="2"/>
  <c r="I2186" i="2"/>
  <c r="I2187" i="2"/>
  <c r="I2188" i="2"/>
  <c r="I2189" i="2"/>
  <c r="I2190" i="2"/>
  <c r="I2191" i="2"/>
  <c r="I2192" i="2"/>
  <c r="I2193" i="2"/>
  <c r="I2194" i="2"/>
  <c r="I2195" i="2"/>
  <c r="I2196" i="2"/>
  <c r="I2197" i="2"/>
  <c r="I2198" i="2"/>
  <c r="I2199" i="2"/>
  <c r="I2200" i="2"/>
  <c r="I2201" i="2"/>
  <c r="I2202" i="2"/>
  <c r="I2203" i="2"/>
  <c r="I2204" i="2"/>
  <c r="I2205" i="2"/>
  <c r="I2206" i="2"/>
  <c r="I2207" i="2"/>
  <c r="I2208" i="2"/>
  <c r="I2209" i="2"/>
  <c r="I2210" i="2"/>
  <c r="I2211" i="2"/>
  <c r="I2212" i="2"/>
  <c r="I2213" i="2"/>
  <c r="I2214" i="2"/>
  <c r="I2215" i="2"/>
  <c r="I2216" i="2"/>
  <c r="I2217" i="2"/>
  <c r="I2218" i="2"/>
  <c r="I2219" i="2"/>
  <c r="I2220" i="2"/>
  <c r="I2221" i="2"/>
  <c r="I2222" i="2"/>
  <c r="I2223" i="2"/>
  <c r="I2224" i="2"/>
  <c r="I2225" i="2"/>
  <c r="I2226" i="2"/>
  <c r="I2227" i="2"/>
  <c r="I2228" i="2"/>
  <c r="I2229" i="2"/>
  <c r="I2230" i="2"/>
  <c r="I2231" i="2"/>
  <c r="I2232" i="2"/>
  <c r="I2233" i="2"/>
  <c r="I2234" i="2"/>
  <c r="I2235" i="2"/>
  <c r="I2236" i="2"/>
  <c r="I2237" i="2"/>
  <c r="I2238" i="2"/>
  <c r="I2239" i="2"/>
  <c r="I2240" i="2"/>
  <c r="I2241" i="2"/>
  <c r="I2242" i="2"/>
  <c r="I2243" i="2"/>
  <c r="I2244" i="2"/>
  <c r="I2245" i="2"/>
  <c r="I2246" i="2"/>
  <c r="I2247" i="2"/>
  <c r="I2248" i="2"/>
  <c r="I2249" i="2"/>
  <c r="I2250" i="2"/>
  <c r="I2251" i="2"/>
  <c r="I2252" i="2"/>
  <c r="I2253" i="2"/>
  <c r="I2254" i="2"/>
  <c r="I2255" i="2"/>
  <c r="I2256" i="2"/>
  <c r="I2257" i="2"/>
  <c r="I2258" i="2"/>
  <c r="I2259" i="2"/>
  <c r="I2260" i="2"/>
  <c r="I2261" i="2"/>
  <c r="I2262" i="2"/>
  <c r="I2263" i="2"/>
  <c r="I2264" i="2"/>
  <c r="I2265" i="2"/>
  <c r="I2266" i="2"/>
  <c r="I2267" i="2"/>
  <c r="I2268" i="2"/>
  <c r="I2269" i="2"/>
  <c r="I2270" i="2"/>
  <c r="I2271" i="2"/>
  <c r="I2272" i="2"/>
  <c r="I2273" i="2"/>
  <c r="I2274" i="2"/>
  <c r="I2275" i="2"/>
  <c r="I2276" i="2"/>
  <c r="I2277" i="2"/>
  <c r="I2278" i="2"/>
  <c r="I2279" i="2"/>
  <c r="I2280" i="2"/>
  <c r="I2281" i="2"/>
  <c r="I2282" i="2"/>
  <c r="I2283" i="2"/>
  <c r="I2284" i="2"/>
  <c r="I2285" i="2"/>
  <c r="I2286" i="2"/>
  <c r="I2287" i="2"/>
  <c r="I2288" i="2"/>
  <c r="I2289" i="2"/>
  <c r="I2290" i="2"/>
  <c r="I2291" i="2"/>
  <c r="I2292" i="2"/>
  <c r="I2293" i="2"/>
  <c r="I2294" i="2"/>
  <c r="I2295" i="2"/>
  <c r="I2296" i="2"/>
  <c r="I2297" i="2"/>
  <c r="I2298" i="2"/>
  <c r="I2299" i="2"/>
  <c r="I2300" i="2"/>
  <c r="I2301" i="2"/>
  <c r="I2302" i="2"/>
  <c r="I2303" i="2"/>
  <c r="I2304" i="2"/>
  <c r="I2305" i="2"/>
  <c r="I2306" i="2"/>
  <c r="I2307" i="2"/>
  <c r="I2308" i="2"/>
  <c r="I2309" i="2"/>
  <c r="I2310" i="2"/>
  <c r="I2311" i="2"/>
  <c r="I2312" i="2"/>
  <c r="I2313" i="2"/>
  <c r="I2314" i="2"/>
  <c r="I2315" i="2"/>
  <c r="I2316" i="2"/>
  <c r="I2317" i="2"/>
  <c r="I2318" i="2"/>
  <c r="I2319" i="2"/>
  <c r="I2320" i="2"/>
  <c r="I2321" i="2"/>
  <c r="I2322" i="2"/>
  <c r="I2323" i="2"/>
  <c r="I2324" i="2"/>
  <c r="I2325" i="2"/>
  <c r="I2326" i="2"/>
  <c r="I2327" i="2"/>
  <c r="I2328" i="2"/>
  <c r="I2329" i="2"/>
  <c r="I2330" i="2"/>
  <c r="I2331" i="2"/>
  <c r="I2332" i="2"/>
  <c r="I2333" i="2"/>
  <c r="I2334" i="2"/>
  <c r="I2335" i="2"/>
  <c r="I2336" i="2"/>
  <c r="I2337" i="2"/>
  <c r="I2338" i="2"/>
  <c r="I2339" i="2"/>
  <c r="I2340" i="2"/>
  <c r="I2341" i="2"/>
  <c r="I2342" i="2"/>
  <c r="I2343" i="2"/>
  <c r="I2344" i="2"/>
  <c r="I2345" i="2"/>
  <c r="I2346" i="2"/>
  <c r="I2347" i="2"/>
  <c r="I2348" i="2"/>
  <c r="I2349" i="2"/>
  <c r="I2350" i="2"/>
  <c r="I2351" i="2"/>
  <c r="I2352" i="2"/>
  <c r="I2353" i="2"/>
  <c r="I2354" i="2"/>
  <c r="I2355" i="2"/>
  <c r="I2356" i="2"/>
  <c r="I2357" i="2"/>
  <c r="I2358" i="2"/>
  <c r="I2359" i="2"/>
  <c r="I2360" i="2"/>
  <c r="I2361" i="2"/>
  <c r="I2362" i="2"/>
  <c r="I2363" i="2"/>
  <c r="I2364" i="2"/>
  <c r="I2365" i="2"/>
  <c r="I2366" i="2"/>
  <c r="I2367" i="2"/>
  <c r="I2368" i="2"/>
  <c r="I2369" i="2"/>
  <c r="I2370" i="2"/>
  <c r="I2371" i="2"/>
  <c r="I2372" i="2"/>
  <c r="I2373" i="2"/>
  <c r="I2374" i="2"/>
  <c r="I2375" i="2"/>
  <c r="I2376" i="2"/>
  <c r="I2377" i="2"/>
  <c r="I2378" i="2"/>
  <c r="I2379" i="2"/>
  <c r="I2380" i="2"/>
  <c r="I2381" i="2"/>
  <c r="I2382" i="2"/>
  <c r="I2383" i="2"/>
  <c r="I2384" i="2"/>
  <c r="I2385" i="2"/>
  <c r="I2386" i="2"/>
  <c r="I2387" i="2"/>
  <c r="I2388" i="2"/>
  <c r="I2389" i="2"/>
  <c r="I2390" i="2"/>
  <c r="I2391" i="2"/>
  <c r="I2392" i="2"/>
  <c r="I2393" i="2"/>
  <c r="I2394" i="2"/>
  <c r="I2395" i="2"/>
  <c r="I2396" i="2"/>
  <c r="I2397" i="2"/>
  <c r="I2398" i="2"/>
  <c r="I2399" i="2"/>
  <c r="I2400" i="2"/>
  <c r="I2401" i="2"/>
  <c r="I2402" i="2"/>
  <c r="I2403" i="2"/>
  <c r="I2404" i="2"/>
  <c r="I2405" i="2"/>
  <c r="I2406" i="2"/>
  <c r="I2407" i="2"/>
  <c r="I2408" i="2"/>
  <c r="I2409" i="2"/>
  <c r="I2410" i="2"/>
  <c r="I2411" i="2"/>
  <c r="I2412" i="2"/>
  <c r="I2413" i="2"/>
  <c r="I2414" i="2"/>
  <c r="I2415" i="2"/>
  <c r="I2416" i="2"/>
  <c r="I2417" i="2"/>
  <c r="I2418" i="2"/>
  <c r="I2419" i="2"/>
  <c r="I2420" i="2"/>
  <c r="I2421" i="2"/>
  <c r="I2422" i="2"/>
  <c r="I2423" i="2"/>
  <c r="I2424" i="2"/>
  <c r="I2425" i="2"/>
  <c r="I2426" i="2"/>
  <c r="I2427" i="2"/>
  <c r="I2428" i="2"/>
  <c r="I2429" i="2"/>
  <c r="I2430" i="2"/>
  <c r="I2431" i="2"/>
  <c r="I2432" i="2"/>
  <c r="I2433" i="2"/>
  <c r="I2434" i="2"/>
  <c r="I2435" i="2"/>
  <c r="I2436" i="2"/>
  <c r="I2437" i="2"/>
  <c r="I2438" i="2"/>
  <c r="I2439" i="2"/>
  <c r="I2440" i="2"/>
  <c r="I2441" i="2"/>
  <c r="I2442" i="2"/>
  <c r="I2443" i="2"/>
  <c r="I2444" i="2"/>
  <c r="I2445" i="2"/>
  <c r="I2446" i="2"/>
  <c r="I2447" i="2"/>
  <c r="I2448" i="2"/>
  <c r="I2449" i="2"/>
  <c r="I2450" i="2"/>
  <c r="I2451" i="2"/>
  <c r="I2452" i="2"/>
  <c r="I2453" i="2"/>
  <c r="I2454" i="2"/>
  <c r="I2455" i="2"/>
  <c r="I2456" i="2"/>
  <c r="I2457" i="2"/>
  <c r="I2458" i="2"/>
  <c r="I2459" i="2"/>
  <c r="I2460" i="2"/>
  <c r="I2461" i="2"/>
  <c r="I2462" i="2"/>
  <c r="I2463" i="2"/>
  <c r="I2464" i="2"/>
  <c r="I2465" i="2"/>
  <c r="I2466" i="2"/>
  <c r="I2467" i="2"/>
  <c r="I2468" i="2"/>
  <c r="I2469" i="2"/>
  <c r="I2470" i="2"/>
  <c r="I2471" i="2"/>
  <c r="I2472" i="2"/>
  <c r="I2473" i="2"/>
  <c r="I2474" i="2"/>
  <c r="I2475" i="2"/>
  <c r="I2476" i="2"/>
  <c r="I2477" i="2"/>
  <c r="I2478" i="2"/>
  <c r="I2479" i="2"/>
  <c r="I2480" i="2"/>
  <c r="I2481" i="2"/>
  <c r="I2482" i="2"/>
  <c r="I2483" i="2"/>
  <c r="I2484" i="2"/>
  <c r="I2485" i="2"/>
  <c r="I2486" i="2"/>
  <c r="I2487" i="2"/>
  <c r="I2488" i="2"/>
  <c r="I2489" i="2"/>
  <c r="I2490" i="2"/>
  <c r="I2491" i="2"/>
  <c r="I2492" i="2"/>
  <c r="I2493" i="2"/>
  <c r="I2494" i="2"/>
  <c r="I2495" i="2"/>
  <c r="I2496" i="2"/>
  <c r="I2497" i="2"/>
  <c r="I2498" i="2"/>
  <c r="I2499" i="2"/>
  <c r="I2500" i="2"/>
  <c r="I2501" i="2"/>
  <c r="I2502" i="2"/>
  <c r="I2503" i="2"/>
  <c r="I2504" i="2"/>
  <c r="I2505" i="2"/>
  <c r="I2506" i="2"/>
  <c r="I2507" i="2"/>
  <c r="I2508" i="2"/>
  <c r="I2509" i="2"/>
  <c r="I2510" i="2"/>
  <c r="I2511" i="2"/>
  <c r="I2512" i="2"/>
  <c r="I2513" i="2"/>
  <c r="I2514" i="2"/>
  <c r="I2515" i="2"/>
  <c r="I2516" i="2"/>
  <c r="I2517" i="2"/>
  <c r="I2518" i="2"/>
  <c r="I2519" i="2"/>
  <c r="I2520" i="2"/>
  <c r="I2521" i="2"/>
  <c r="I2522" i="2"/>
  <c r="I2523" i="2"/>
  <c r="I2524" i="2"/>
  <c r="I2525" i="2"/>
  <c r="I2526" i="2"/>
  <c r="I2527" i="2"/>
  <c r="I2528" i="2"/>
  <c r="I2529" i="2"/>
  <c r="I2530" i="2"/>
  <c r="I2531" i="2"/>
  <c r="I2532" i="2"/>
  <c r="I2533" i="2"/>
  <c r="I2534" i="2"/>
  <c r="I2535" i="2"/>
  <c r="I2536" i="2"/>
  <c r="I2537" i="2"/>
  <c r="I2538" i="2"/>
  <c r="I2539" i="2"/>
  <c r="I2540" i="2"/>
  <c r="I2541" i="2"/>
  <c r="I2542" i="2"/>
  <c r="I2543" i="2"/>
  <c r="I2544" i="2"/>
  <c r="I2545" i="2"/>
  <c r="I2546" i="2"/>
  <c r="I2547" i="2"/>
  <c r="I2548" i="2"/>
  <c r="I2549" i="2"/>
  <c r="I2550" i="2"/>
  <c r="I2551" i="2"/>
  <c r="I2552" i="2"/>
  <c r="I2553" i="2"/>
  <c r="I2554" i="2"/>
  <c r="I2555" i="2"/>
  <c r="I2556" i="2"/>
  <c r="I2557" i="2"/>
  <c r="I2558" i="2"/>
  <c r="I2559" i="2"/>
  <c r="I2560" i="2"/>
  <c r="I2561" i="2"/>
  <c r="I2562" i="2"/>
  <c r="I2563" i="2"/>
  <c r="I2564" i="2"/>
  <c r="I2565" i="2"/>
  <c r="I2566" i="2"/>
  <c r="I2567" i="2"/>
  <c r="I2568" i="2"/>
  <c r="I2569" i="2"/>
  <c r="I2570" i="2"/>
  <c r="I2571" i="2"/>
  <c r="I2572" i="2"/>
  <c r="I2573" i="2"/>
  <c r="I2574" i="2"/>
  <c r="I2575" i="2"/>
  <c r="I2576" i="2"/>
  <c r="I2577" i="2"/>
  <c r="I2578" i="2"/>
  <c r="I2579" i="2"/>
  <c r="I2580" i="2"/>
  <c r="I2581" i="2"/>
  <c r="I2582" i="2"/>
  <c r="I2583" i="2"/>
  <c r="I2584" i="2"/>
  <c r="I2585" i="2"/>
  <c r="I2586" i="2"/>
  <c r="I2587" i="2"/>
  <c r="I2588" i="2"/>
  <c r="I2589" i="2"/>
  <c r="I2590" i="2"/>
  <c r="I2591" i="2"/>
  <c r="I2592" i="2"/>
  <c r="I2593" i="2"/>
  <c r="I2594" i="2"/>
  <c r="I2595" i="2"/>
  <c r="I2596" i="2"/>
  <c r="I2597" i="2"/>
  <c r="I2598" i="2"/>
  <c r="I2599" i="2"/>
  <c r="I2600" i="2"/>
  <c r="I2601" i="2"/>
  <c r="I2602" i="2"/>
  <c r="I2603" i="2"/>
  <c r="I2604" i="2"/>
  <c r="I2605" i="2"/>
  <c r="I2606" i="2"/>
  <c r="I2607" i="2"/>
  <c r="I2608" i="2"/>
  <c r="I2609" i="2"/>
  <c r="I2610" i="2"/>
  <c r="I2611" i="2"/>
  <c r="I2612" i="2"/>
  <c r="I2613" i="2"/>
  <c r="I2614" i="2"/>
  <c r="I2615" i="2"/>
  <c r="I2616" i="2"/>
  <c r="I2617" i="2"/>
  <c r="I2618" i="2"/>
  <c r="I2619" i="2"/>
  <c r="I2620" i="2"/>
  <c r="I2621" i="2"/>
  <c r="I2622" i="2"/>
  <c r="I2623" i="2"/>
  <c r="I2624" i="2"/>
  <c r="I2625" i="2"/>
  <c r="I2626" i="2"/>
  <c r="I2627" i="2"/>
  <c r="I2628" i="2"/>
  <c r="I2629" i="2"/>
  <c r="I2630" i="2"/>
  <c r="I2631" i="2"/>
  <c r="I2632" i="2"/>
  <c r="I2633" i="2"/>
  <c r="I2634" i="2"/>
  <c r="I2635" i="2"/>
  <c r="I2636" i="2"/>
  <c r="I2637" i="2"/>
  <c r="I2638" i="2"/>
  <c r="I2639" i="2"/>
  <c r="I2640" i="2"/>
  <c r="I2641" i="2"/>
  <c r="I2642" i="2"/>
  <c r="I2643" i="2"/>
  <c r="I2644" i="2"/>
  <c r="I2645" i="2"/>
  <c r="I2646" i="2"/>
  <c r="I2647" i="2"/>
  <c r="I2648" i="2"/>
  <c r="I2649" i="2"/>
  <c r="I2650" i="2"/>
  <c r="I2651" i="2"/>
  <c r="I2652" i="2"/>
  <c r="I2653" i="2"/>
  <c r="I2654" i="2"/>
  <c r="I2655" i="2"/>
  <c r="I2656" i="2"/>
  <c r="I2657" i="2"/>
  <c r="I2658" i="2"/>
  <c r="I2659" i="2"/>
  <c r="I2660" i="2"/>
  <c r="I2661" i="2"/>
  <c r="I2662" i="2"/>
  <c r="I2663" i="2"/>
  <c r="I2664" i="2"/>
  <c r="I2665" i="2"/>
  <c r="I2666" i="2"/>
  <c r="I2667" i="2"/>
  <c r="I2668" i="2"/>
  <c r="I2669" i="2"/>
  <c r="I2670" i="2"/>
  <c r="I2671" i="2"/>
  <c r="I2672" i="2"/>
  <c r="I2673" i="2"/>
  <c r="I2674" i="2"/>
  <c r="I2675" i="2"/>
  <c r="I2676" i="2"/>
  <c r="I2677" i="2"/>
  <c r="I2678" i="2"/>
  <c r="I2679" i="2"/>
  <c r="I2680" i="2"/>
  <c r="I2681" i="2"/>
  <c r="I2682" i="2"/>
  <c r="I2683" i="2"/>
  <c r="I2684" i="2"/>
  <c r="I2685" i="2"/>
  <c r="I2686" i="2"/>
  <c r="I2687" i="2"/>
  <c r="I2688" i="2"/>
  <c r="I2689" i="2"/>
  <c r="I2690" i="2"/>
  <c r="I2691" i="2"/>
  <c r="I2692" i="2"/>
  <c r="I2693" i="2"/>
  <c r="I2694" i="2"/>
  <c r="I2695" i="2"/>
  <c r="I2696" i="2"/>
  <c r="I2697" i="2"/>
  <c r="I2698" i="2"/>
  <c r="I2699" i="2"/>
  <c r="I2700" i="2"/>
  <c r="I2701" i="2"/>
  <c r="I2702" i="2"/>
  <c r="I2703" i="2"/>
  <c r="I2704" i="2"/>
  <c r="I2705" i="2"/>
  <c r="I2706" i="2"/>
  <c r="I2707" i="2"/>
  <c r="I2708" i="2"/>
  <c r="I2709" i="2"/>
  <c r="I2710" i="2"/>
  <c r="I2711" i="2"/>
  <c r="I2712" i="2"/>
  <c r="I2713" i="2"/>
  <c r="I2714" i="2"/>
  <c r="I2715" i="2"/>
  <c r="I2716" i="2"/>
  <c r="I2717" i="2"/>
  <c r="I2718" i="2"/>
  <c r="I2719" i="2"/>
  <c r="I2720" i="2"/>
  <c r="I2721" i="2"/>
  <c r="I2722" i="2"/>
  <c r="I2723" i="2"/>
  <c r="I2724" i="2"/>
  <c r="I2725" i="2"/>
  <c r="I2726" i="2"/>
  <c r="I2727" i="2"/>
  <c r="I2728" i="2"/>
  <c r="I2729" i="2"/>
  <c r="I2730" i="2"/>
  <c r="I2731" i="2"/>
  <c r="I2732" i="2"/>
  <c r="I2733" i="2"/>
  <c r="I2734" i="2"/>
  <c r="I2735" i="2"/>
  <c r="I2736" i="2"/>
  <c r="I2737" i="2"/>
  <c r="I2738" i="2"/>
  <c r="I2739" i="2"/>
  <c r="I2740" i="2"/>
  <c r="I2741" i="2"/>
  <c r="I2742" i="2"/>
  <c r="I2743" i="2"/>
  <c r="I2744" i="2"/>
  <c r="I2745" i="2"/>
  <c r="I2746" i="2"/>
  <c r="I2747" i="2"/>
  <c r="I2748" i="2"/>
  <c r="I2749" i="2"/>
  <c r="I2750" i="2"/>
  <c r="I2751" i="2"/>
  <c r="I2752" i="2"/>
  <c r="I2753" i="2"/>
  <c r="I2754" i="2"/>
  <c r="I2755" i="2"/>
  <c r="I2756" i="2"/>
  <c r="I2757" i="2"/>
  <c r="I2758" i="2"/>
  <c r="I2759" i="2"/>
  <c r="I2760" i="2"/>
  <c r="I2761" i="2"/>
  <c r="I2762" i="2"/>
  <c r="I2763" i="2"/>
  <c r="I2764" i="2"/>
  <c r="I2765" i="2"/>
  <c r="I2766" i="2"/>
  <c r="I2767" i="2"/>
  <c r="I2768" i="2"/>
  <c r="I2769" i="2"/>
  <c r="I2770" i="2"/>
  <c r="I2771" i="2"/>
  <c r="I2772" i="2"/>
  <c r="I2773" i="2"/>
  <c r="I2774" i="2"/>
  <c r="I2775" i="2"/>
  <c r="I2776" i="2"/>
  <c r="I2777" i="2"/>
  <c r="I2778" i="2"/>
  <c r="I2779" i="2"/>
  <c r="I2780" i="2"/>
  <c r="I2781" i="2"/>
  <c r="I2782" i="2"/>
  <c r="I2783" i="2"/>
  <c r="I2784" i="2"/>
  <c r="I2785" i="2"/>
  <c r="I2786" i="2"/>
  <c r="I2787" i="2"/>
  <c r="I2788" i="2"/>
  <c r="I2789" i="2"/>
  <c r="I2790" i="2"/>
  <c r="I2791" i="2"/>
  <c r="I2792" i="2"/>
  <c r="I2793" i="2"/>
  <c r="I2794" i="2"/>
  <c r="I2795" i="2"/>
  <c r="I2796" i="2"/>
  <c r="I2797" i="2"/>
  <c r="I2798" i="2"/>
  <c r="I2799" i="2"/>
  <c r="I2800" i="2"/>
  <c r="I2801" i="2"/>
  <c r="I2802" i="2"/>
  <c r="I2803" i="2"/>
  <c r="I2804" i="2"/>
  <c r="I2805" i="2"/>
  <c r="I2806" i="2"/>
  <c r="I2807" i="2"/>
  <c r="I2808" i="2"/>
  <c r="I2809" i="2"/>
  <c r="I2810" i="2"/>
  <c r="I2811" i="2"/>
  <c r="I2812" i="2"/>
  <c r="I2813" i="2"/>
  <c r="I2814" i="2"/>
  <c r="I2815" i="2"/>
  <c r="I2816" i="2"/>
  <c r="I2817" i="2"/>
  <c r="I2818" i="2"/>
  <c r="I2819" i="2"/>
  <c r="I2820" i="2"/>
  <c r="I2821" i="2"/>
  <c r="I2822" i="2"/>
  <c r="I2823" i="2"/>
  <c r="I2824" i="2"/>
  <c r="I2825" i="2"/>
  <c r="I2826" i="2"/>
  <c r="I2827" i="2"/>
  <c r="I2828" i="2"/>
  <c r="I2829" i="2"/>
  <c r="I2830" i="2"/>
  <c r="I2831" i="2"/>
  <c r="I2832" i="2"/>
  <c r="I2833" i="2"/>
  <c r="I2834" i="2"/>
  <c r="I2835" i="2"/>
  <c r="I2836" i="2"/>
  <c r="I2837" i="2"/>
  <c r="I2838" i="2"/>
  <c r="I2839" i="2"/>
  <c r="I2840" i="2"/>
  <c r="I2841" i="2"/>
  <c r="I2842" i="2"/>
  <c r="I2843" i="2"/>
  <c r="I2844" i="2"/>
  <c r="I2845" i="2"/>
  <c r="I2846" i="2"/>
  <c r="I2847" i="2"/>
  <c r="I2848" i="2"/>
  <c r="I2849" i="2"/>
  <c r="I2850" i="2"/>
  <c r="I2851" i="2"/>
  <c r="I2852" i="2"/>
  <c r="I2853" i="2"/>
  <c r="I2854" i="2"/>
  <c r="I2855" i="2"/>
  <c r="I2856" i="2"/>
  <c r="I2857" i="2"/>
  <c r="I2858" i="2"/>
  <c r="I2859" i="2"/>
  <c r="I2860" i="2"/>
  <c r="I2861" i="2"/>
  <c r="I2862" i="2"/>
  <c r="I2863" i="2"/>
  <c r="I2864" i="2"/>
  <c r="I2865" i="2"/>
  <c r="I2866" i="2"/>
  <c r="I2867" i="2"/>
  <c r="I2868" i="2"/>
  <c r="I2869" i="2"/>
  <c r="I2870" i="2"/>
  <c r="I2871" i="2"/>
  <c r="I2872" i="2"/>
  <c r="I2873" i="2"/>
  <c r="I2874" i="2"/>
  <c r="I2875" i="2"/>
  <c r="I2876" i="2"/>
  <c r="I2877" i="2"/>
  <c r="I2878" i="2"/>
  <c r="I2879" i="2"/>
  <c r="I2880" i="2"/>
  <c r="I2881" i="2"/>
  <c r="I2882" i="2"/>
  <c r="I2883" i="2"/>
  <c r="I2884" i="2"/>
  <c r="I2885" i="2"/>
  <c r="I2886" i="2"/>
  <c r="I2887" i="2"/>
  <c r="I2888" i="2"/>
  <c r="I2889" i="2"/>
  <c r="I2890" i="2"/>
  <c r="I2891" i="2"/>
  <c r="I2892" i="2"/>
  <c r="I2893" i="2"/>
  <c r="I2894" i="2"/>
  <c r="I2895" i="2"/>
  <c r="I2896" i="2"/>
  <c r="I2897" i="2"/>
  <c r="I2898" i="2"/>
  <c r="I2899" i="2"/>
  <c r="I2900" i="2"/>
  <c r="I2901" i="2"/>
  <c r="I2902" i="2"/>
  <c r="I2903" i="2"/>
  <c r="I2904" i="2"/>
  <c r="I2905" i="2"/>
  <c r="I2906" i="2"/>
  <c r="I2907" i="2"/>
  <c r="I2908" i="2"/>
  <c r="I2909" i="2"/>
  <c r="I2910" i="2"/>
  <c r="I2911" i="2"/>
  <c r="I2912" i="2"/>
  <c r="I2913" i="2"/>
  <c r="I2914" i="2"/>
  <c r="I2915" i="2"/>
  <c r="I2916" i="2"/>
  <c r="I2917" i="2"/>
  <c r="I2918" i="2"/>
  <c r="I2919" i="2"/>
  <c r="I2920" i="2"/>
  <c r="I2921" i="2"/>
  <c r="I2922" i="2"/>
  <c r="I2923"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B5" i="4"/>
  <c r="B6" i="4"/>
  <c r="B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1877D5-D329-4E19-9D58-83CF6AC4B996}" keepAlive="1" name="Abfrage - Data" description="Verbindung mit der Abfrage 'Data' in der Arbeitsmappe." type="5" refreshedVersion="8" background="1" refreshOnLoad="1" saveData="1">
    <dbPr connection="Provider=Microsoft.Mashup.OleDb.1;Data Source=$Workbook$;Location=Data;Extended Properties=&quot;&quot;" command="SELECT * FROM [Data]"/>
  </connection>
</connections>
</file>

<file path=xl/sharedStrings.xml><?xml version="1.0" encoding="utf-8"?>
<sst xmlns="http://schemas.openxmlformats.org/spreadsheetml/2006/main" count="14767" uniqueCount="95">
  <si>
    <t>Buchung</t>
  </si>
  <si>
    <t>Auftraggeber/Empfänger</t>
  </si>
  <si>
    <t>Buchungstext</t>
  </si>
  <si>
    <t>Verwendungszweck</t>
  </si>
  <si>
    <t>Betrag</t>
  </si>
  <si>
    <t>Währung</t>
  </si>
  <si>
    <t>Kategorie</t>
  </si>
  <si>
    <t>EUR</t>
  </si>
  <si>
    <t>Abos</t>
  </si>
  <si>
    <t>Einnahmen</t>
  </si>
  <si>
    <t>Lebensmittel</t>
  </si>
  <si>
    <t>KFZ</t>
  </si>
  <si>
    <t>Gesamtergebnis</t>
  </si>
  <si>
    <t>Summe von Betrag</t>
  </si>
  <si>
    <t>Monat</t>
  </si>
  <si>
    <t>Jahr</t>
  </si>
  <si>
    <t>absolut Betrag</t>
  </si>
  <si>
    <t>Summe von absolut Betrag</t>
  </si>
  <si>
    <t>E/A</t>
  </si>
  <si>
    <t>Ausgaben</t>
  </si>
  <si>
    <t>Ausgaben Top 5</t>
  </si>
  <si>
    <t>Umsatz</t>
  </si>
  <si>
    <t>Einnahmen_Summe</t>
  </si>
  <si>
    <t>Ausgaben_Summe</t>
  </si>
  <si>
    <t>Hilfsvariabeln</t>
  </si>
  <si>
    <t>Vergleich</t>
  </si>
  <si>
    <t>Zeilenbeschriftungen</t>
  </si>
  <si>
    <t>Vergleich_Pivot1</t>
  </si>
  <si>
    <t>Vergleich_Pivot2</t>
  </si>
  <si>
    <t>Vergleich_Cat</t>
  </si>
  <si>
    <t>Settings</t>
  </si>
  <si>
    <t>ausgewählte Kategor.</t>
  </si>
  <si>
    <t>Anzahl von absolut Betrag</t>
  </si>
  <si>
    <t>Werte</t>
  </si>
  <si>
    <t>Pivot_Durchschnitt</t>
  </si>
  <si>
    <t>Pivot_Durchschnitt_2</t>
  </si>
  <si>
    <t>Spaltenbeschriftungen</t>
  </si>
  <si>
    <t>Durchschnitt</t>
  </si>
  <si>
    <t>gespeicherte Fixkosten</t>
  </si>
  <si>
    <t>Fixkosten_Summe</t>
  </si>
  <si>
    <t>Datei</t>
  </si>
  <si>
    <t>Pfad</t>
  </si>
  <si>
    <t>python.exe</t>
  </si>
  <si>
    <t>python Skripte</t>
  </si>
  <si>
    <t>Data.xlsx</t>
  </si>
  <si>
    <t>Arbeitgeber</t>
  </si>
  <si>
    <t>Gutschrift</t>
  </si>
  <si>
    <t>Lohn</t>
  </si>
  <si>
    <t>Netflix</t>
  </si>
  <si>
    <t>Abonnement</t>
  </si>
  <si>
    <t>Streaming-Dienst</t>
  </si>
  <si>
    <t>Autohändler</t>
  </si>
  <si>
    <t>KFZ-Zahlung</t>
  </si>
  <si>
    <t>Auto-Rate</t>
  </si>
  <si>
    <t>Versicherungsgesellschaft</t>
  </si>
  <si>
    <t>Versicherungsprämie</t>
  </si>
  <si>
    <t>Kfz-Versicherung</t>
  </si>
  <si>
    <t>Versicherung</t>
  </si>
  <si>
    <t>Supermarkt</t>
  </si>
  <si>
    <t>Lebensmittel-Einkauf</t>
  </si>
  <si>
    <t>Wochenendeinkauf</t>
  </si>
  <si>
    <t>Spotify</t>
  </si>
  <si>
    <t>Music-Streaming</t>
  </si>
  <si>
    <t>Tankstelle</t>
  </si>
  <si>
    <t>Kraftstoff</t>
  </si>
  <si>
    <t>Auto-Tankfüllung</t>
  </si>
  <si>
    <t>Haftpflichtversicherung</t>
  </si>
  <si>
    <t>Bäckerei</t>
  </si>
  <si>
    <t>Brot und Gebäck</t>
  </si>
  <si>
    <t>Entwicklermodus</t>
  </si>
  <si>
    <t>Pivot_Jahre</t>
  </si>
  <si>
    <t>G:\Drive\Pythonprojects\Haushaltsbuch\env\Scripts\python.exe</t>
  </si>
  <si>
    <t>G:\Drive\Pythonprojects\Haushaltsbuch\Programme\</t>
  </si>
  <si>
    <t>G:\Drive\Pythonprojects\Haushaltsbuch\Daten\Data - template.xlsx</t>
  </si>
  <si>
    <t>Jahresfilter</t>
  </si>
  <si>
    <t>Zeitspanne</t>
  </si>
  <si>
    <t>bis</t>
  </si>
  <si>
    <t>Pivot_Umsatz</t>
  </si>
  <si>
    <t>A</t>
  </si>
  <si>
    <t>E</t>
  </si>
  <si>
    <t>Jan</t>
  </si>
  <si>
    <t>Feb</t>
  </si>
  <si>
    <t>Mrz</t>
  </si>
  <si>
    <t>Apr</t>
  </si>
  <si>
    <t>Mai</t>
  </si>
  <si>
    <t>Jun</t>
  </si>
  <si>
    <t>Jul</t>
  </si>
  <si>
    <t>Aug</t>
  </si>
  <si>
    <t>Sep</t>
  </si>
  <si>
    <t>Okt</t>
  </si>
  <si>
    <t>Nov</t>
  </si>
  <si>
    <t>Dez</t>
  </si>
  <si>
    <t>Nein</t>
  </si>
  <si>
    <t>Einnahmen Gesamt</t>
  </si>
  <si>
    <t>Quartal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</si>
</sst>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0.00\ &quot;€&quot;;\-#,##0.00\ &quot;€&quot;"/>
    <numFmt numFmtId="44" formatCode="_-* #,##0.00\ &quot;€&quot;_-;\-* #,##0.00\ &quot;€&quot;_-;_-* &quot;-&quot;??\ &quot;€&quot;_-;_-@_-"/>
    <numFmt numFmtId="164" formatCode="#,##0\ &quot;€&quot;"/>
    <numFmt numFmtId="165" formatCode="_-* #,##0\ &quot;€&quot;_-;\-* #,##0\ &quot;€&quot;_-;_-* &quot;-&quot;??\ &quot;€&quot;_-;_-@_-"/>
    <numFmt numFmtId="166" formatCode="_-* #,##0\ \€_-;\-* #,##0\ \€_-;_-* &quot;-&quot;??\ \€_-;_-@_-"/>
  </numFmts>
  <fonts count="19" x14ac:knownFonts="1">
    <font>
      <sz val="11"/>
      <color theme="1"/>
      <name val="Calibri"/>
      <family val="2"/>
      <scheme val="minor"/>
    </font>
    <font>
      <sz val="8"/>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2"/>
      <name val="Calibri"/>
      <family val="2"/>
      <scheme val="minor"/>
    </font>
    <font>
      <b/>
      <sz val="28"/>
      <color theme="2"/>
      <name val="Calibri"/>
      <family val="2"/>
      <scheme val="minor"/>
    </font>
    <font>
      <sz val="11"/>
      <name val="Calibri"/>
      <family val="2"/>
      <scheme val="minor"/>
    </font>
    <font>
      <b/>
      <sz val="20"/>
      <name val="Calibri"/>
      <family val="2"/>
      <scheme val="minor"/>
    </font>
    <font>
      <b/>
      <sz val="11"/>
      <color theme="2"/>
      <name val="Calibri"/>
      <family val="2"/>
      <scheme val="minor"/>
    </font>
    <font>
      <b/>
      <sz val="16"/>
      <color theme="5" tint="0.59999389629810485"/>
      <name val="Calibri"/>
      <family val="2"/>
      <scheme val="minor"/>
    </font>
    <font>
      <b/>
      <sz val="26"/>
      <color theme="2"/>
      <name val="Calibri"/>
      <family val="2"/>
      <scheme val="minor"/>
    </font>
    <font>
      <sz val="11"/>
      <color theme="5"/>
      <name val="Calibri"/>
      <family val="2"/>
      <scheme val="minor"/>
    </font>
    <font>
      <sz val="11"/>
      <color theme="4"/>
      <name val="Calibri"/>
      <family val="2"/>
      <scheme val="minor"/>
    </font>
    <font>
      <b/>
      <sz val="14"/>
      <color theme="2"/>
      <name val="Calibri"/>
      <family val="2"/>
      <scheme val="minor"/>
    </font>
    <font>
      <b/>
      <sz val="14"/>
      <color theme="5"/>
      <name val="Calibri"/>
      <family val="2"/>
      <scheme val="minor"/>
    </font>
    <font>
      <b/>
      <sz val="14"/>
      <color theme="4"/>
      <name val="Calibri"/>
      <family val="2"/>
      <scheme val="minor"/>
    </font>
    <font>
      <sz val="11"/>
      <color rgb="FF000000"/>
      <name val="Calibri"/>
      <family val="2"/>
    </font>
    <font>
      <b/>
      <sz val="16"/>
      <color theme="2"/>
      <name val="Calibri"/>
      <family val="2"/>
      <scheme val="minor"/>
    </font>
  </fonts>
  <fills count="9">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
      <patternFill patternType="solid">
        <fgColor theme="5"/>
        <bgColor indexed="64"/>
      </patternFill>
    </fill>
    <fill>
      <patternFill patternType="solid">
        <fgColor theme="4"/>
        <bgColor indexed="64"/>
      </patternFill>
    </fill>
    <fill>
      <patternFill patternType="solid">
        <fgColor theme="1" tint="0.249977111117893"/>
        <bgColor indexed="64"/>
      </patternFill>
    </fill>
    <fill>
      <patternFill patternType="solid">
        <fgColor theme="1"/>
        <bgColor theme="1"/>
      </patternFill>
    </fill>
    <fill>
      <patternFill patternType="solid">
        <fgColor theme="1" tint="0.34998626667073579"/>
        <bgColor indexed="64"/>
      </patternFill>
    </fill>
  </fills>
  <borders count="5">
    <border>
      <left/>
      <right/>
      <top/>
      <bottom/>
      <diagonal/>
    </border>
    <border>
      <left/>
      <right/>
      <top/>
      <bottom style="double">
        <color theme="0"/>
      </bottom>
      <diagonal/>
    </border>
    <border>
      <left/>
      <right/>
      <top style="double">
        <color theme="0"/>
      </top>
      <bottom/>
      <diagonal/>
    </border>
    <border>
      <left/>
      <right/>
      <top/>
      <bottom style="double">
        <color indexed="64"/>
      </bottom>
      <diagonal/>
    </border>
    <border>
      <left/>
      <right/>
      <top style="medium">
        <color theme="0"/>
      </top>
      <bottom/>
      <diagonal/>
    </border>
  </borders>
  <cellStyleXfs count="3">
    <xf numFmtId="0" fontId="0" fillId="0" borderId="0"/>
    <xf numFmtId="44" fontId="2" fillId="0" borderId="0" applyFont="0" applyFill="0" applyBorder="0" applyAlignment="0" applyProtection="0"/>
    <xf numFmtId="44" fontId="2" fillId="0" borderId="0" applyFont="0" applyFill="0" applyBorder="0" applyAlignment="0" applyProtection="0"/>
  </cellStyleXfs>
  <cellXfs count="82">
    <xf numFmtId="0" fontId="0" fillId="0" borderId="0" xfId="0"/>
    <xf numFmtId="14" fontId="0" fillId="0" borderId="0" xfId="0" applyNumberFormat="1"/>
    <xf numFmtId="44" fontId="0" fillId="0" borderId="0" xfId="1" applyFont="1"/>
    <xf numFmtId="0" fontId="0" fillId="2" borderId="0" xfId="0" applyFill="1"/>
    <xf numFmtId="7" fontId="0" fillId="3" borderId="0" xfId="0" applyNumberFormat="1" applyFill="1"/>
    <xf numFmtId="0" fontId="7" fillId="0" borderId="0" xfId="0" applyFont="1"/>
    <xf numFmtId="165" fontId="7" fillId="0" borderId="0" xfId="1" applyNumberFormat="1" applyFont="1" applyFill="1"/>
    <xf numFmtId="165" fontId="7" fillId="0" borderId="0" xfId="0" applyNumberFormat="1" applyFont="1"/>
    <xf numFmtId="0" fontId="7" fillId="0" borderId="1" xfId="0" applyFont="1" applyBorder="1"/>
    <xf numFmtId="0" fontId="7" fillId="0" borderId="3" xfId="0" applyFont="1" applyBorder="1"/>
    <xf numFmtId="0" fontId="0" fillId="0" borderId="3" xfId="0" applyBorder="1"/>
    <xf numFmtId="0" fontId="0" fillId="3" borderId="0" xfId="0" applyFill="1"/>
    <xf numFmtId="14" fontId="4" fillId="3" borderId="0" xfId="0" applyNumberFormat="1" applyFont="1" applyFill="1"/>
    <xf numFmtId="0" fontId="4" fillId="3" borderId="0" xfId="0" applyFont="1" applyFill="1"/>
    <xf numFmtId="14" fontId="0" fillId="3" borderId="0" xfId="0" applyNumberFormat="1" applyFill="1"/>
    <xf numFmtId="0" fontId="6" fillId="3" borderId="0" xfId="0" applyFont="1" applyFill="1" applyAlignment="1">
      <alignment horizontal="center" vertical="center"/>
    </xf>
    <xf numFmtId="165" fontId="5" fillId="3" borderId="0" xfId="1" applyNumberFormat="1" applyFont="1" applyFill="1" applyBorder="1" applyAlignment="1">
      <alignment horizontal="right"/>
    </xf>
    <xf numFmtId="0" fontId="5" fillId="3" borderId="0" xfId="0" applyFont="1" applyFill="1"/>
    <xf numFmtId="0" fontId="5" fillId="3" borderId="0" xfId="0" applyFont="1" applyFill="1" applyAlignment="1">
      <alignment vertical="center"/>
    </xf>
    <xf numFmtId="7" fontId="5" fillId="3" borderId="0" xfId="0" applyNumberFormat="1" applyFont="1" applyFill="1" applyAlignment="1">
      <alignment horizontal="right"/>
    </xf>
    <xf numFmtId="0" fontId="0" fillId="0" borderId="0" xfId="0" pivotButton="1"/>
    <xf numFmtId="0" fontId="0" fillId="0" borderId="0" xfId="0" applyAlignment="1">
      <alignment horizontal="left"/>
    </xf>
    <xf numFmtId="44" fontId="9" fillId="3" borderId="0" xfId="1" applyFont="1" applyFill="1" applyBorder="1"/>
    <xf numFmtId="0" fontId="5" fillId="3" borderId="0" xfId="0" applyFont="1" applyFill="1" applyAlignment="1">
      <alignment vertical="center" wrapText="1"/>
    </xf>
    <xf numFmtId="44" fontId="5" fillId="3" borderId="0" xfId="1" applyFont="1" applyFill="1" applyAlignment="1">
      <alignment horizontal="right" vertical="center"/>
    </xf>
    <xf numFmtId="44" fontId="9" fillId="3" borderId="0" xfId="1" applyFont="1" applyFill="1" applyBorder="1" applyAlignment="1">
      <alignment horizontal="right" vertical="center"/>
    </xf>
    <xf numFmtId="44" fontId="5" fillId="3" borderId="0" xfId="1" applyFont="1" applyFill="1" applyAlignment="1">
      <alignment vertical="center"/>
    </xf>
    <xf numFmtId="44" fontId="5" fillId="3" borderId="0" xfId="1" applyFont="1" applyFill="1" applyBorder="1" applyAlignment="1">
      <alignment horizontal="right" vertical="center"/>
    </xf>
    <xf numFmtId="44" fontId="5" fillId="3" borderId="0" xfId="1" applyFont="1" applyFill="1" applyBorder="1" applyAlignment="1">
      <alignment vertical="center"/>
    </xf>
    <xf numFmtId="7" fontId="5" fillId="3" borderId="0" xfId="1" applyNumberFormat="1" applyFont="1" applyFill="1" applyBorder="1" applyAlignment="1">
      <alignment horizontal="right" vertical="center"/>
    </xf>
    <xf numFmtId="7" fontId="5" fillId="3" borderId="0" xfId="1" applyNumberFormat="1" applyFont="1" applyFill="1" applyBorder="1" applyAlignment="1">
      <alignment vertical="center"/>
    </xf>
    <xf numFmtId="7" fontId="5" fillId="3" borderId="0" xfId="1" applyNumberFormat="1" applyFont="1" applyFill="1" applyBorder="1"/>
    <xf numFmtId="164" fontId="0" fillId="0" borderId="0" xfId="0" applyNumberFormat="1"/>
    <xf numFmtId="165" fontId="5" fillId="3" borderId="0" xfId="1" applyNumberFormat="1" applyFont="1" applyFill="1"/>
    <xf numFmtId="22" fontId="4" fillId="3" borderId="0" xfId="0" applyNumberFormat="1" applyFont="1" applyFill="1"/>
    <xf numFmtId="0" fontId="5" fillId="4" borderId="0" xfId="0" applyFont="1" applyFill="1" applyAlignment="1">
      <alignment vertical="center"/>
    </xf>
    <xf numFmtId="0" fontId="5" fillId="5" borderId="0" xfId="0" applyFont="1" applyFill="1" applyAlignment="1">
      <alignment vertical="center"/>
    </xf>
    <xf numFmtId="0" fontId="5" fillId="3" borderId="0" xfId="0" applyFont="1" applyFill="1" applyAlignment="1">
      <alignment horizontal="center" vertical="center"/>
    </xf>
    <xf numFmtId="0" fontId="5" fillId="3" borderId="0" xfId="0" applyFont="1" applyFill="1" applyAlignment="1">
      <alignment horizontal="right" vertical="center"/>
    </xf>
    <xf numFmtId="166" fontId="5" fillId="3" borderId="0" xfId="1" applyNumberFormat="1" applyFont="1" applyFill="1" applyAlignment="1">
      <alignment horizontal="center" vertical="center"/>
    </xf>
    <xf numFmtId="0" fontId="12" fillId="3" borderId="0" xfId="0" applyFont="1" applyFill="1" applyAlignment="1">
      <alignment horizontal="center" vertical="center"/>
    </xf>
    <xf numFmtId="166" fontId="12" fillId="3" borderId="0" xfId="1" applyNumberFormat="1" applyFont="1" applyFill="1" applyAlignment="1">
      <alignment horizontal="center" vertical="center"/>
    </xf>
    <xf numFmtId="165" fontId="12" fillId="3" borderId="0" xfId="1" applyNumberFormat="1" applyFont="1" applyFill="1" applyAlignment="1">
      <alignment horizontal="center" vertical="center"/>
    </xf>
    <xf numFmtId="0" fontId="13" fillId="3" borderId="0" xfId="0" applyFont="1" applyFill="1" applyAlignment="1">
      <alignment horizontal="center" vertical="center"/>
    </xf>
    <xf numFmtId="166" fontId="13" fillId="3" borderId="0" xfId="1" applyNumberFormat="1" applyFont="1" applyFill="1" applyAlignment="1">
      <alignment horizontal="center" vertical="center"/>
    </xf>
    <xf numFmtId="0" fontId="14" fillId="3" borderId="0" xfId="0" applyFont="1" applyFill="1" applyAlignment="1">
      <alignment horizontal="right" vertical="center"/>
    </xf>
    <xf numFmtId="0" fontId="15" fillId="3" borderId="0" xfId="0" applyFont="1" applyFill="1" applyAlignment="1">
      <alignment horizontal="center" vertical="center"/>
    </xf>
    <xf numFmtId="0" fontId="14" fillId="3" borderId="0" xfId="0" applyFont="1" applyFill="1" applyAlignment="1">
      <alignment horizontal="center" vertical="center"/>
    </xf>
    <xf numFmtId="0" fontId="16" fillId="3" borderId="0" xfId="0" applyFont="1" applyFill="1" applyAlignment="1">
      <alignment horizontal="center" vertical="center"/>
    </xf>
    <xf numFmtId="165" fontId="7" fillId="0" borderId="0" xfId="1" applyNumberFormat="1" applyFont="1"/>
    <xf numFmtId="0" fontId="5" fillId="6" borderId="0" xfId="0" applyFont="1" applyFill="1"/>
    <xf numFmtId="0" fontId="7" fillId="4" borderId="0" xfId="0" applyFont="1" applyFill="1"/>
    <xf numFmtId="14" fontId="4" fillId="3" borderId="4" xfId="0" applyNumberFormat="1" applyFont="1" applyFill="1" applyBorder="1"/>
    <xf numFmtId="0" fontId="4" fillId="3" borderId="4" xfId="0" applyFont="1" applyFill="1" applyBorder="1"/>
    <xf numFmtId="7" fontId="4" fillId="3" borderId="0" xfId="0" applyNumberFormat="1" applyFont="1" applyFill="1"/>
    <xf numFmtId="14" fontId="7" fillId="0" borderId="0" xfId="0" applyNumberFormat="1" applyFont="1"/>
    <xf numFmtId="0" fontId="5" fillId="2" borderId="0" xfId="0" applyFont="1" applyFill="1" applyAlignment="1">
      <alignment horizontal="center" vertical="center"/>
    </xf>
    <xf numFmtId="0" fontId="7" fillId="0" borderId="0" xfId="0" applyFont="1" applyAlignment="1">
      <alignment horizontal="center"/>
    </xf>
    <xf numFmtId="0" fontId="8" fillId="0" borderId="2" xfId="0" applyFont="1" applyBorder="1" applyAlignment="1">
      <alignment horizontal="center" vertical="center"/>
    </xf>
    <xf numFmtId="0" fontId="8" fillId="0" borderId="0" xfId="0" applyFont="1" applyAlignment="1">
      <alignment horizontal="center" vertical="center"/>
    </xf>
    <xf numFmtId="0" fontId="18" fillId="2" borderId="0" xfId="0" applyFont="1" applyFill="1" applyAlignment="1">
      <alignment horizontal="center"/>
    </xf>
    <xf numFmtId="14" fontId="5" fillId="8" borderId="0" xfId="0" applyNumberFormat="1" applyFont="1" applyFill="1" applyAlignment="1" applyProtection="1">
      <alignment horizontal="center" vertical="center"/>
      <protection locked="0"/>
    </xf>
    <xf numFmtId="0" fontId="5" fillId="8" borderId="0" xfId="0" applyFont="1" applyFill="1" applyAlignment="1" applyProtection="1">
      <alignment horizontal="center" vertical="center"/>
      <protection locked="0"/>
    </xf>
    <xf numFmtId="0" fontId="7" fillId="0" borderId="0" xfId="0" applyFont="1" applyFill="1"/>
    <xf numFmtId="164" fontId="7" fillId="0" borderId="0" xfId="0" applyNumberFormat="1" applyFont="1" applyFill="1"/>
    <xf numFmtId="0" fontId="7" fillId="0" borderId="0" xfId="0" applyFont="1" applyFill="1" applyAlignment="1">
      <alignment horizontal="left"/>
    </xf>
    <xf numFmtId="0" fontId="0" fillId="0" borderId="0" xfId="0" applyNumberFormat="1"/>
    <xf numFmtId="0" fontId="0" fillId="0" borderId="0" xfId="0" applyNumberFormat="1" applyAlignment="1">
      <alignment horizontal="left"/>
    </xf>
    <xf numFmtId="0" fontId="3" fillId="7" borderId="0" xfId="0" applyFont="1" applyFill="1" applyBorder="1"/>
    <xf numFmtId="0" fontId="3" fillId="7" borderId="0" xfId="0" applyFont="1" applyFill="1" applyBorder="1" applyAlignment="1">
      <alignment horizontal="left"/>
    </xf>
    <xf numFmtId="44" fontId="3" fillId="7" borderId="0" xfId="1" applyNumberFormat="1" applyFont="1" applyFill="1" applyBorder="1"/>
    <xf numFmtId="7" fontId="4" fillId="3" borderId="4" xfId="1" applyNumberFormat="1" applyFont="1" applyFill="1" applyBorder="1"/>
    <xf numFmtId="7" fontId="4" fillId="3" borderId="0" xfId="1" applyNumberFormat="1" applyFont="1" applyFill="1"/>
    <xf numFmtId="0" fontId="11" fillId="3" borderId="0" xfId="0" applyFont="1" applyFill="1" applyBorder="1" applyAlignment="1">
      <alignment horizontal="center" vertical="center" wrapText="1"/>
    </xf>
    <xf numFmtId="0" fontId="5" fillId="3" borderId="0" xfId="0" applyFont="1" applyFill="1" applyBorder="1"/>
    <xf numFmtId="0" fontId="10" fillId="3" borderId="0" xfId="0" applyFont="1" applyFill="1" applyBorder="1" applyAlignment="1">
      <alignment horizontal="center" vertical="center"/>
    </xf>
    <xf numFmtId="0" fontId="9" fillId="3" borderId="0" xfId="0" applyFont="1" applyFill="1" applyBorder="1" applyAlignment="1">
      <alignment vertical="center" wrapText="1"/>
    </xf>
    <xf numFmtId="0" fontId="9" fillId="3" borderId="0" xfId="0" applyFont="1" applyFill="1" applyBorder="1"/>
    <xf numFmtId="14" fontId="5" fillId="3" borderId="0" xfId="0" applyNumberFormat="1" applyFont="1" applyFill="1" applyBorder="1" applyAlignment="1">
      <alignment vertical="center" wrapText="1"/>
    </xf>
    <xf numFmtId="0" fontId="5" fillId="3" borderId="0" xfId="0" applyFont="1" applyFill="1" applyBorder="1" applyAlignment="1">
      <alignment vertical="center" wrapText="1"/>
    </xf>
    <xf numFmtId="7" fontId="5" fillId="3" borderId="0" xfId="0" applyNumberFormat="1" applyFont="1" applyFill="1" applyBorder="1"/>
    <xf numFmtId="22" fontId="5" fillId="3" borderId="0" xfId="0" applyNumberFormat="1" applyFont="1" applyFill="1" applyBorder="1" applyAlignment="1">
      <alignment vertical="center" wrapText="1"/>
    </xf>
  </cellXfs>
  <cellStyles count="3">
    <cellStyle name="Standard" xfId="0" builtinId="0"/>
    <cellStyle name="Währung" xfId="1" builtinId="4"/>
    <cellStyle name="Währung 2" xfId="2" xr:uid="{C519CEBE-E275-4123-84B3-88909C0BAAC9}"/>
  </cellStyles>
  <dxfs count="164">
    <dxf>
      <numFmt numFmtId="0" formatCode="General"/>
    </dxf>
    <dxf>
      <font>
        <b val="0"/>
        <i val="0"/>
        <strike val="0"/>
        <condense val="0"/>
        <extend val="0"/>
        <outline val="0"/>
        <shadow val="0"/>
        <u val="none"/>
        <vertAlign val="baseline"/>
        <sz val="11"/>
        <color theme="1"/>
        <name val="Calibri"/>
        <family val="2"/>
        <scheme val="minor"/>
      </font>
    </dxf>
    <dxf>
      <numFmt numFmtId="0" formatCode="General"/>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9" formatCode="dd/mm/yyyy"/>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theme="2"/>
      </font>
    </dxf>
    <dxf>
      <font>
        <color theme="2"/>
      </font>
    </dxf>
    <dxf>
      <font>
        <color theme="2"/>
      </font>
    </dxf>
    <dxf>
      <font>
        <color theme="2"/>
      </font>
    </dxf>
    <dxf>
      <font>
        <color them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theme="2"/>
      </font>
    </dxf>
    <dxf>
      <font>
        <color theme="2"/>
      </font>
    </dxf>
    <dxf>
      <font>
        <color theme="2"/>
      </font>
    </dxf>
    <dxf>
      <font>
        <color theme="2"/>
      </font>
    </dxf>
    <dxf>
      <font>
        <color theme="2"/>
      </font>
    </dxf>
    <dxf>
      <font>
        <color them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theme="2"/>
      </font>
    </dxf>
    <dxf>
      <font>
        <color theme="2"/>
      </font>
    </dxf>
    <dxf>
      <font>
        <color theme="2"/>
      </font>
    </dxf>
    <dxf>
      <font>
        <color theme="2"/>
      </font>
    </dxf>
    <dxf>
      <font>
        <color theme="2"/>
      </font>
    </dxf>
    <dxf>
      <font>
        <color them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theme="2"/>
      </font>
    </dxf>
    <dxf>
      <font>
        <color theme="2"/>
      </font>
    </dxf>
    <dxf>
      <font>
        <color theme="2"/>
      </font>
    </dxf>
    <dxf>
      <font>
        <color theme="2"/>
      </font>
    </dxf>
    <dxf>
      <font>
        <color theme="2"/>
      </font>
    </dxf>
    <dxf>
      <font>
        <color them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theme="2"/>
      </font>
    </dxf>
    <dxf>
      <font>
        <color theme="2"/>
      </font>
    </dxf>
    <dxf>
      <font>
        <color theme="2"/>
      </font>
    </dxf>
    <dxf>
      <font>
        <color theme="2"/>
      </font>
    </dxf>
    <dxf>
      <font>
        <color theme="2"/>
      </font>
    </dxf>
    <dxf>
      <font>
        <color them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numFmt numFmtId="164" formatCode="#,##0\ &quot;€&quo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 &quot;€&quo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fill>
        <patternFill>
          <fgColor theme="1" tint="0.14993743705557422"/>
          <bgColor theme="1" tint="0.24994659260841701"/>
        </patternFill>
      </fill>
    </dxf>
    <dxf>
      <font>
        <color theme="2"/>
      </font>
      <fill>
        <patternFill patternType="solid">
          <fgColor theme="1" tint="0.14993743705557422"/>
          <bgColor theme="1" tint="0.14996795556505021"/>
        </patternFill>
      </fill>
    </dxf>
    <dxf>
      <font>
        <color theme="2"/>
      </font>
      <fill>
        <patternFill patternType="solid">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bgColor theme="1" tint="0.14996795556505021"/>
        </patternFill>
      </fill>
      <border>
        <top style="medium">
          <color theme="0"/>
        </top>
      </border>
    </dxf>
    <dxf>
      <font>
        <color theme="2"/>
      </font>
      <fill>
        <patternFill patternType="solid">
          <fgColor theme="1" tint="0.14993743705557422"/>
          <bgColor theme="1" tint="0.14996795556505021"/>
        </patternFill>
      </fill>
      <border>
        <bottom style="medium">
          <color theme="0"/>
        </bottom>
      </border>
    </dxf>
    <dxf>
      <font>
        <color theme="2"/>
      </font>
      <fill>
        <patternFill patternType="solid">
          <fgColor theme="1" tint="0.14993743705557422"/>
          <bgColor theme="1" tint="0.14996795556505021"/>
        </patternFill>
      </fill>
      <border>
        <vertical style="thin">
          <color theme="0"/>
        </vertical>
      </border>
    </dxf>
    <dxf>
      <font>
        <b/>
        <i val="0"/>
        <sz val="26"/>
        <color theme="2"/>
        <name val="Calibri"/>
        <family val="2"/>
        <scheme val="minor"/>
      </font>
      <border diagonalUp="0" diagonalDown="0">
        <left/>
        <right/>
        <top/>
        <bottom/>
        <vertical/>
        <horizontal/>
      </border>
    </dxf>
    <dxf>
      <font>
        <sz val="20"/>
        <color theme="2"/>
      </font>
      <fill>
        <patternFill>
          <bgColor theme="1" tint="0.14996795556505021"/>
        </patternFill>
      </fill>
      <border diagonalUp="0" diagonalDown="0">
        <left/>
        <right/>
        <top/>
        <bottom/>
        <vertical/>
        <horizontal/>
      </border>
    </dxf>
  </dxfs>
  <tableStyles count="2" defaultTableStyle="TableStyleMedium2" defaultPivotStyle="PivotStyleLight16">
    <tableStyle name="Dashboard" pivot="0" table="0" count="10" xr9:uid="{CE11452D-D0BD-4026-A311-492D555F3907}">
      <tableStyleElement type="wholeTable" dxfId="163"/>
      <tableStyleElement type="headerRow" dxfId="162"/>
    </tableStyle>
    <tableStyle name="PivotStyleDark22 2" table="0" count="15" xr9:uid="{8666DEB5-1174-4787-9C05-28CB80A9195C}">
      <tableStyleElement type="wholeTable" dxfId="161"/>
      <tableStyleElement type="headerRow" dxfId="160"/>
      <tableStyleElement type="totalRow" dxfId="159"/>
      <tableStyleElement type="firstColumn" dxfId="158"/>
      <tableStyleElement type="firstRowStripe" dxfId="157"/>
      <tableStyleElement type="secondRowStripe" dxfId="156"/>
      <tableStyleElement type="firstColumnStripe" dxfId="155"/>
      <tableStyleElement type="secondColumnStripe" dxfId="154"/>
      <tableStyleElement type="firstHeaderCell" dxfId="153"/>
      <tableStyleElement type="firstSubtotalRow" dxfId="152"/>
      <tableStyleElement type="secondSubtotalRow" dxfId="151"/>
      <tableStyleElement type="firstRowSubheading" dxfId="150"/>
      <tableStyleElement type="secondRowSubheading" dxfId="149"/>
      <tableStyleElement type="pageFieldLabels" dxfId="148"/>
      <tableStyleElement type="pageFieldValues" dxfId="14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24994659260841701"/>
          </font>
          <fill>
            <patternFill>
              <bgColor theme="1" tint="0.14996795556505021"/>
            </patternFill>
          </fill>
          <border diagonalUp="0" diagonalDown="0">
            <left/>
            <right/>
            <top/>
            <bottom/>
            <vertical/>
            <horizontal/>
          </border>
        </dxf>
        <dxf>
          <font>
            <color theme="2"/>
          </font>
          <fill>
            <patternFill patternType="solid">
              <fgColor theme="4" tint="0.59996337778862885"/>
              <bgColor theme="4" tint="-0.24994659260841701"/>
            </patternFill>
          </fill>
          <border diagonalUp="0" diagonalDown="0">
            <left/>
            <right/>
            <top/>
            <bottom/>
            <vertical/>
            <horizontal/>
          </border>
        </dxf>
        <dxf>
          <font>
            <color theme="2" tint="-0.24994659260841701"/>
          </font>
          <fill>
            <patternFill patternType="solid">
              <fgColor rgb="FFFFFFFF"/>
              <bgColor theme="1" tint="0.14996795556505021"/>
            </patternFill>
          </fill>
          <border diagonalUp="0" diagonalDown="0">
            <left/>
            <right/>
            <top/>
            <bottom/>
            <vertical/>
            <horizontal/>
          </border>
        </dxf>
        <dxf>
          <font>
            <color auto="1"/>
          </font>
          <fill>
            <patternFill patternType="solid">
              <fgColor rgb="FFFFFFFF"/>
              <bgColor theme="4" tint="0.59996337778862885"/>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[Haushaltsbuch.xlsm]Analyse!Pivot_Umsatz</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Analyse!$Y$4</c:f>
              <c:strCache>
                <c:ptCount val="1"/>
                <c:pt idx="0">
                  <c:v>Ergebnis</c:v>
                </c:pt>
              </c:strCache>
            </c:strRef>
          </c:tx>
          <c:spPr>
            <a:solidFill>
              <a:srgbClr val="00B050"/>
            </a:solidFill>
            <a:ln>
              <a:noFill/>
            </a:ln>
            <a:effectLst/>
          </c:spPr>
          <c:invertIfNegative val="1"/>
          <c:cat>
            <c:strRef>
              <c:f>Analyse!$X$5:$X$17</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Analyse!$Y$5:$Y$17</c:f>
              <c:numCache>
                <c:formatCode>#,##0\ "€"</c:formatCode>
                <c:ptCount val="12"/>
                <c:pt idx="0">
                  <c:v>4790</c:v>
                </c:pt>
                <c:pt idx="1">
                  <c:v>4000</c:v>
                </c:pt>
                <c:pt idx="2">
                  <c:v>4810</c:v>
                </c:pt>
                <c:pt idx="3">
                  <c:v>5155</c:v>
                </c:pt>
                <c:pt idx="4">
                  <c:v>4780</c:v>
                </c:pt>
                <c:pt idx="5">
                  <c:v>3830</c:v>
                </c:pt>
                <c:pt idx="6">
                  <c:v>4810</c:v>
                </c:pt>
                <c:pt idx="7">
                  <c:v>4805</c:v>
                </c:pt>
                <c:pt idx="8">
                  <c:v>4795</c:v>
                </c:pt>
                <c:pt idx="9">
                  <c:v>3815</c:v>
                </c:pt>
                <c:pt idx="10">
                  <c:v>4825</c:v>
                </c:pt>
                <c:pt idx="11">
                  <c:v>4805</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37B5-40EA-BC63-241C2F014AB2}"/>
            </c:ext>
          </c:extLst>
        </c:ser>
        <c:dLbls>
          <c:showLegendKey val="0"/>
          <c:showVal val="0"/>
          <c:showCatName val="0"/>
          <c:showSerName val="0"/>
          <c:showPercent val="0"/>
          <c:showBubbleSize val="0"/>
        </c:dLbls>
        <c:gapWidth val="182"/>
        <c:axId val="932847352"/>
        <c:axId val="932845912"/>
      </c:barChart>
      <c:catAx>
        <c:axId val="932847352"/>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de-DE"/>
          </a:p>
        </c:txPr>
        <c:crossAx val="932845912"/>
        <c:crosses val="autoZero"/>
        <c:auto val="1"/>
        <c:lblAlgn val="ctr"/>
        <c:lblOffset val="100"/>
        <c:noMultiLvlLbl val="0"/>
      </c:catAx>
      <c:valAx>
        <c:axId val="932845912"/>
        <c:scaling>
          <c:orientation val="minMax"/>
        </c:scaling>
        <c:delete val="0"/>
        <c:axPos val="b"/>
        <c:numFmt formatCode="#,##0\ &quot;€&quot;"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de-DE"/>
          </a:p>
        </c:txPr>
        <c:crossAx val="932847352"/>
        <c:crosses val="autoZero"/>
        <c:crossBetween val="between"/>
        <c:majorUnit val="1000"/>
        <c:minorUnit val="1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[Haushaltsbuch.xlsm]Analyse!Pivot_Einnahmen</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s>
    <c:plotArea>
      <c:layout/>
      <c:doughnutChart>
        <c:varyColors val="1"/>
        <c:ser>
          <c:idx val="0"/>
          <c:order val="0"/>
          <c:tx>
            <c:strRef>
              <c:f>Analyse!$L$4</c:f>
              <c:strCache>
                <c:ptCount val="1"/>
                <c:pt idx="0">
                  <c:v>Ergebnis</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CFBD-4E6F-AC28-12657D892ADD}"/>
              </c:ext>
            </c:extLst>
          </c:dPt>
          <c:dPt>
            <c:idx val="1"/>
            <c:bubble3D val="0"/>
            <c:spPr>
              <a:solidFill>
                <a:schemeClr val="accent2"/>
              </a:solidFill>
              <a:ln w="19050">
                <a:noFill/>
              </a:ln>
              <a:effectLst/>
            </c:spPr>
            <c:extLst>
              <c:ext xmlns:c16="http://schemas.microsoft.com/office/drawing/2014/chart" uri="{C3380CC4-5D6E-409C-BE32-E72D297353CC}">
                <c16:uniqueId val="{00000003-CFBD-4E6F-AC28-12657D892ADD}"/>
              </c:ext>
            </c:extLst>
          </c:dPt>
          <c:cat>
            <c:strRef>
              <c:f>Analyse!$K$5:$K$6</c:f>
              <c:strCache>
                <c:ptCount val="1"/>
                <c:pt idx="0">
                  <c:v>Einnahmen</c:v>
                </c:pt>
              </c:strCache>
            </c:strRef>
          </c:cat>
          <c:val>
            <c:numRef>
              <c:f>Analyse!$L$5:$L$6</c:f>
              <c:numCache>
                <c:formatCode>#,##0\ "€"</c:formatCode>
                <c:ptCount val="1"/>
                <c:pt idx="0">
                  <c:v>81000</c:v>
                </c:pt>
              </c:numCache>
            </c:numRef>
          </c:val>
          <c:extLst>
            <c:ext xmlns:c16="http://schemas.microsoft.com/office/drawing/2014/chart" uri="{C3380CC4-5D6E-409C-BE32-E72D297353CC}">
              <c16:uniqueId val="{00000004-CFBD-4E6F-AC28-12657D892AD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30894947506561671"/>
          <c:y val="0.39957531350247888"/>
          <c:w val="0.18271719160104988"/>
          <c:h val="0.1730715952172645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[Haushaltsbuch.xlsm]Analyse!Pivot_Ausgaben_Top5</c:name>
    <c:fmtId val="3"/>
  </c:pivotSource>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en-US" sz="1600" b="1">
                <a:solidFill>
                  <a:schemeClr val="bg1"/>
                </a:solidFill>
              </a:rPr>
              <a:t>Top 5</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de-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Analyse!$R$4</c:f>
              <c:strCache>
                <c:ptCount val="1"/>
                <c:pt idx="0">
                  <c:v>Ergebnis</c:v>
                </c:pt>
              </c:strCache>
            </c:strRef>
          </c:tx>
          <c:spPr>
            <a:solidFill>
              <a:srgbClr val="C00000"/>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Analyse!$Q$5:$Q$9</c:f>
              <c:strCache>
                <c:ptCount val="4"/>
                <c:pt idx="0">
                  <c:v>Abos</c:v>
                </c:pt>
                <c:pt idx="1">
                  <c:v>Lebensmittel</c:v>
                </c:pt>
                <c:pt idx="2">
                  <c:v>Versicherung</c:v>
                </c:pt>
                <c:pt idx="3">
                  <c:v>KFZ</c:v>
                </c:pt>
              </c:strCache>
            </c:strRef>
          </c:cat>
          <c:val>
            <c:numRef>
              <c:f>Analyse!$R$5:$R$9</c:f>
              <c:numCache>
                <c:formatCode>#,##0\ "€"</c:formatCode>
                <c:ptCount val="4"/>
                <c:pt idx="0">
                  <c:v>885</c:v>
                </c:pt>
                <c:pt idx="1">
                  <c:v>3270</c:v>
                </c:pt>
                <c:pt idx="2">
                  <c:v>7080</c:v>
                </c:pt>
                <c:pt idx="3">
                  <c:v>14545</c:v>
                </c:pt>
              </c:numCache>
            </c:numRef>
          </c:val>
          <c:extLst>
            <c:ext xmlns:c16="http://schemas.microsoft.com/office/drawing/2014/chart" uri="{C3380CC4-5D6E-409C-BE32-E72D297353CC}">
              <c16:uniqueId val="{00000000-C97C-418F-89B5-0CF6663E2CD4}"/>
            </c:ext>
          </c:extLst>
        </c:ser>
        <c:dLbls>
          <c:dLblPos val="outEnd"/>
          <c:showLegendKey val="0"/>
          <c:showVal val="1"/>
          <c:showCatName val="0"/>
          <c:showSerName val="0"/>
          <c:showPercent val="0"/>
          <c:showBubbleSize val="0"/>
        </c:dLbls>
        <c:gapWidth val="182"/>
        <c:axId val="1043769480"/>
        <c:axId val="1043777760"/>
      </c:barChart>
      <c:catAx>
        <c:axId val="1043769480"/>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de-DE"/>
          </a:p>
        </c:txPr>
        <c:crossAx val="1043777760"/>
        <c:crosses val="autoZero"/>
        <c:auto val="1"/>
        <c:lblAlgn val="ctr"/>
        <c:lblOffset val="100"/>
        <c:noMultiLvlLbl val="0"/>
      </c:catAx>
      <c:valAx>
        <c:axId val="1043777760"/>
        <c:scaling>
          <c:orientation val="minMax"/>
        </c:scaling>
        <c:delete val="1"/>
        <c:axPos val="b"/>
        <c:numFmt formatCode="#,##0\ &quot;€&quot;" sourceLinked="1"/>
        <c:majorTickMark val="out"/>
        <c:minorTickMark val="none"/>
        <c:tickLblPos val="nextTo"/>
        <c:crossAx val="1043769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numRef>
              <c:f>Vergleich!$B$11:$B$28</c:f>
              <c:numCache>
                <c:formatCode>General</c:formatCode>
                <c:ptCount val="18"/>
              </c:numCache>
            </c:numRef>
          </c:cat>
          <c:val>
            <c:numRef>
              <c:f>Vergleich!$C$11:$C$28</c:f>
              <c:numCache>
                <c:formatCode>_-* #.##0\ "$"_-;\-* #.##0\ "$"_-;_-* "-"??\ "$"_-;_-@_-</c:formatCode>
                <c:ptCount val="18"/>
              </c:numCache>
            </c:numRef>
          </c:val>
          <c:extLst>
            <c:ext xmlns:c16="http://schemas.microsoft.com/office/drawing/2014/chart" uri="{C3380CC4-5D6E-409C-BE32-E72D297353CC}">
              <c16:uniqueId val="{00000000-BF7F-458B-8493-7E0A00B954B0}"/>
            </c:ext>
          </c:extLst>
        </c:ser>
        <c:ser>
          <c:idx val="1"/>
          <c:order val="1"/>
          <c:spPr>
            <a:solidFill>
              <a:schemeClr val="accent2"/>
            </a:solidFill>
            <a:ln>
              <a:noFill/>
            </a:ln>
            <a:effectLst/>
          </c:spPr>
          <c:invertIfNegative val="0"/>
          <c:cat>
            <c:numRef>
              <c:f>Vergleich!$B$11:$B$28</c:f>
              <c:numCache>
                <c:formatCode>General</c:formatCode>
                <c:ptCount val="18"/>
              </c:numCache>
            </c:numRef>
          </c:cat>
          <c:val>
            <c:numRef>
              <c:f>Vergleich!$E$11:$E$28</c:f>
              <c:numCache>
                <c:formatCode>_-* #.##0\ "$"_-;\-* #.##0\ "$"_-;_-* "-"??\ "$"_-;_-@_-</c:formatCode>
                <c:ptCount val="18"/>
              </c:numCache>
            </c:numRef>
          </c:val>
          <c:extLst>
            <c:ext xmlns:c16="http://schemas.microsoft.com/office/drawing/2014/chart" uri="{C3380CC4-5D6E-409C-BE32-E72D297353CC}">
              <c16:uniqueId val="{00000001-BF7F-458B-8493-7E0A00B954B0}"/>
            </c:ext>
          </c:extLst>
        </c:ser>
        <c:dLbls>
          <c:showLegendKey val="0"/>
          <c:showVal val="0"/>
          <c:showCatName val="0"/>
          <c:showSerName val="0"/>
          <c:showPercent val="0"/>
          <c:showBubbleSize val="0"/>
        </c:dLbls>
        <c:gapWidth val="219"/>
        <c:overlap val="-27"/>
        <c:axId val="967367328"/>
        <c:axId val="967367688"/>
      </c:barChart>
      <c:catAx>
        <c:axId val="967367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de-DE"/>
          </a:p>
        </c:txPr>
        <c:crossAx val="967367688"/>
        <c:crosses val="autoZero"/>
        <c:auto val="1"/>
        <c:lblAlgn val="ctr"/>
        <c:lblOffset val="200"/>
        <c:noMultiLvlLbl val="0"/>
      </c:catAx>
      <c:valAx>
        <c:axId val="967367688"/>
        <c:scaling>
          <c:orientation val="minMax"/>
        </c:scaling>
        <c:delete val="0"/>
        <c:axPos val="l"/>
        <c:numFmt formatCode="#,##0\ &quot;€&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de-DE"/>
          </a:p>
        </c:txPr>
        <c:crossAx val="96736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4.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19049</xdr:colOff>
      <xdr:row>0</xdr:row>
      <xdr:rowOff>1</xdr:rowOff>
    </xdr:from>
    <xdr:to>
      <xdr:col>5</xdr:col>
      <xdr:colOff>104774</xdr:colOff>
      <xdr:row>1</xdr:row>
      <xdr:rowOff>150460</xdr:rowOff>
    </xdr:to>
    <mc:AlternateContent xmlns:mc="http://schemas.openxmlformats.org/markup-compatibility/2006" xmlns:a14="http://schemas.microsoft.com/office/drawing/2010/main">
      <mc:Choice Requires="a14">
        <xdr:graphicFrame macro="">
          <xdr:nvGraphicFramePr>
            <xdr:cNvPr id="2" name="Jahr">
              <a:extLst>
                <a:ext uri="{FF2B5EF4-FFF2-40B4-BE49-F238E27FC236}">
                  <a16:creationId xmlns:a16="http://schemas.microsoft.com/office/drawing/2014/main" id="{00000000-0008-0000-02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ahr"/>
            </a:graphicData>
          </a:graphic>
        </xdr:graphicFrame>
      </mc:Choice>
      <mc:Fallback xmlns="">
        <xdr:sp macro="" textlink="">
          <xdr:nvSpPr>
            <xdr:cNvPr id="0" name=""/>
            <xdr:cNvSpPr>
              <a:spLocks noTextEdit="1"/>
            </xdr:cNvSpPr>
          </xdr:nvSpPr>
          <xdr:spPr>
            <a:xfrm>
              <a:off x="19049" y="1"/>
              <a:ext cx="3895725" cy="111248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5</xdr:col>
      <xdr:colOff>57150</xdr:colOff>
      <xdr:row>0</xdr:row>
      <xdr:rowOff>1</xdr:rowOff>
    </xdr:from>
    <xdr:to>
      <xdr:col>23</xdr:col>
      <xdr:colOff>19050</xdr:colOff>
      <xdr:row>1</xdr:row>
      <xdr:rowOff>171450</xdr:rowOff>
    </xdr:to>
    <mc:AlternateContent xmlns:mc="http://schemas.openxmlformats.org/markup-compatibility/2006" xmlns:a14="http://schemas.microsoft.com/office/drawing/2010/main">
      <mc:Choice Requires="a14">
        <xdr:graphicFrame macro="">
          <xdr:nvGraphicFramePr>
            <xdr:cNvPr id="3" name="Monat">
              <a:extLst>
                <a:ext uri="{FF2B5EF4-FFF2-40B4-BE49-F238E27FC236}">
                  <a16:creationId xmlns:a16="http://schemas.microsoft.com/office/drawing/2014/main" id="{00000000-0008-0000-02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at"/>
            </a:graphicData>
          </a:graphic>
        </xdr:graphicFrame>
      </mc:Choice>
      <mc:Fallback xmlns="">
        <xdr:sp macro="" textlink="">
          <xdr:nvSpPr>
            <xdr:cNvPr id="0" name=""/>
            <xdr:cNvSpPr>
              <a:spLocks noTextEdit="1"/>
            </xdr:cNvSpPr>
          </xdr:nvSpPr>
          <xdr:spPr>
            <a:xfrm>
              <a:off x="3867150" y="1"/>
              <a:ext cx="13677900" cy="1133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1</xdr:col>
      <xdr:colOff>414338</xdr:colOff>
      <xdr:row>5</xdr:row>
      <xdr:rowOff>47625</xdr:rowOff>
    </xdr:from>
    <xdr:to>
      <xdr:col>4</xdr:col>
      <xdr:colOff>671513</xdr:colOff>
      <xdr:row>9</xdr:row>
      <xdr:rowOff>133350</xdr:rowOff>
    </xdr:to>
    <xdr:sp macro="" textlink="">
      <xdr:nvSpPr>
        <xdr:cNvPr id="5" name="Umsatz">
          <a:extLst>
            <a:ext uri="{FF2B5EF4-FFF2-40B4-BE49-F238E27FC236}">
              <a16:creationId xmlns:a16="http://schemas.microsoft.com/office/drawing/2014/main" id="{00000000-0008-0000-0200-000005000000}"/>
            </a:ext>
          </a:extLst>
        </xdr:cNvPr>
        <xdr:cNvSpPr/>
      </xdr:nvSpPr>
      <xdr:spPr>
        <a:xfrm>
          <a:off x="1176338" y="1847850"/>
          <a:ext cx="2543175" cy="8477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i="0" u="none" strike="noStrike">
              <a:solidFill>
                <a:schemeClr val="bg1"/>
              </a:solidFill>
              <a:latin typeface="Calibri"/>
              <a:ea typeface="+mn-ea"/>
              <a:cs typeface="Calibri"/>
            </a:rPr>
            <a:t>Umsatz </a:t>
          </a:r>
          <a:r>
            <a:rPr lang="en-US" sz="1050" b="0" i="0" u="none" strike="noStrike">
              <a:solidFill>
                <a:schemeClr val="bg1"/>
              </a:solidFill>
              <a:latin typeface="Calibri"/>
              <a:ea typeface="+mn-ea"/>
              <a:cs typeface="Calibri"/>
            </a:rPr>
            <a:t>(akt. Jahr)</a:t>
          </a:r>
          <a:endParaRPr lang="en-US" sz="1800" b="0" i="0" u="none" strike="noStrike">
            <a:solidFill>
              <a:schemeClr val="bg1"/>
            </a:solidFill>
            <a:latin typeface="Calibri"/>
            <a:ea typeface="+mn-ea"/>
            <a:cs typeface="Calibri"/>
          </a:endParaRPr>
        </a:p>
      </xdr:txBody>
    </xdr:sp>
    <xdr:clientData/>
  </xdr:twoCellAnchor>
  <xdr:twoCellAnchor>
    <xdr:from>
      <xdr:col>2</xdr:col>
      <xdr:colOff>338138</xdr:colOff>
      <xdr:row>7</xdr:row>
      <xdr:rowOff>46292</xdr:rowOff>
    </xdr:from>
    <xdr:to>
      <xdr:col>3</xdr:col>
      <xdr:colOff>747712</xdr:colOff>
      <xdr:row>9</xdr:row>
      <xdr:rowOff>39433</xdr:rowOff>
    </xdr:to>
    <xdr:sp macro="" textlink="Analyse!B6">
      <xdr:nvSpPr>
        <xdr:cNvPr id="6" name="Textfeld 5">
          <a:extLst>
            <a:ext uri="{FF2B5EF4-FFF2-40B4-BE49-F238E27FC236}">
              <a16:creationId xmlns:a16="http://schemas.microsoft.com/office/drawing/2014/main" id="{00000000-0008-0000-0200-000006000000}"/>
            </a:ext>
          </a:extLst>
        </xdr:cNvPr>
        <xdr:cNvSpPr txBox="1"/>
      </xdr:nvSpPr>
      <xdr:spPr>
        <a:xfrm>
          <a:off x="1862138" y="2227517"/>
          <a:ext cx="1171574" cy="374141"/>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AA825C-5BE2-4D98-B4EA-7965449D4E62}" type="TxLink">
            <a:rPr lang="en-US" sz="1800" b="1" i="0" u="none" strike="noStrike">
              <a:solidFill>
                <a:schemeClr val="bg1"/>
              </a:solidFill>
              <a:latin typeface="Calibri"/>
              <a:ea typeface="+mn-ea"/>
              <a:cs typeface="Calibri"/>
            </a:rPr>
            <a:pPr marL="0" indent="0" algn="ctr"/>
            <a:t> 55.220 € </a:t>
          </a:fld>
          <a:endParaRPr lang="en-US" sz="3200" b="1" i="0" u="none" strike="noStrike">
            <a:solidFill>
              <a:schemeClr val="bg1"/>
            </a:solidFill>
            <a:latin typeface="Calibri"/>
            <a:ea typeface="+mn-ea"/>
            <a:cs typeface="Calibri"/>
          </a:endParaRPr>
        </a:p>
      </xdr:txBody>
    </xdr:sp>
    <xdr:clientData/>
  </xdr:twoCellAnchor>
  <xdr:twoCellAnchor>
    <xdr:from>
      <xdr:col>15</xdr:col>
      <xdr:colOff>757238</xdr:colOff>
      <xdr:row>5</xdr:row>
      <xdr:rowOff>81878</xdr:rowOff>
    </xdr:from>
    <xdr:to>
      <xdr:col>19</xdr:col>
      <xdr:colOff>252413</xdr:colOff>
      <xdr:row>9</xdr:row>
      <xdr:rowOff>169478</xdr:rowOff>
    </xdr:to>
    <xdr:grpSp>
      <xdr:nvGrpSpPr>
        <xdr:cNvPr id="1043" name="Gruppieren 1042">
          <a:extLst>
            <a:ext uri="{FF2B5EF4-FFF2-40B4-BE49-F238E27FC236}">
              <a16:creationId xmlns:a16="http://schemas.microsoft.com/office/drawing/2014/main" id="{00000000-0008-0000-0200-000013040000}"/>
            </a:ext>
          </a:extLst>
        </xdr:cNvPr>
        <xdr:cNvGrpSpPr/>
      </xdr:nvGrpSpPr>
      <xdr:grpSpPr>
        <a:xfrm>
          <a:off x="12187238" y="1882103"/>
          <a:ext cx="2543175" cy="849600"/>
          <a:chOff x="12187238" y="1539203"/>
          <a:chExt cx="2543175" cy="849600"/>
        </a:xfrm>
      </xdr:grpSpPr>
      <xdr:sp macro="[0]!Button_Ausgaben" textlink="">
        <xdr:nvSpPr>
          <xdr:cNvPr id="14" name="Rechteck: abgerundete Ecken 13">
            <a:extLst>
              <a:ext uri="{FF2B5EF4-FFF2-40B4-BE49-F238E27FC236}">
                <a16:creationId xmlns:a16="http://schemas.microsoft.com/office/drawing/2014/main" id="{00000000-0008-0000-0200-00000E000000}"/>
              </a:ext>
            </a:extLst>
          </xdr:cNvPr>
          <xdr:cNvSpPr/>
        </xdr:nvSpPr>
        <xdr:spPr>
          <a:xfrm>
            <a:off x="12187238" y="1539203"/>
            <a:ext cx="2543175" cy="849600"/>
          </a:xfrm>
          <a:prstGeom prst="round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US" sz="2400" b="1" i="0" u="none" strike="noStrike">
                <a:solidFill>
                  <a:schemeClr val="bg1"/>
                </a:solidFill>
                <a:latin typeface="Calibri"/>
                <a:ea typeface="+mn-ea"/>
                <a:cs typeface="Calibri"/>
              </a:rPr>
              <a:t>Ausgaben</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sp macro="[0]!Button_Ausgaben" textlink="Analyse!B5">
        <xdr:nvSpPr>
          <xdr:cNvPr id="15" name="Textfeld 14">
            <a:extLst>
              <a:ext uri="{FF2B5EF4-FFF2-40B4-BE49-F238E27FC236}">
                <a16:creationId xmlns:a16="http://schemas.microsoft.com/office/drawing/2014/main" id="{00000000-0008-0000-0200-00000F000000}"/>
              </a:ext>
            </a:extLst>
          </xdr:cNvPr>
          <xdr:cNvSpPr txBox="1"/>
        </xdr:nvSpPr>
        <xdr:spPr>
          <a:xfrm>
            <a:off x="12825413" y="2085975"/>
            <a:ext cx="1171574" cy="194122"/>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8AD3B20-3FE2-459D-83AB-DBBC6B8F5C2D}" type="TxLink">
              <a:rPr lang="en-US" sz="1800" b="1" i="0" u="none" strike="noStrike">
                <a:solidFill>
                  <a:schemeClr val="bg1"/>
                </a:solidFill>
                <a:latin typeface="Calibri"/>
                <a:ea typeface="+mn-ea"/>
                <a:cs typeface="Calibri"/>
              </a:rPr>
              <a:pPr marL="0" indent="0" algn="ctr"/>
              <a:t> 25.780 € </a:t>
            </a:fld>
            <a:endParaRPr lang="en-US" sz="1800" b="1" i="0" u="none" strike="noStrike">
              <a:solidFill>
                <a:schemeClr val="bg1"/>
              </a:solidFill>
              <a:latin typeface="Calibri"/>
              <a:ea typeface="+mn-ea"/>
              <a:cs typeface="Calibri"/>
            </a:endParaRPr>
          </a:p>
        </xdr:txBody>
      </xdr:sp>
    </xdr:grpSp>
    <xdr:clientData/>
  </xdr:twoCellAnchor>
  <xdr:twoCellAnchor>
    <xdr:from>
      <xdr:col>0</xdr:col>
      <xdr:colOff>295275</xdr:colOff>
      <xdr:row>10</xdr:row>
      <xdr:rowOff>171449</xdr:rowOff>
    </xdr:from>
    <xdr:to>
      <xdr:col>6</xdr:col>
      <xdr:colOff>28575</xdr:colOff>
      <xdr:row>34</xdr:row>
      <xdr:rowOff>104774</xdr:rowOff>
    </xdr:to>
    <xdr:graphicFrame macro="">
      <xdr:nvGraphicFramePr>
        <xdr:cNvPr id="16" name="Diagramm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352425</xdr:colOff>
      <xdr:row>5</xdr:row>
      <xdr:rowOff>47625</xdr:rowOff>
    </xdr:from>
    <xdr:to>
      <xdr:col>12</xdr:col>
      <xdr:colOff>609600</xdr:colOff>
      <xdr:row>9</xdr:row>
      <xdr:rowOff>133350</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7210425" y="1847850"/>
          <a:ext cx="2543175" cy="847725"/>
          <a:chOff x="762000" y="1533525"/>
          <a:chExt cx="2543175" cy="847725"/>
        </a:xfrm>
      </xdr:grpSpPr>
      <xdr:sp macro="[0]!Button_Einnahmen_all" textlink="">
        <xdr:nvSpPr>
          <xdr:cNvPr id="11" name="Rechteck: abgerundete Ecken 10">
            <a:extLst>
              <a:ext uri="{FF2B5EF4-FFF2-40B4-BE49-F238E27FC236}">
                <a16:creationId xmlns:a16="http://schemas.microsoft.com/office/drawing/2014/main" id="{00000000-0008-0000-0200-00000B000000}"/>
              </a:ext>
            </a:extLst>
          </xdr:cNvPr>
          <xdr:cNvSpPr/>
        </xdr:nvSpPr>
        <xdr:spPr>
          <a:xfrm>
            <a:off x="762000" y="1533525"/>
            <a:ext cx="2543175" cy="847725"/>
          </a:xfrm>
          <a:prstGeom prst="round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1" i="0" u="none" strike="noStrike">
                <a:solidFill>
                  <a:schemeClr val="bg1"/>
                </a:solidFill>
                <a:latin typeface="Calibri"/>
                <a:ea typeface="+mn-ea"/>
                <a:cs typeface="Calibri"/>
              </a:rPr>
              <a:t>Einnahmen</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sp macro="[0]!Button_Einnahmen_all" textlink="Analyse!B4">
        <xdr:nvSpPr>
          <xdr:cNvPr id="12" name="Textfeld 11">
            <a:extLst>
              <a:ext uri="{FF2B5EF4-FFF2-40B4-BE49-F238E27FC236}">
                <a16:creationId xmlns:a16="http://schemas.microsoft.com/office/drawing/2014/main" id="{00000000-0008-0000-0200-00000C000000}"/>
              </a:ext>
            </a:extLst>
          </xdr:cNvPr>
          <xdr:cNvSpPr txBox="1"/>
        </xdr:nvSpPr>
        <xdr:spPr>
          <a:xfrm>
            <a:off x="1447800" y="1913192"/>
            <a:ext cx="1171574" cy="374141"/>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3058926-80FE-452B-99A1-A59E965EADD0}" type="TxLink">
              <a:rPr lang="en-US" sz="1800" b="1" i="0" u="none" strike="noStrike">
                <a:solidFill>
                  <a:schemeClr val="bg1"/>
                </a:solidFill>
                <a:latin typeface="Calibri"/>
                <a:ea typeface="+mn-ea"/>
                <a:cs typeface="Calibri"/>
              </a:rPr>
              <a:pPr marL="0" indent="0" algn="ctr"/>
              <a:t> 81.000 € </a:t>
            </a:fld>
            <a:endParaRPr lang="en-US" sz="1800" b="1" i="0" u="none" strike="noStrike">
              <a:solidFill>
                <a:schemeClr val="bg1"/>
              </a:solidFill>
              <a:latin typeface="Calibri"/>
              <a:ea typeface="+mn-ea"/>
              <a:cs typeface="Calibri"/>
            </a:endParaRPr>
          </a:p>
        </xdr:txBody>
      </xdr:sp>
    </xdr:grpSp>
    <xdr:clientData/>
  </xdr:twoCellAnchor>
  <xdr:twoCellAnchor>
    <xdr:from>
      <xdr:col>8</xdr:col>
      <xdr:colOff>704850</xdr:colOff>
      <xdr:row>11</xdr:row>
      <xdr:rowOff>9525</xdr:rowOff>
    </xdr:from>
    <xdr:to>
      <xdr:col>14</xdr:col>
      <xdr:colOff>504825</xdr:colOff>
      <xdr:row>25</xdr:row>
      <xdr:rowOff>85725</xdr:rowOff>
    </xdr:to>
    <xdr:graphicFrame macro="">
      <xdr:nvGraphicFramePr>
        <xdr:cNvPr id="17" name="Diagramm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628650</xdr:colOff>
      <xdr:row>11</xdr:row>
      <xdr:rowOff>9525</xdr:rowOff>
    </xdr:from>
    <xdr:to>
      <xdr:col>23</xdr:col>
      <xdr:colOff>0</xdr:colOff>
      <xdr:row>36</xdr:row>
      <xdr:rowOff>76200</xdr:rowOff>
    </xdr:to>
    <xdr:graphicFrame macro="">
      <xdr:nvGraphicFramePr>
        <xdr:cNvPr id="18" name="Dia_Ausgaben">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119062</xdr:colOff>
      <xdr:row>27</xdr:row>
      <xdr:rowOff>133350</xdr:rowOff>
    </xdr:from>
    <xdr:to>
      <xdr:col>12</xdr:col>
      <xdr:colOff>80962</xdr:colOff>
      <xdr:row>29</xdr:row>
      <xdr:rowOff>190499</xdr:rowOff>
    </xdr:to>
    <xdr:sp macro="[0]!Vergleich_Button" textlink="">
      <xdr:nvSpPr>
        <xdr:cNvPr id="22" name="Rechteck: abgerundete Ecken 21">
          <a:extLst>
            <a:ext uri="{FF2B5EF4-FFF2-40B4-BE49-F238E27FC236}">
              <a16:creationId xmlns:a16="http://schemas.microsoft.com/office/drawing/2014/main" id="{00000000-0008-0000-0200-000016000000}"/>
            </a:ext>
          </a:extLst>
        </xdr:cNvPr>
        <xdr:cNvSpPr/>
      </xdr:nvSpPr>
      <xdr:spPr>
        <a:xfrm>
          <a:off x="7739062" y="6048375"/>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1" i="0" u="none" strike="noStrike">
              <a:solidFill>
                <a:schemeClr val="bg1"/>
              </a:solidFill>
              <a:latin typeface="Calibri"/>
              <a:ea typeface="+mn-ea"/>
              <a:cs typeface="Calibri"/>
            </a:rPr>
            <a:t>Vergleich</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clientData/>
  </xdr:twoCellAnchor>
  <xdr:twoCellAnchor editAs="oneCell">
    <xdr:from>
      <xdr:col>19</xdr:col>
      <xdr:colOff>419099</xdr:colOff>
      <xdr:row>0</xdr:row>
      <xdr:rowOff>130241</xdr:rowOff>
    </xdr:from>
    <xdr:to>
      <xdr:col>20</xdr:col>
      <xdr:colOff>17099</xdr:colOff>
      <xdr:row>0</xdr:row>
      <xdr:rowOff>490241</xdr:rowOff>
    </xdr:to>
    <xdr:pic macro="[0]!refresh_all_ws">
      <xdr:nvPicPr>
        <xdr:cNvPr id="29" name="Grafik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897099" y="130241"/>
          <a:ext cx="360000" cy="360000"/>
        </a:xfrm>
        <a:prstGeom prst="rect">
          <a:avLst/>
        </a:prstGeom>
      </xdr:spPr>
    </xdr:pic>
    <xdr:clientData/>
  </xdr:twoCellAnchor>
  <xdr:twoCellAnchor editAs="oneCell">
    <xdr:from>
      <xdr:col>21</xdr:col>
      <xdr:colOff>447675</xdr:colOff>
      <xdr:row>0</xdr:row>
      <xdr:rowOff>133350</xdr:rowOff>
    </xdr:from>
    <xdr:to>
      <xdr:col>22</xdr:col>
      <xdr:colOff>45675</xdr:colOff>
      <xdr:row>0</xdr:row>
      <xdr:rowOff>493350</xdr:rowOff>
    </xdr:to>
    <xdr:pic macro="[0]!Button_Menu">
      <xdr:nvPicPr>
        <xdr:cNvPr id="31" name="Grafik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449675" y="133350"/>
          <a:ext cx="360000" cy="360000"/>
        </a:xfrm>
        <a:prstGeom prst="rect">
          <a:avLst/>
        </a:prstGeom>
      </xdr:spPr>
    </xdr:pic>
    <xdr:clientData/>
  </xdr:twoCellAnchor>
  <xdr:twoCellAnchor>
    <xdr:from>
      <xdr:col>10</xdr:col>
      <xdr:colOff>119062</xdr:colOff>
      <xdr:row>30</xdr:row>
      <xdr:rowOff>114300</xdr:rowOff>
    </xdr:from>
    <xdr:to>
      <xdr:col>12</xdr:col>
      <xdr:colOff>80962</xdr:colOff>
      <xdr:row>32</xdr:row>
      <xdr:rowOff>171449</xdr:rowOff>
    </xdr:to>
    <xdr:sp macro="[0]!Durchschnitt_Button" textlink="">
      <xdr:nvSpPr>
        <xdr:cNvPr id="28" name="Rechteck: abgerundete Ecken 27">
          <a:extLst>
            <a:ext uri="{FF2B5EF4-FFF2-40B4-BE49-F238E27FC236}">
              <a16:creationId xmlns:a16="http://schemas.microsoft.com/office/drawing/2014/main" id="{00000000-0008-0000-0200-00001C000000}"/>
            </a:ext>
          </a:extLst>
        </xdr:cNvPr>
        <xdr:cNvSpPr/>
      </xdr:nvSpPr>
      <xdr:spPr>
        <a:xfrm>
          <a:off x="7739062" y="6600825"/>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800" b="1" i="0" u="none" strike="noStrike">
              <a:solidFill>
                <a:schemeClr val="bg1"/>
              </a:solidFill>
              <a:latin typeface="Calibri"/>
              <a:ea typeface="+mn-ea"/>
              <a:cs typeface="Calibri"/>
            </a:rPr>
            <a:t>Durchschnitt</a:t>
          </a:r>
        </a:p>
        <a:p>
          <a:pPr marL="0" indent="0" algn="ctr"/>
          <a:endParaRPr lang="en-US" sz="1800" b="1" i="0" u="none" strike="noStrike">
            <a:solidFill>
              <a:schemeClr val="bg1"/>
            </a:solidFill>
            <a:latin typeface="Calibri"/>
            <a:ea typeface="+mn-ea"/>
            <a:cs typeface="Calibri"/>
          </a:endParaRPr>
        </a:p>
      </xdr:txBody>
    </xdr:sp>
    <xdr:clientData/>
  </xdr:twoCellAnchor>
  <xdr:twoCellAnchor>
    <xdr:from>
      <xdr:col>19</xdr:col>
      <xdr:colOff>433388</xdr:colOff>
      <xdr:row>5</xdr:row>
      <xdr:rowOff>81878</xdr:rowOff>
    </xdr:from>
    <xdr:to>
      <xdr:col>21</xdr:col>
      <xdr:colOff>714375</xdr:colOff>
      <xdr:row>9</xdr:row>
      <xdr:rowOff>169478</xdr:rowOff>
    </xdr:to>
    <xdr:grpSp>
      <xdr:nvGrpSpPr>
        <xdr:cNvPr id="8" name="Gruppieren 7">
          <a:extLst>
            <a:ext uri="{FF2B5EF4-FFF2-40B4-BE49-F238E27FC236}">
              <a16:creationId xmlns:a16="http://schemas.microsoft.com/office/drawing/2014/main" id="{E545AF7C-A841-9F34-A826-F73EAF6B37BB}"/>
            </a:ext>
          </a:extLst>
        </xdr:cNvPr>
        <xdr:cNvGrpSpPr/>
      </xdr:nvGrpSpPr>
      <xdr:grpSpPr>
        <a:xfrm>
          <a:off x="14911388" y="1882103"/>
          <a:ext cx="1804987" cy="849600"/>
          <a:chOff x="14911388" y="1882103"/>
          <a:chExt cx="1804987" cy="849600"/>
        </a:xfrm>
      </xdr:grpSpPr>
      <xdr:sp macro="[0]!Button_Fixkosten" textlink="">
        <xdr:nvSpPr>
          <xdr:cNvPr id="1040" name="Rechteck: abgerundete Ecken 1039">
            <a:extLst>
              <a:ext uri="{FF2B5EF4-FFF2-40B4-BE49-F238E27FC236}">
                <a16:creationId xmlns:a16="http://schemas.microsoft.com/office/drawing/2014/main" id="{00000000-0008-0000-0200-000010040000}"/>
              </a:ext>
            </a:extLst>
          </xdr:cNvPr>
          <xdr:cNvSpPr/>
        </xdr:nvSpPr>
        <xdr:spPr>
          <a:xfrm>
            <a:off x="14911388" y="1882103"/>
            <a:ext cx="1804987" cy="849600"/>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US" sz="2400" b="1" i="0" u="none" strike="noStrike">
                <a:solidFill>
                  <a:schemeClr val="bg1"/>
                </a:solidFill>
                <a:latin typeface="Calibri"/>
                <a:ea typeface="+mn-ea"/>
                <a:cs typeface="Calibri"/>
              </a:rPr>
              <a:t>Fixkosten</a:t>
            </a:r>
          </a:p>
          <a:p>
            <a:pPr marL="0" indent="0" algn="ctr"/>
            <a:endParaRPr lang="en-US" sz="1800" b="1" i="0" u="none" strike="noStrike">
              <a:solidFill>
                <a:schemeClr val="bg1"/>
              </a:solidFill>
              <a:latin typeface="Calibri"/>
              <a:ea typeface="+mn-ea"/>
              <a:cs typeface="Calibri"/>
            </a:endParaRPr>
          </a:p>
        </xdr:txBody>
      </xdr:sp>
      <xdr:sp macro="[0]!Button_Fixkosten" textlink="Analyse!B7">
        <xdr:nvSpPr>
          <xdr:cNvPr id="1041" name="Textfeld 1040">
            <a:extLst>
              <a:ext uri="{FF2B5EF4-FFF2-40B4-BE49-F238E27FC236}">
                <a16:creationId xmlns:a16="http://schemas.microsoft.com/office/drawing/2014/main" id="{00000000-0008-0000-0200-000011040000}"/>
              </a:ext>
            </a:extLst>
          </xdr:cNvPr>
          <xdr:cNvSpPr txBox="1"/>
        </xdr:nvSpPr>
        <xdr:spPr>
          <a:xfrm>
            <a:off x="15116175" y="2428875"/>
            <a:ext cx="1466850" cy="247650"/>
          </a:xfrm>
          <a:prstGeom prst="rect">
            <a:avLst/>
          </a:prstGeom>
          <a:solidFill>
            <a:schemeClr val="accent2"/>
          </a:solidFill>
          <a:ln>
            <a:solidFill>
              <a:schemeClr val="accent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B2E1422-C6BB-408B-A147-7BAAFADFF0C2}" type="TxLink">
              <a:rPr lang="en-US" sz="1800" b="1" i="0" u="none" strike="noStrike">
                <a:solidFill>
                  <a:schemeClr val="bg1"/>
                </a:solidFill>
                <a:latin typeface="Calibri"/>
                <a:ea typeface="+mn-ea"/>
                <a:cs typeface="Calibri"/>
              </a:rPr>
              <a:pPr marL="0" indent="0" algn="ctr"/>
              <a:t> -   € </a:t>
            </a:fld>
            <a:endParaRPr lang="en-US" sz="1800" b="1" i="0" u="none" strike="noStrike">
              <a:solidFill>
                <a:schemeClr val="bg1"/>
              </a:solidFill>
              <a:latin typeface="Calibri"/>
              <a:ea typeface="+mn-ea"/>
              <a:cs typeface="Calibri"/>
            </a:endParaRPr>
          </a:p>
        </xdr:txBody>
      </xdr:sp>
    </xdr:grpSp>
    <xdr:clientData/>
  </xdr:twoCellAnchor>
  <xdr:twoCellAnchor editAs="oneCell">
    <xdr:from>
      <xdr:col>20</xdr:col>
      <xdr:colOff>752475</xdr:colOff>
      <xdr:row>0</xdr:row>
      <xdr:rowOff>130241</xdr:rowOff>
    </xdr:from>
    <xdr:to>
      <xdr:col>21</xdr:col>
      <xdr:colOff>350475</xdr:colOff>
      <xdr:row>0</xdr:row>
      <xdr:rowOff>490241</xdr:rowOff>
    </xdr:to>
    <xdr:pic macro="[0]!python_get_cat">
      <xdr:nvPicPr>
        <xdr:cNvPr id="27" name="Grafik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V="1">
          <a:off x="15992475" y="130241"/>
          <a:ext cx="360000" cy="360000"/>
        </a:xfrm>
        <a:prstGeom prst="rect">
          <a:avLst/>
        </a:prstGeom>
      </xdr:spPr>
    </xdr:pic>
    <xdr:clientData/>
  </xdr:twoCellAnchor>
  <xdr:twoCellAnchor editAs="oneCell">
    <xdr:from>
      <xdr:col>20</xdr:col>
      <xdr:colOff>204787</xdr:colOff>
      <xdr:row>0</xdr:row>
      <xdr:rowOff>111191</xdr:rowOff>
    </xdr:from>
    <xdr:to>
      <xdr:col>20</xdr:col>
      <xdr:colOff>564787</xdr:colOff>
      <xdr:row>0</xdr:row>
      <xdr:rowOff>471191</xdr:rowOff>
    </xdr:to>
    <xdr:pic macro="[0]!open_data_sheet">
      <xdr:nvPicPr>
        <xdr:cNvPr id="1026" name="Grafik 1025">
          <a:extLst>
            <a:ext uri="{FF2B5EF4-FFF2-40B4-BE49-F238E27FC236}">
              <a16:creationId xmlns:a16="http://schemas.microsoft.com/office/drawing/2014/main" id="{00000000-0008-0000-0200-000002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5444787" y="111191"/>
          <a:ext cx="360000" cy="360000"/>
        </a:xfrm>
        <a:prstGeom prst="rect">
          <a:avLst/>
        </a:prstGeom>
      </xdr:spPr>
    </xdr:pic>
    <xdr:clientData/>
  </xdr:twoCellAnchor>
  <xdr:twoCellAnchor>
    <xdr:from>
      <xdr:col>5</xdr:col>
      <xdr:colOff>85725</xdr:colOff>
      <xdr:row>4</xdr:row>
      <xdr:rowOff>161925</xdr:rowOff>
    </xdr:from>
    <xdr:to>
      <xdr:col>17</xdr:col>
      <xdr:colOff>381000</xdr:colOff>
      <xdr:row>28</xdr:row>
      <xdr:rowOff>85725</xdr:rowOff>
    </xdr:to>
    <xdr:grpSp>
      <xdr:nvGrpSpPr>
        <xdr:cNvPr id="4" name="Menu" hidden="1">
          <a:extLst>
            <a:ext uri="{FF2B5EF4-FFF2-40B4-BE49-F238E27FC236}">
              <a16:creationId xmlns:a16="http://schemas.microsoft.com/office/drawing/2014/main" id="{00000000-0008-0000-0200-000004000000}"/>
            </a:ext>
          </a:extLst>
        </xdr:cNvPr>
        <xdr:cNvGrpSpPr/>
      </xdr:nvGrpSpPr>
      <xdr:grpSpPr>
        <a:xfrm>
          <a:off x="3895725" y="1771650"/>
          <a:ext cx="9439275" cy="4495800"/>
          <a:chOff x="3895725" y="1771650"/>
          <a:chExt cx="9439275" cy="4495800"/>
        </a:xfrm>
      </xdr:grpSpPr>
      <xdr:sp macro="" textlink="">
        <xdr:nvSpPr>
          <xdr:cNvPr id="21" name="Rechteck: abgerundete Ecken 20" hidden="1">
            <a:extLst>
              <a:ext uri="{FF2B5EF4-FFF2-40B4-BE49-F238E27FC236}">
                <a16:creationId xmlns:a16="http://schemas.microsoft.com/office/drawing/2014/main" id="{00000000-0008-0000-0200-000015000000}"/>
              </a:ext>
            </a:extLst>
          </xdr:cNvPr>
          <xdr:cNvSpPr/>
        </xdr:nvSpPr>
        <xdr:spPr>
          <a:xfrm>
            <a:off x="3895725" y="1771650"/>
            <a:ext cx="9439275" cy="449580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EntwicklerModus" textlink="">
        <xdr:nvSpPr>
          <xdr:cNvPr id="1024" name="Rechteck: abgerundete Ecken 1023" hidden="1">
            <a:extLst>
              <a:ext uri="{FF2B5EF4-FFF2-40B4-BE49-F238E27FC236}">
                <a16:creationId xmlns:a16="http://schemas.microsoft.com/office/drawing/2014/main" id="{00000000-0008-0000-0200-000000040000}"/>
              </a:ext>
            </a:extLst>
          </xdr:cNvPr>
          <xdr:cNvSpPr/>
        </xdr:nvSpPr>
        <xdr:spPr>
          <a:xfrm>
            <a:off x="4733925" y="36052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Entwicklermodus</a:t>
            </a:r>
          </a:p>
        </xdr:txBody>
      </xdr:sp>
      <xdr:sp macro="[0]!Button_BenutzerModus" textlink="">
        <xdr:nvSpPr>
          <xdr:cNvPr id="1025" name="Rechteck: abgerundete Ecken 1024" hidden="1">
            <a:extLst>
              <a:ext uri="{FF2B5EF4-FFF2-40B4-BE49-F238E27FC236}">
                <a16:creationId xmlns:a16="http://schemas.microsoft.com/office/drawing/2014/main" id="{00000000-0008-0000-0200-000001040000}"/>
              </a:ext>
            </a:extLst>
          </xdr:cNvPr>
          <xdr:cNvSpPr/>
        </xdr:nvSpPr>
        <xdr:spPr>
          <a:xfrm>
            <a:off x="7710487" y="36052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Benutzermodus</a:t>
            </a:r>
          </a:p>
        </xdr:txBody>
      </xdr:sp>
      <xdr:pic macro="[0]!Button_Menu_Close">
        <xdr:nvPicPr>
          <xdr:cNvPr id="1031" name="Grafik 1030" hidden="1">
            <a:extLst>
              <a:ext uri="{FF2B5EF4-FFF2-40B4-BE49-F238E27FC236}">
                <a16:creationId xmlns:a16="http://schemas.microsoft.com/office/drawing/2014/main" id="{00000000-0008-0000-0200-000007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458700" y="1942490"/>
            <a:ext cx="609600" cy="609600"/>
          </a:xfrm>
          <a:prstGeom prst="rect">
            <a:avLst/>
          </a:prstGeom>
        </xdr:spPr>
      </xdr:pic>
      <xdr:sp macro="[0]!dashboard_set_fixcats" textlink="">
        <xdr:nvSpPr>
          <xdr:cNvPr id="1034" name="Rechteck: abgerundete Ecken 1033" hidden="1">
            <a:extLst>
              <a:ext uri="{FF2B5EF4-FFF2-40B4-BE49-F238E27FC236}">
                <a16:creationId xmlns:a16="http://schemas.microsoft.com/office/drawing/2014/main" id="{00000000-0008-0000-0200-00000A040000}"/>
              </a:ext>
            </a:extLst>
          </xdr:cNvPr>
          <xdr:cNvSpPr/>
        </xdr:nvSpPr>
        <xdr:spPr>
          <a:xfrm>
            <a:off x="7710487" y="2243138"/>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Fixkosten</a:t>
            </a:r>
            <a:r>
              <a:rPr lang="de-DE" sz="1100" baseline="0"/>
              <a:t> Kategorien</a:t>
            </a:r>
            <a:endParaRPr lang="de-DE" sz="1100"/>
          </a:p>
        </xdr:txBody>
      </xdr:sp>
      <xdr:sp macro="[0]!python_modeltraining" textlink="">
        <xdr:nvSpPr>
          <xdr:cNvPr id="13" name="Rechteck: abgerundete Ecken 12" hidden="1">
            <a:extLst>
              <a:ext uri="{FF2B5EF4-FFF2-40B4-BE49-F238E27FC236}">
                <a16:creationId xmlns:a16="http://schemas.microsoft.com/office/drawing/2014/main" id="{00000000-0008-0000-0200-00000D000000}"/>
              </a:ext>
            </a:extLst>
          </xdr:cNvPr>
          <xdr:cNvSpPr/>
        </xdr:nvSpPr>
        <xdr:spPr>
          <a:xfrm>
            <a:off x="10531475" y="36052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ML</a:t>
            </a:r>
            <a:r>
              <a:rPr lang="de-DE" sz="1100" baseline="0"/>
              <a:t> Modell trainieren</a:t>
            </a:r>
            <a:endParaRPr lang="de-DE" sz="1100"/>
          </a:p>
        </xdr:txBody>
      </xdr:sp>
      <xdr:sp macro="[0]!set_path" textlink="">
        <xdr:nvSpPr>
          <xdr:cNvPr id="24" name="Rechteck: abgerundete Ecken 23" hidden="1">
            <a:extLst>
              <a:ext uri="{FF2B5EF4-FFF2-40B4-BE49-F238E27FC236}">
                <a16:creationId xmlns:a16="http://schemas.microsoft.com/office/drawing/2014/main" id="{00000000-0008-0000-0200-000018000000}"/>
              </a:ext>
            </a:extLst>
          </xdr:cNvPr>
          <xdr:cNvSpPr/>
        </xdr:nvSpPr>
        <xdr:spPr>
          <a:xfrm>
            <a:off x="7710487" y="484346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Ersteinrichtung</a:t>
            </a:r>
          </a:p>
        </xdr:txBody>
      </xdr:sp>
    </xdr:grpSp>
    <xdr:clientData/>
  </xdr:twoCellAnchor>
  <mc:AlternateContent xmlns:mc="http://schemas.openxmlformats.org/markup-compatibility/2006">
    <mc:Choice xmlns:a14="http://schemas.microsoft.com/office/drawing/2010/main" Requires="a14">
      <xdr:twoCellAnchor>
        <xdr:from>
          <xdr:col>3</xdr:col>
          <xdr:colOff>152400</xdr:colOff>
          <xdr:row>2</xdr:row>
          <xdr:rowOff>76200</xdr:rowOff>
        </xdr:from>
        <xdr:to>
          <xdr:col>5</xdr:col>
          <xdr:colOff>0</xdr:colOff>
          <xdr:row>2</xdr:row>
          <xdr:rowOff>228600</xdr:rowOff>
        </xdr:to>
        <xdr:sp macro="" textlink="">
          <xdr:nvSpPr>
            <xdr:cNvPr id="7" name="Button 1" hidden="1">
              <a:extLst>
                <a:ext uri="{63B3BB69-23CF-44E3-9099-C40C66FF867C}">
                  <a14:compatExt spid="_x0000_s102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Anwenden</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cdr:x>
      <cdr:y>0.38377</cdr:y>
    </cdr:from>
    <cdr:to>
      <cdr:x>1</cdr:x>
      <cdr:y>0.69126</cdr:y>
    </cdr:to>
    <cdr:sp macro="Button_01" textlink="">
      <cdr:nvSpPr>
        <cdr:cNvPr id="2715" name="(Leer)">
          <a:extLst xmlns:a="http://schemas.openxmlformats.org/drawingml/2006/main">
            <a:ext uri="{FF2B5EF4-FFF2-40B4-BE49-F238E27FC236}">
              <a16:creationId xmlns:a16="http://schemas.microsoft.com/office/drawing/2014/main" id="{37DA9F3E-D429-5F48-1332-9EE3D1578B42}"/>
            </a:ext>
          </a:extLst>
        </cdr:cNvPr>
        <cdr:cNvSpPr/>
      </cdr:nvSpPr>
      <cdr:spPr>
        <a:xfrm xmlns:a="http://schemas.openxmlformats.org/drawingml/2006/main">
          <a:off x="543394" y="1853298"/>
          <a:ext cx="1073741867" cy="1484910"/>
        </a:xfrm>
        <a:prstGeom xmlns:a="http://schemas.openxmlformats.org/drawingml/2006/main" prst="rect">
          <a:avLst/>
        </a:prstGeom>
        <a:noFill xmlns:a="http://schemas.openxmlformats.org/drawingml/2006/main"/>
        <a:ln xmlns:a="http://schemas.openxmlformats.org/drawingml/2006/main" w="12700" cap="flat" cmpd="sng" algn="ctr">
          <a:no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0.82425</cdr:y>
    </cdr:from>
    <cdr:to>
      <cdr:x>0.21971</cdr:x>
      <cdr:y>0.90112</cdr:y>
    </cdr:to>
    <cdr:sp macro="Button_01" textlink="">
      <cdr:nvSpPr>
        <cdr:cNvPr id="2804" name="Abos">
          <a:extLst xmlns:a="http://schemas.openxmlformats.org/drawingml/2006/main">
            <a:ext uri="{FF2B5EF4-FFF2-40B4-BE49-F238E27FC236}">
              <a16:creationId xmlns:a16="http://schemas.microsoft.com/office/drawing/2014/main" id="{E9025873-F999-47D8-1EF3-1506D8EE68C5}"/>
            </a:ext>
          </a:extLst>
        </cdr:cNvPr>
        <cdr:cNvSpPr/>
      </cdr:nvSpPr>
      <cdr:spPr>
        <a:xfrm xmlns:a="http://schemas.openxmlformats.org/drawingml/2006/main">
          <a:off x="959636" y="3980431"/>
          <a:ext cx="241606" cy="371227"/>
        </a:xfrm>
        <a:prstGeom xmlns:a="http://schemas.openxmlformats.org/drawingml/2006/main" prst="rect">
          <a:avLst/>
        </a:prstGeom>
        <a:noFill xmlns:a="http://schemas.openxmlformats.org/drawingml/2006/main"/>
        <a:ln xmlns:a="http://schemas.openxmlformats.org/drawingml/2006/main" w="12700" cap="flat" cmpd="sng" algn="ctr">
          <a:no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0.60747</cdr:y>
    </cdr:from>
    <cdr:to>
      <cdr:x>0.3388</cdr:x>
      <cdr:y>0.68434</cdr:y>
    </cdr:to>
    <cdr:sp macro="Button_02" textlink="">
      <cdr:nvSpPr>
        <cdr:cNvPr id="2805" name="Lebensmittel">
          <a:extLst xmlns:a="http://schemas.openxmlformats.org/drawingml/2006/main">
            <a:ext uri="{FF2B5EF4-FFF2-40B4-BE49-F238E27FC236}">
              <a16:creationId xmlns:a16="http://schemas.microsoft.com/office/drawing/2014/main" id="{91A3F098-CC79-E2F2-F659-646D1D9C302F}"/>
            </a:ext>
          </a:extLst>
        </cdr:cNvPr>
        <cdr:cNvSpPr/>
      </cdr:nvSpPr>
      <cdr:spPr>
        <a:xfrm xmlns:a="http://schemas.openxmlformats.org/drawingml/2006/main">
          <a:off x="959636" y="2933570"/>
          <a:ext cx="892713" cy="371227"/>
        </a:xfrm>
        <a:prstGeom xmlns:a="http://schemas.openxmlformats.org/drawingml/2006/main" prst="rect">
          <a:avLst/>
        </a:prstGeom>
        <a:noFill xmlns:a="http://schemas.openxmlformats.org/drawingml/2006/main"/>
        <a:ln xmlns:a="http://schemas.openxmlformats.org/drawingml/2006/main" w="12700" cap="flat" cmpd="sng" algn="ctr">
          <a:no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0.39069</cdr:y>
    </cdr:from>
    <cdr:to>
      <cdr:x>0.52905</cdr:x>
      <cdr:y>0.46756</cdr:y>
    </cdr:to>
    <cdr:sp macro="Button_03" textlink="">
      <cdr:nvSpPr>
        <cdr:cNvPr id="2806" name="Versicherung">
          <a:extLst xmlns:a="http://schemas.openxmlformats.org/drawingml/2006/main">
            <a:ext uri="{FF2B5EF4-FFF2-40B4-BE49-F238E27FC236}">
              <a16:creationId xmlns:a16="http://schemas.microsoft.com/office/drawing/2014/main" id="{861F0E49-596D-5B9B-38D3-6957A10E36B4}"/>
            </a:ext>
          </a:extLst>
        </cdr:cNvPr>
        <cdr:cNvSpPr/>
      </cdr:nvSpPr>
      <cdr:spPr>
        <a:xfrm xmlns:a="http://schemas.openxmlformats.org/drawingml/2006/main">
          <a:off x="959636" y="1886709"/>
          <a:ext cx="1932846" cy="371227"/>
        </a:xfrm>
        <a:prstGeom xmlns:a="http://schemas.openxmlformats.org/drawingml/2006/main" prst="rect">
          <a:avLst/>
        </a:prstGeom>
        <a:noFill xmlns:a="http://schemas.openxmlformats.org/drawingml/2006/main"/>
        <a:ln xmlns:a="http://schemas.openxmlformats.org/drawingml/2006/main" w="12700" cap="flat" cmpd="sng" algn="ctr">
          <a:no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0.17391</cdr:y>
    </cdr:from>
    <cdr:to>
      <cdr:x>0.9018</cdr:x>
      <cdr:y>0.25078</cdr:y>
    </cdr:to>
    <cdr:sp macro="Button_04" textlink="">
      <cdr:nvSpPr>
        <cdr:cNvPr id="2807" name="KFZ">
          <a:extLst xmlns:a="http://schemas.openxmlformats.org/drawingml/2006/main">
            <a:ext uri="{FF2B5EF4-FFF2-40B4-BE49-F238E27FC236}">
              <a16:creationId xmlns:a16="http://schemas.microsoft.com/office/drawing/2014/main" id="{9A3EDF28-B37A-B503-A8FC-55AB43098E12}"/>
            </a:ext>
          </a:extLst>
        </cdr:cNvPr>
        <cdr:cNvSpPr/>
      </cdr:nvSpPr>
      <cdr:spPr>
        <a:xfrm xmlns:a="http://schemas.openxmlformats.org/drawingml/2006/main">
          <a:off x="959636" y="839848"/>
          <a:ext cx="3970798" cy="371227"/>
        </a:xfrm>
        <a:prstGeom xmlns:a="http://schemas.openxmlformats.org/drawingml/2006/main" prst="rect">
          <a:avLst/>
        </a:prstGeom>
        <a:noFill xmlns:a="http://schemas.openxmlformats.org/drawingml/2006/main"/>
        <a:ln xmlns:a="http://schemas.openxmlformats.org/drawingml/2006/main" w="12700" cap="flat" cmpd="sng" algn="ctr">
          <a:no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62775</xdr:colOff>
      <xdr:row>0</xdr:row>
      <xdr:rowOff>786675</xdr:rowOff>
    </xdr:to>
    <xdr:pic macro="[0]!Button_Home">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66675"/>
          <a:ext cx="786675" cy="720000"/>
        </a:xfrm>
        <a:prstGeom prst="rect">
          <a:avLst/>
        </a:prstGeom>
      </xdr:spPr>
    </xdr:pic>
    <xdr:clientData/>
  </xdr:twoCellAnchor>
  <xdr:twoCellAnchor editAs="oneCell">
    <xdr:from>
      <xdr:col>10</xdr:col>
      <xdr:colOff>9525</xdr:colOff>
      <xdr:row>0</xdr:row>
      <xdr:rowOff>66675</xdr:rowOff>
    </xdr:from>
    <xdr:to>
      <xdr:col>11</xdr:col>
      <xdr:colOff>300900</xdr:colOff>
      <xdr:row>0</xdr:row>
      <xdr:rowOff>786675</xdr:rowOff>
    </xdr:to>
    <xdr:pic macro="[0]!Goto_Start">
      <xdr:nvPicPr>
        <xdr:cNvPr id="5" name="Grafik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021175" y="66675"/>
          <a:ext cx="720000" cy="7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219073</xdr:colOff>
      <xdr:row>0</xdr:row>
      <xdr:rowOff>0</xdr:rowOff>
    </xdr:from>
    <xdr:to>
      <xdr:col>17</xdr:col>
      <xdr:colOff>249973</xdr:colOff>
      <xdr:row>2</xdr:row>
      <xdr:rowOff>133350</xdr:rowOff>
    </xdr:to>
    <mc:AlternateContent xmlns:mc="http://schemas.openxmlformats.org/markup-compatibility/2006" xmlns:a14="http://schemas.microsoft.com/office/drawing/2010/main">
      <mc:Choice Requires="a14">
        <xdr:graphicFrame macro="">
          <xdr:nvGraphicFramePr>
            <xdr:cNvPr id="3" name="Monat_Vergleich_01">
              <a:extLst>
                <a:ext uri="{FF2B5EF4-FFF2-40B4-BE49-F238E27FC236}">
                  <a16:creationId xmlns:a16="http://schemas.microsoft.com/office/drawing/2014/main" id="{00000000-0008-0000-04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at_Vergleich_01"/>
            </a:graphicData>
          </a:graphic>
        </xdr:graphicFrame>
      </mc:Choice>
      <mc:Fallback xmlns="">
        <xdr:sp macro="" textlink="">
          <xdr:nvSpPr>
            <xdr:cNvPr id="0" name=""/>
            <xdr:cNvSpPr>
              <a:spLocks noTextEdit="1"/>
            </xdr:cNvSpPr>
          </xdr:nvSpPr>
          <xdr:spPr>
            <a:xfrm>
              <a:off x="2828923" y="0"/>
              <a:ext cx="11880000" cy="12858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1</xdr:col>
      <xdr:colOff>295275</xdr:colOff>
      <xdr:row>0</xdr:row>
      <xdr:rowOff>57150</xdr:rowOff>
    </xdr:from>
    <xdr:to>
      <xdr:col>3</xdr:col>
      <xdr:colOff>247425</xdr:colOff>
      <xdr:row>2</xdr:row>
      <xdr:rowOff>164625</xdr:rowOff>
    </xdr:to>
    <mc:AlternateContent xmlns:mc="http://schemas.openxmlformats.org/markup-compatibility/2006" xmlns:a14="http://schemas.microsoft.com/office/drawing/2010/main">
      <mc:Choice Requires="a14">
        <xdr:graphicFrame macro="">
          <xdr:nvGraphicFramePr>
            <xdr:cNvPr id="4" name="Jahr_Vergleich_01">
              <a:extLst>
                <a:ext uri="{FF2B5EF4-FFF2-40B4-BE49-F238E27FC236}">
                  <a16:creationId xmlns:a16="http://schemas.microsoft.com/office/drawing/2014/main" id="{00000000-0008-0000-04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ahr_Vergleich_01"/>
            </a:graphicData>
          </a:graphic>
        </xdr:graphicFrame>
      </mc:Choice>
      <mc:Fallback xmlns="">
        <xdr:sp macro="" textlink="">
          <xdr:nvSpPr>
            <xdr:cNvPr id="0" name=""/>
            <xdr:cNvSpPr>
              <a:spLocks noTextEdit="1"/>
            </xdr:cNvSpPr>
          </xdr:nvSpPr>
          <xdr:spPr>
            <a:xfrm>
              <a:off x="1057275" y="57150"/>
              <a:ext cx="1800000" cy="1260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3</xdr:col>
      <xdr:colOff>219073</xdr:colOff>
      <xdr:row>2</xdr:row>
      <xdr:rowOff>66673</xdr:rowOff>
    </xdr:from>
    <xdr:to>
      <xdr:col>17</xdr:col>
      <xdr:colOff>249973</xdr:colOff>
      <xdr:row>8</xdr:row>
      <xdr:rowOff>171450</xdr:rowOff>
    </xdr:to>
    <mc:AlternateContent xmlns:mc="http://schemas.openxmlformats.org/markup-compatibility/2006" xmlns:a14="http://schemas.microsoft.com/office/drawing/2010/main">
      <mc:Choice Requires="a14">
        <xdr:graphicFrame macro="">
          <xdr:nvGraphicFramePr>
            <xdr:cNvPr id="5" name="Monat_Vergleich_02">
              <a:extLst>
                <a:ext uri="{FF2B5EF4-FFF2-40B4-BE49-F238E27FC236}">
                  <a16:creationId xmlns:a16="http://schemas.microsoft.com/office/drawing/2014/main" id="{00000000-0008-0000-04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at_Vergleich_02"/>
            </a:graphicData>
          </a:graphic>
        </xdr:graphicFrame>
      </mc:Choice>
      <mc:Fallback xmlns="">
        <xdr:sp macro="" textlink="">
          <xdr:nvSpPr>
            <xdr:cNvPr id="0" name=""/>
            <xdr:cNvSpPr>
              <a:spLocks noTextEdit="1"/>
            </xdr:cNvSpPr>
          </xdr:nvSpPr>
          <xdr:spPr>
            <a:xfrm>
              <a:off x="2828923" y="1219198"/>
              <a:ext cx="11880000" cy="124777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1</xdr:col>
      <xdr:colOff>314325</xdr:colOff>
      <xdr:row>2</xdr:row>
      <xdr:rowOff>47626</xdr:rowOff>
    </xdr:from>
    <xdr:to>
      <xdr:col>3</xdr:col>
      <xdr:colOff>266475</xdr:colOff>
      <xdr:row>8</xdr:row>
      <xdr:rowOff>164626</xdr:rowOff>
    </xdr:to>
    <mc:AlternateContent xmlns:mc="http://schemas.openxmlformats.org/markup-compatibility/2006" xmlns:a14="http://schemas.microsoft.com/office/drawing/2010/main">
      <mc:Choice Requires="a14">
        <xdr:graphicFrame macro="">
          <xdr:nvGraphicFramePr>
            <xdr:cNvPr id="6" name="Jahr_Vergleich_02">
              <a:extLst>
                <a:ext uri="{FF2B5EF4-FFF2-40B4-BE49-F238E27FC236}">
                  <a16:creationId xmlns:a16="http://schemas.microsoft.com/office/drawing/2014/main" id="{00000000-0008-0000-04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ahr_Vergleich_02"/>
            </a:graphicData>
          </a:graphic>
        </xdr:graphicFrame>
      </mc:Choice>
      <mc:Fallback xmlns="">
        <xdr:sp macro="" textlink="">
          <xdr:nvSpPr>
            <xdr:cNvPr id="0" name=""/>
            <xdr:cNvSpPr>
              <a:spLocks noTextEdit="1"/>
            </xdr:cNvSpPr>
          </xdr:nvSpPr>
          <xdr:spPr>
            <a:xfrm>
              <a:off x="1076325" y="1200151"/>
              <a:ext cx="1800000" cy="1260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0</xdr:col>
      <xdr:colOff>123825</xdr:colOff>
      <xdr:row>0</xdr:row>
      <xdr:rowOff>95250</xdr:rowOff>
    </xdr:from>
    <xdr:to>
      <xdr:col>1</xdr:col>
      <xdr:colOff>81825</xdr:colOff>
      <xdr:row>0</xdr:row>
      <xdr:rowOff>815250</xdr:rowOff>
    </xdr:to>
    <xdr:pic macro="[0]!Button_Home_Vergleich">
      <xdr:nvPicPr>
        <xdr:cNvPr id="10" name="Grafik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720000" cy="720000"/>
        </a:xfrm>
        <a:prstGeom prst="rect">
          <a:avLst/>
        </a:prstGeom>
      </xdr:spPr>
    </xdr:pic>
    <xdr:clientData/>
  </xdr:twoCellAnchor>
  <xdr:twoCellAnchor>
    <xdr:from>
      <xdr:col>100</xdr:col>
      <xdr:colOff>641747</xdr:colOff>
      <xdr:row>23</xdr:row>
      <xdr:rowOff>0</xdr:rowOff>
    </xdr:from>
    <xdr:to>
      <xdr:col>135</xdr:col>
      <xdr:colOff>281980</xdr:colOff>
      <xdr:row>24</xdr:row>
      <xdr:rowOff>0</xdr:rowOff>
    </xdr:to>
    <xdr:sp macro="" textlink="">
      <xdr:nvSpPr>
        <xdr:cNvPr id="79" name="Rechteck 78">
          <a:extLst>
            <a:ext uri="{FF2B5EF4-FFF2-40B4-BE49-F238E27FC236}">
              <a16:creationId xmlns:a16="http://schemas.microsoft.com/office/drawing/2014/main" id="{00000000-0008-0000-0400-00004F000000}"/>
            </a:ext>
          </a:extLst>
        </xdr:cNvPr>
        <xdr:cNvSpPr/>
      </xdr:nvSpPr>
      <xdr:spPr>
        <a:xfrm>
          <a:off x="84814172" y="5153025"/>
          <a:ext cx="26310233" cy="190500"/>
        </a:xfrm>
        <a:prstGeom prst="rect">
          <a:avLst/>
        </a:prstGeom>
        <a:solidFill>
          <a:srgbClr val="00FF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504824</xdr:colOff>
      <xdr:row>14</xdr:row>
      <xdr:rowOff>114299</xdr:rowOff>
    </xdr:from>
    <xdr:to>
      <xdr:col>17</xdr:col>
      <xdr:colOff>257174</xdr:colOff>
      <xdr:row>42</xdr:row>
      <xdr:rowOff>85724</xdr:rowOff>
    </xdr:to>
    <xdr:graphicFrame macro="">
      <xdr:nvGraphicFramePr>
        <xdr:cNvPr id="1266" name="Diagramm 1265">
          <a:extLst>
            <a:ext uri="{FF2B5EF4-FFF2-40B4-BE49-F238E27FC236}">
              <a16:creationId xmlns:a16="http://schemas.microsoft.com/office/drawing/2014/main" id="{00000000-0008-0000-0400-0000F204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400050</xdr:colOff>
      <xdr:row>8</xdr:row>
      <xdr:rowOff>161925</xdr:rowOff>
    </xdr:from>
    <xdr:to>
      <xdr:col>7</xdr:col>
      <xdr:colOff>200025</xdr:colOff>
      <xdr:row>11</xdr:row>
      <xdr:rowOff>28574</xdr:rowOff>
    </xdr:to>
    <xdr:sp macro="[0]!Button_switch_to_details" textlink="">
      <xdr:nvSpPr>
        <xdr:cNvPr id="2" name="Rechteck: abgerundete Ecken 1">
          <a:extLst>
            <a:ext uri="{FF2B5EF4-FFF2-40B4-BE49-F238E27FC236}">
              <a16:creationId xmlns:a16="http://schemas.microsoft.com/office/drawing/2014/main" id="{00000000-0008-0000-0400-000002000000}"/>
            </a:ext>
          </a:extLst>
        </xdr:cNvPr>
        <xdr:cNvSpPr/>
      </xdr:nvSpPr>
      <xdr:spPr>
        <a:xfrm>
          <a:off x="4162425" y="2457450"/>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800" b="1" i="0" u="none" strike="noStrike">
              <a:solidFill>
                <a:schemeClr val="bg1"/>
              </a:solidFill>
              <a:latin typeface="Calibri"/>
              <a:ea typeface="+mn-ea"/>
              <a:cs typeface="Calibri"/>
            </a:rPr>
            <a:t>Details</a:t>
          </a:r>
        </a:p>
        <a:p>
          <a:pPr marL="0" indent="0" algn="ctr"/>
          <a:endParaRPr lang="en-US" sz="1800" b="1" i="0" u="none" strike="noStrike">
            <a:solidFill>
              <a:schemeClr val="bg1"/>
            </a:solidFill>
            <a:latin typeface="Calibri"/>
            <a:ea typeface="+mn-ea"/>
            <a:cs typeface="Calibri"/>
          </a:endParaRPr>
        </a:p>
      </xdr:txBody>
    </xdr:sp>
    <xdr:clientData/>
  </xdr:twoCellAnchor>
  <xdr:twoCellAnchor editAs="oneCell">
    <xdr:from>
      <xdr:col>1</xdr:col>
      <xdr:colOff>38100</xdr:colOff>
      <xdr:row>8</xdr:row>
      <xdr:rowOff>133350</xdr:rowOff>
    </xdr:from>
    <xdr:to>
      <xdr:col>1</xdr:col>
      <xdr:colOff>266700</xdr:colOff>
      <xdr:row>9</xdr:row>
      <xdr:rowOff>171450</xdr:rowOff>
    </xdr:to>
    <xdr:pic macro="[0]!vergleich_set_categories">
      <xdr:nvPicPr>
        <xdr:cNvPr id="8" name="Grafik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00100" y="2428875"/>
          <a:ext cx="228600" cy="228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786675</xdr:colOff>
      <xdr:row>0</xdr:row>
      <xdr:rowOff>786675</xdr:rowOff>
    </xdr:to>
    <xdr:pic macro="[0]!Button_Home_Vergleich_Deteils">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6675" y="66675"/>
          <a:ext cx="720000" cy="720000"/>
        </a:xfrm>
        <a:prstGeom prst="rect">
          <a:avLst/>
        </a:prstGeom>
      </xdr:spPr>
    </xdr:pic>
    <xdr:clientData/>
  </xdr:twoCellAnchor>
  <xdr:twoCellAnchor editAs="oneCell">
    <xdr:from>
      <xdr:col>10</xdr:col>
      <xdr:colOff>9525</xdr:colOff>
      <xdr:row>0</xdr:row>
      <xdr:rowOff>66675</xdr:rowOff>
    </xdr:from>
    <xdr:to>
      <xdr:col>11</xdr:col>
      <xdr:colOff>300900</xdr:colOff>
      <xdr:row>0</xdr:row>
      <xdr:rowOff>786675</xdr:rowOff>
    </xdr:to>
    <xdr:pic macro="[0]!Goto_Start">
      <xdr:nvPicPr>
        <xdr:cNvPr id="3" name="Grafik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021175" y="66675"/>
          <a:ext cx="720000" cy="720000"/>
        </a:xfrm>
        <a:prstGeom prst="rect">
          <a:avLst/>
        </a:prstGeom>
      </xdr:spPr>
    </xdr:pic>
    <xdr:clientData/>
  </xdr:twoCellAnchor>
  <xdr:twoCellAnchor editAs="oneCell">
    <xdr:from>
      <xdr:col>6</xdr:col>
      <xdr:colOff>819150</xdr:colOff>
      <xdr:row>0</xdr:row>
      <xdr:rowOff>76200</xdr:rowOff>
    </xdr:from>
    <xdr:to>
      <xdr:col>7</xdr:col>
      <xdr:colOff>34200</xdr:colOff>
      <xdr:row>0</xdr:row>
      <xdr:rowOff>796200</xdr:rowOff>
    </xdr:to>
    <xdr:pic macro="[0]!Goto_Start">
      <xdr:nvPicPr>
        <xdr:cNvPr id="4" name="Grafik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983075" y="76200"/>
          <a:ext cx="720000" cy="720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228600</xdr:rowOff>
    </xdr:from>
    <xdr:to>
      <xdr:col>0</xdr:col>
      <xdr:colOff>872400</xdr:colOff>
      <xdr:row>2</xdr:row>
      <xdr:rowOff>5625</xdr:rowOff>
    </xdr:to>
    <xdr:pic macro="[0]!Button_Home">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228600"/>
          <a:ext cx="720000" cy="720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1162050</xdr:colOff>
          <xdr:row>8</xdr:row>
          <xdr:rowOff>76200</xdr:rowOff>
        </xdr:from>
        <xdr:to>
          <xdr:col>1</xdr:col>
          <xdr:colOff>5724525</xdr:colOff>
          <xdr:row>13</xdr:row>
          <xdr:rowOff>171450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Pfade eingegeben!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ukas Reinert" refreshedDate="45258.209659837965" createdVersion="8" refreshedVersion="8" minRefreshableVersion="3" recordCount="2922" xr:uid="{CE754497-472F-44AA-A091-83DDACA21AAF}">
  <cacheSource type="worksheet">
    <worksheetSource name="Data"/>
  </cacheSource>
  <cacheFields count="11">
    <cacheField name="Buchung" numFmtId="14">
      <sharedItems containsSemiMixedTypes="0" containsNonDate="0" containsDate="1" containsString="0" minDate="2015-01-01T00:00:00" maxDate="2023-01-01T00:00:00"/>
    </cacheField>
    <cacheField name="Auftraggeber/Empfänger" numFmtId="0">
      <sharedItems/>
    </cacheField>
    <cacheField name="Buchungstext" numFmtId="0">
      <sharedItems/>
    </cacheField>
    <cacheField name="Verwendungszweck" numFmtId="0">
      <sharedItems/>
    </cacheField>
    <cacheField name="Betrag" numFmtId="0">
      <sharedItems containsSemiMixedTypes="0" containsString="0" containsNumber="1" containsInteger="1" minValue="-350" maxValue="1000"/>
    </cacheField>
    <cacheField name="Währung" numFmtId="0">
      <sharedItems/>
    </cacheField>
    <cacheField name="Kategorie" numFmtId="0">
      <sharedItems containsBlank="1" count="25">
        <s v="Einnahmen"/>
        <s v="Abos"/>
        <s v="KFZ"/>
        <s v="Versicherung"/>
        <s v="Lebensmittel"/>
        <m u="1"/>
        <s v="Ausgaben" u="1"/>
        <s v="Test" u="1"/>
        <s v="Penis" u="1"/>
        <s v="Amazon" u="1"/>
        <s v="Bargeld" u="1"/>
        <s v="PrimeVideo" u="1"/>
        <s v="Versicherungen" u="1"/>
        <s v="Investitionen" u="1"/>
        <s v="Fastfood" u="1"/>
        <s v="Kredit" u="1"/>
        <s v="Miete" u="1"/>
        <s v="Extrakonto" u="1"/>
        <s v="Rauchen" u="1"/>
        <s v="Freizeit" u="1"/>
        <s v="Allgemein" u="1"/>
        <s v="Studium" u="1"/>
        <s v="Spende" u="1"/>
        <s v="PayPal" u="1"/>
        <s v="Arzt" u="1"/>
      </sharedItems>
    </cacheField>
    <cacheField name="Monat" numFmtId="0">
      <sharedItems containsBlank="1" count="13">
        <s v="Jan"/>
        <s v="Feb"/>
        <s v="Mrz"/>
        <s v="Apr"/>
        <s v="Mai"/>
        <s v="Jun"/>
        <s v="Jul"/>
        <s v="Aug"/>
        <s v="Sep"/>
        <s v="Okt"/>
        <s v="Nov"/>
        <s v="Dez"/>
        <m u="1"/>
      </sharedItems>
    </cacheField>
    <cacheField name="Jahr" numFmtId="0">
      <sharedItems containsSemiMixedTypes="0" containsString="0" containsNumber="1" containsInteger="1" minValue="1900" maxValue="2025" count="12">
        <n v="2015"/>
        <n v="2016"/>
        <n v="2017"/>
        <n v="2018"/>
        <n v="2019"/>
        <n v="2020"/>
        <n v="2021"/>
        <n v="2022"/>
        <n v="2023" u="1"/>
        <n v="1900" u="1"/>
        <n v="2024" u="1"/>
        <n v="2025" u="1"/>
      </sharedItems>
    </cacheField>
    <cacheField name="absolut Betrag" numFmtId="44">
      <sharedItems containsSemiMixedTypes="0" containsString="0" containsNumber="1" containsInteger="1" minValue="10" maxValue="1000"/>
    </cacheField>
    <cacheField name="E/A" numFmtId="0">
      <sharedItems containsBlank="1" count="3">
        <s v="E"/>
        <s v="A"/>
        <m u="1"/>
      </sharedItems>
    </cacheField>
  </cacheFields>
  <extLst>
    <ext xmlns:x14="http://schemas.microsoft.com/office/spreadsheetml/2009/9/main" uri="{725AE2AE-9491-48be-B2B4-4EB974FC3084}">
      <x14:pivotCacheDefinition pivotCacheId="9682786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2">
  <r>
    <d v="2015-01-01T00:00:00"/>
    <s v="Arbeitgeber"/>
    <s v="Gutschrift"/>
    <s v="Lohn"/>
    <n v="1000"/>
    <s v="EUR"/>
    <x v="0"/>
    <x v="0"/>
    <x v="0"/>
    <n v="1000"/>
    <x v="0"/>
  </r>
  <r>
    <d v="2015-01-02T00:00:00"/>
    <s v="Netflix"/>
    <s v="Abonnement"/>
    <s v="Streaming-Dienst"/>
    <n v="-15"/>
    <s v="EUR"/>
    <x v="1"/>
    <x v="0"/>
    <x v="0"/>
    <n v="15"/>
    <x v="1"/>
  </r>
  <r>
    <d v="2015-01-03T00:00:00"/>
    <s v="Autohändler"/>
    <s v="KFZ-Zahlung"/>
    <s v="Auto-Rate"/>
    <n v="-350"/>
    <s v="EUR"/>
    <x v="2"/>
    <x v="0"/>
    <x v="0"/>
    <n v="350"/>
    <x v="1"/>
  </r>
  <r>
    <d v="2015-01-04T00:00:00"/>
    <s v="Versicherungsgesellschaft"/>
    <s v="Versicherungsprämie"/>
    <s v="Kfz-Versicherung"/>
    <n v="-120"/>
    <s v="EUR"/>
    <x v="3"/>
    <x v="0"/>
    <x v="0"/>
    <n v="120"/>
    <x v="1"/>
  </r>
  <r>
    <d v="2015-01-05T00:00:00"/>
    <s v="Supermarkt"/>
    <s v="Lebensmittel-Einkauf"/>
    <s v="Wochenendeinkauf"/>
    <n v="-50"/>
    <s v="EUR"/>
    <x v="4"/>
    <x v="0"/>
    <x v="0"/>
    <n v="50"/>
    <x v="1"/>
  </r>
  <r>
    <d v="2015-01-06T00:00:00"/>
    <s v="Arbeitgeber"/>
    <s v="Gutschrift"/>
    <s v="Lohn"/>
    <n v="1000"/>
    <s v="EUR"/>
    <x v="0"/>
    <x v="0"/>
    <x v="0"/>
    <n v="1000"/>
    <x v="0"/>
  </r>
  <r>
    <d v="2015-01-07T00:00:00"/>
    <s v="Spotify"/>
    <s v="Abonnement"/>
    <s v="Music-Streaming"/>
    <n v="-10"/>
    <s v="EUR"/>
    <x v="1"/>
    <x v="0"/>
    <x v="0"/>
    <n v="10"/>
    <x v="1"/>
  </r>
  <r>
    <d v="2015-01-08T00:00:00"/>
    <s v="Tankstelle"/>
    <s v="Kraftstoff"/>
    <s v="Auto-Tankfüllung"/>
    <n v="-60"/>
    <s v="EUR"/>
    <x v="2"/>
    <x v="0"/>
    <x v="0"/>
    <n v="60"/>
    <x v="1"/>
  </r>
  <r>
    <d v="2015-01-09T00:00:00"/>
    <s v="Versicherungsgesellschaft"/>
    <s v="Versicherungsprämie"/>
    <s v="Haftpflichtversicherung"/>
    <n v="-80"/>
    <s v="EUR"/>
    <x v="3"/>
    <x v="0"/>
    <x v="0"/>
    <n v="80"/>
    <x v="1"/>
  </r>
  <r>
    <d v="2015-01-10T00:00:00"/>
    <s v="Bäckerei"/>
    <s v="Lebensmittel-Einkauf"/>
    <s v="Brot und Gebäck"/>
    <n v="-20"/>
    <s v="EUR"/>
    <x v="4"/>
    <x v="0"/>
    <x v="0"/>
    <n v="20"/>
    <x v="1"/>
  </r>
  <r>
    <d v="2015-01-11T00:00:00"/>
    <s v="Arbeitgeber"/>
    <s v="Gutschrift"/>
    <s v="Lohn"/>
    <n v="1000"/>
    <s v="EUR"/>
    <x v="0"/>
    <x v="0"/>
    <x v="0"/>
    <n v="1000"/>
    <x v="0"/>
  </r>
  <r>
    <d v="2015-01-12T00:00:00"/>
    <s v="Netflix"/>
    <s v="Abonnement"/>
    <s v="Streaming-Dienst"/>
    <n v="-15"/>
    <s v="EUR"/>
    <x v="1"/>
    <x v="0"/>
    <x v="0"/>
    <n v="15"/>
    <x v="1"/>
  </r>
  <r>
    <d v="2015-01-13T00:00:00"/>
    <s v="Autohändler"/>
    <s v="KFZ-Zahlung"/>
    <s v="Auto-Rate"/>
    <n v="-350"/>
    <s v="EUR"/>
    <x v="2"/>
    <x v="0"/>
    <x v="0"/>
    <n v="350"/>
    <x v="1"/>
  </r>
  <r>
    <d v="2015-01-14T00:00:00"/>
    <s v="Versicherungsgesellschaft"/>
    <s v="Versicherungsprämie"/>
    <s v="Kfz-Versicherung"/>
    <n v="-120"/>
    <s v="EUR"/>
    <x v="3"/>
    <x v="0"/>
    <x v="0"/>
    <n v="120"/>
    <x v="1"/>
  </r>
  <r>
    <d v="2015-01-15T00:00:00"/>
    <s v="Supermarkt"/>
    <s v="Lebensmittel-Einkauf"/>
    <s v="Wochenendeinkauf"/>
    <n v="-60"/>
    <s v="EUR"/>
    <x v="4"/>
    <x v="0"/>
    <x v="0"/>
    <n v="60"/>
    <x v="1"/>
  </r>
  <r>
    <d v="2015-01-16T00:00:00"/>
    <s v="Arbeitgeber"/>
    <s v="Gutschrift"/>
    <s v="Lohn"/>
    <n v="1000"/>
    <s v="EUR"/>
    <x v="0"/>
    <x v="0"/>
    <x v="0"/>
    <n v="1000"/>
    <x v="0"/>
  </r>
  <r>
    <d v="2015-01-17T00:00:00"/>
    <s v="Spotify"/>
    <s v="Abonnement"/>
    <s v="Music-Streaming"/>
    <n v="-10"/>
    <s v="EUR"/>
    <x v="1"/>
    <x v="0"/>
    <x v="0"/>
    <n v="10"/>
    <x v="1"/>
  </r>
  <r>
    <d v="2015-01-18T00:00:00"/>
    <s v="Tankstelle"/>
    <s v="Kraftstoff"/>
    <s v="Auto-Tankfüllung"/>
    <n v="-70"/>
    <s v="EUR"/>
    <x v="2"/>
    <x v="0"/>
    <x v="0"/>
    <n v="70"/>
    <x v="1"/>
  </r>
  <r>
    <d v="2015-01-19T00:00:00"/>
    <s v="Versicherungsgesellschaft"/>
    <s v="Versicherungsprämie"/>
    <s v="Haftpflichtversicherung"/>
    <n v="-80"/>
    <s v="EUR"/>
    <x v="3"/>
    <x v="0"/>
    <x v="0"/>
    <n v="80"/>
    <x v="1"/>
  </r>
  <r>
    <d v="2015-01-20T00:00:00"/>
    <s v="Bäckerei"/>
    <s v="Lebensmittel-Einkauf"/>
    <s v="Brot und Gebäck"/>
    <n v="-25"/>
    <s v="EUR"/>
    <x v="4"/>
    <x v="0"/>
    <x v="0"/>
    <n v="25"/>
    <x v="1"/>
  </r>
  <r>
    <d v="2015-01-21T00:00:00"/>
    <s v="Arbeitgeber"/>
    <s v="Gutschrift"/>
    <s v="Lohn"/>
    <n v="1000"/>
    <s v="EUR"/>
    <x v="0"/>
    <x v="0"/>
    <x v="0"/>
    <n v="1000"/>
    <x v="0"/>
  </r>
  <r>
    <d v="2015-01-22T00:00:00"/>
    <s v="Netflix"/>
    <s v="Abonnement"/>
    <s v="Streaming-Dienst"/>
    <n v="-15"/>
    <s v="EUR"/>
    <x v="1"/>
    <x v="0"/>
    <x v="0"/>
    <n v="15"/>
    <x v="1"/>
  </r>
  <r>
    <d v="2015-01-23T00:00:00"/>
    <s v="Autohändler"/>
    <s v="KFZ-Zahlung"/>
    <s v="Auto-Rate"/>
    <n v="-350"/>
    <s v="EUR"/>
    <x v="2"/>
    <x v="0"/>
    <x v="0"/>
    <n v="350"/>
    <x v="1"/>
  </r>
  <r>
    <d v="2015-01-24T00:00:00"/>
    <s v="Versicherungsgesellschaft"/>
    <s v="Versicherungsprämie"/>
    <s v="Kfz-Versicherung"/>
    <n v="-120"/>
    <s v="EUR"/>
    <x v="3"/>
    <x v="0"/>
    <x v="0"/>
    <n v="120"/>
    <x v="1"/>
  </r>
  <r>
    <d v="2015-01-25T00:00:00"/>
    <s v="Supermarkt"/>
    <s v="Lebensmittel-Einkauf"/>
    <s v="Wochenendeinkauf"/>
    <n v="-70"/>
    <s v="EUR"/>
    <x v="4"/>
    <x v="0"/>
    <x v="0"/>
    <n v="70"/>
    <x v="1"/>
  </r>
  <r>
    <d v="2015-01-26T00:00:00"/>
    <s v="Arbeitgeber"/>
    <s v="Gutschrift"/>
    <s v="Lohn"/>
    <n v="1000"/>
    <s v="EUR"/>
    <x v="0"/>
    <x v="0"/>
    <x v="0"/>
    <n v="1000"/>
    <x v="0"/>
  </r>
  <r>
    <d v="2015-01-27T00:00:00"/>
    <s v="Spotify"/>
    <s v="Abonnement"/>
    <s v="Music-Streaming"/>
    <n v="-10"/>
    <s v="EUR"/>
    <x v="1"/>
    <x v="0"/>
    <x v="0"/>
    <n v="10"/>
    <x v="1"/>
  </r>
  <r>
    <d v="2015-01-28T00:00:00"/>
    <s v="Tankstelle"/>
    <s v="Kraftstoff"/>
    <s v="Auto-Tankfüllung"/>
    <n v="-60"/>
    <s v="EUR"/>
    <x v="2"/>
    <x v="0"/>
    <x v="0"/>
    <n v="60"/>
    <x v="1"/>
  </r>
  <r>
    <d v="2015-01-29T00:00:00"/>
    <s v="Versicherungsgesellschaft"/>
    <s v="Versicherungsprämie"/>
    <s v="Haftpflichtversicherung"/>
    <n v="-80"/>
    <s v="EUR"/>
    <x v="3"/>
    <x v="0"/>
    <x v="0"/>
    <n v="80"/>
    <x v="1"/>
  </r>
  <r>
    <d v="2015-01-30T00:00:00"/>
    <s v="Bäckerei"/>
    <s v="Lebensmittel-Einkauf"/>
    <s v="Brot und Gebäck"/>
    <n v="-30"/>
    <s v="EUR"/>
    <x v="4"/>
    <x v="0"/>
    <x v="0"/>
    <n v="30"/>
    <x v="1"/>
  </r>
  <r>
    <d v="2015-01-31T00:00:00"/>
    <s v="Arbeitgeber"/>
    <s v="Gutschrift"/>
    <s v="Lohn"/>
    <n v="1000"/>
    <s v="EUR"/>
    <x v="0"/>
    <x v="0"/>
    <x v="0"/>
    <n v="1000"/>
    <x v="0"/>
  </r>
  <r>
    <d v="2015-02-01T00:00:00"/>
    <s v="Netflix"/>
    <s v="Abonnement"/>
    <s v="Streaming-Dienst"/>
    <n v="-15"/>
    <s v="EUR"/>
    <x v="1"/>
    <x v="1"/>
    <x v="0"/>
    <n v="15"/>
    <x v="1"/>
  </r>
  <r>
    <d v="2015-02-02T00:00:00"/>
    <s v="Autohändler"/>
    <s v="KFZ-Zahlung"/>
    <s v="Auto-Rate"/>
    <n v="-350"/>
    <s v="EUR"/>
    <x v="2"/>
    <x v="1"/>
    <x v="0"/>
    <n v="350"/>
    <x v="1"/>
  </r>
  <r>
    <d v="2015-02-03T00:00:00"/>
    <s v="Versicherungsgesellschaft"/>
    <s v="Versicherungsprämie"/>
    <s v="Kfz-Versicherung"/>
    <n v="-120"/>
    <s v="EUR"/>
    <x v="3"/>
    <x v="1"/>
    <x v="0"/>
    <n v="120"/>
    <x v="1"/>
  </r>
  <r>
    <d v="2015-02-04T00:00:00"/>
    <s v="Supermarkt"/>
    <s v="Lebensmittel-Einkauf"/>
    <s v="Wochenendeinkauf"/>
    <n v="-80"/>
    <s v="EUR"/>
    <x v="4"/>
    <x v="1"/>
    <x v="0"/>
    <n v="80"/>
    <x v="1"/>
  </r>
  <r>
    <d v="2015-02-05T00:00:00"/>
    <s v="Arbeitgeber"/>
    <s v="Gutschrift"/>
    <s v="Lohn"/>
    <n v="1000"/>
    <s v="EUR"/>
    <x v="0"/>
    <x v="1"/>
    <x v="0"/>
    <n v="1000"/>
    <x v="0"/>
  </r>
  <r>
    <d v="2015-02-06T00:00:00"/>
    <s v="Spotify"/>
    <s v="Abonnement"/>
    <s v="Music-Streaming"/>
    <n v="-10"/>
    <s v="EUR"/>
    <x v="1"/>
    <x v="1"/>
    <x v="0"/>
    <n v="10"/>
    <x v="1"/>
  </r>
  <r>
    <d v="2015-02-07T00:00:00"/>
    <s v="Tankstelle"/>
    <s v="Kraftstoff"/>
    <s v="Auto-Tankfüllung"/>
    <n v="-65"/>
    <s v="EUR"/>
    <x v="2"/>
    <x v="1"/>
    <x v="0"/>
    <n v="65"/>
    <x v="1"/>
  </r>
  <r>
    <d v="2015-02-08T00:00:00"/>
    <s v="Versicherungsgesellschaft"/>
    <s v="Versicherungsprämie"/>
    <s v="Haftpflichtversicherung"/>
    <n v="-80"/>
    <s v="EUR"/>
    <x v="3"/>
    <x v="1"/>
    <x v="0"/>
    <n v="80"/>
    <x v="1"/>
  </r>
  <r>
    <d v="2015-02-09T00:00:00"/>
    <s v="Bäckerei"/>
    <s v="Lebensmittel-Einkauf"/>
    <s v="Brot und Gebäck"/>
    <n v="-35"/>
    <s v="EUR"/>
    <x v="4"/>
    <x v="1"/>
    <x v="0"/>
    <n v="35"/>
    <x v="1"/>
  </r>
  <r>
    <d v="2015-02-10T00:00:00"/>
    <s v="Arbeitgeber"/>
    <s v="Gutschrift"/>
    <s v="Lohn"/>
    <n v="1000"/>
    <s v="EUR"/>
    <x v="0"/>
    <x v="1"/>
    <x v="0"/>
    <n v="1000"/>
    <x v="0"/>
  </r>
  <r>
    <d v="2015-02-11T00:00:00"/>
    <s v="Arbeitgeber"/>
    <s v="Gutschrift"/>
    <s v="Lohn"/>
    <n v="1000"/>
    <s v="EUR"/>
    <x v="0"/>
    <x v="1"/>
    <x v="0"/>
    <n v="1000"/>
    <x v="0"/>
  </r>
  <r>
    <d v="2015-02-12T00:00:00"/>
    <s v="Netflix"/>
    <s v="Abonnement"/>
    <s v="Streaming-Dienst"/>
    <n v="-15"/>
    <s v="EUR"/>
    <x v="1"/>
    <x v="1"/>
    <x v="0"/>
    <n v="15"/>
    <x v="1"/>
  </r>
  <r>
    <d v="2015-02-13T00:00:00"/>
    <s v="Autohändler"/>
    <s v="KFZ-Zahlung"/>
    <s v="Auto-Rate"/>
    <n v="-350"/>
    <s v="EUR"/>
    <x v="2"/>
    <x v="1"/>
    <x v="0"/>
    <n v="350"/>
    <x v="1"/>
  </r>
  <r>
    <d v="2015-02-14T00:00:00"/>
    <s v="Versicherungsgesellschaft"/>
    <s v="Versicherungsprämie"/>
    <s v="Kfz-Versicherung"/>
    <n v="-120"/>
    <s v="EUR"/>
    <x v="3"/>
    <x v="1"/>
    <x v="0"/>
    <n v="120"/>
    <x v="1"/>
  </r>
  <r>
    <d v="2015-02-15T00:00:00"/>
    <s v="Supermarkt"/>
    <s v="Lebensmittel-Einkauf"/>
    <s v="Wochenendeinkauf"/>
    <n v="-50"/>
    <s v="EUR"/>
    <x v="4"/>
    <x v="1"/>
    <x v="0"/>
    <n v="50"/>
    <x v="1"/>
  </r>
  <r>
    <d v="2015-02-16T00:00:00"/>
    <s v="Arbeitgeber"/>
    <s v="Gutschrift"/>
    <s v="Lohn"/>
    <n v="1000"/>
    <s v="EUR"/>
    <x v="0"/>
    <x v="1"/>
    <x v="0"/>
    <n v="1000"/>
    <x v="0"/>
  </r>
  <r>
    <d v="2015-02-17T00:00:00"/>
    <s v="Spotify"/>
    <s v="Abonnement"/>
    <s v="Music-Streaming"/>
    <n v="-10"/>
    <s v="EUR"/>
    <x v="1"/>
    <x v="1"/>
    <x v="0"/>
    <n v="10"/>
    <x v="1"/>
  </r>
  <r>
    <d v="2015-02-18T00:00:00"/>
    <s v="Tankstelle"/>
    <s v="Kraftstoff"/>
    <s v="Auto-Tankfüllung"/>
    <n v="-60"/>
    <s v="EUR"/>
    <x v="2"/>
    <x v="1"/>
    <x v="0"/>
    <n v="60"/>
    <x v="1"/>
  </r>
  <r>
    <d v="2015-02-19T00:00:00"/>
    <s v="Versicherungsgesellschaft"/>
    <s v="Versicherungsprämie"/>
    <s v="Haftpflichtversicherung"/>
    <n v="-80"/>
    <s v="EUR"/>
    <x v="3"/>
    <x v="1"/>
    <x v="0"/>
    <n v="80"/>
    <x v="1"/>
  </r>
  <r>
    <d v="2015-02-20T00:00:00"/>
    <s v="Bäckerei"/>
    <s v="Lebensmittel-Einkauf"/>
    <s v="Brot und Gebäck"/>
    <n v="-20"/>
    <s v="EUR"/>
    <x v="4"/>
    <x v="1"/>
    <x v="0"/>
    <n v="20"/>
    <x v="1"/>
  </r>
  <r>
    <d v="2015-02-21T00:00:00"/>
    <s v="Arbeitgeber"/>
    <s v="Gutschrift"/>
    <s v="Lohn"/>
    <n v="1000"/>
    <s v="EUR"/>
    <x v="0"/>
    <x v="1"/>
    <x v="0"/>
    <n v="1000"/>
    <x v="0"/>
  </r>
  <r>
    <d v="2015-02-22T00:00:00"/>
    <s v="Netflix"/>
    <s v="Abonnement"/>
    <s v="Streaming-Dienst"/>
    <n v="-15"/>
    <s v="EUR"/>
    <x v="1"/>
    <x v="1"/>
    <x v="0"/>
    <n v="15"/>
    <x v="1"/>
  </r>
  <r>
    <d v="2015-02-23T00:00:00"/>
    <s v="Autohändler"/>
    <s v="KFZ-Zahlung"/>
    <s v="Auto-Rate"/>
    <n v="-350"/>
    <s v="EUR"/>
    <x v="2"/>
    <x v="1"/>
    <x v="0"/>
    <n v="350"/>
    <x v="1"/>
  </r>
  <r>
    <d v="2015-02-24T00:00:00"/>
    <s v="Versicherungsgesellschaft"/>
    <s v="Versicherungsprämie"/>
    <s v="Kfz-Versicherung"/>
    <n v="-120"/>
    <s v="EUR"/>
    <x v="3"/>
    <x v="1"/>
    <x v="0"/>
    <n v="120"/>
    <x v="1"/>
  </r>
  <r>
    <d v="2015-02-25T00:00:00"/>
    <s v="Supermarkt"/>
    <s v="Lebensmittel-Einkauf"/>
    <s v="Wochenendeinkauf"/>
    <n v="-60"/>
    <s v="EUR"/>
    <x v="4"/>
    <x v="1"/>
    <x v="0"/>
    <n v="60"/>
    <x v="1"/>
  </r>
  <r>
    <d v="2015-02-26T00:00:00"/>
    <s v="Arbeitgeber"/>
    <s v="Gutschrift"/>
    <s v="Lohn"/>
    <n v="1000"/>
    <s v="EUR"/>
    <x v="0"/>
    <x v="1"/>
    <x v="0"/>
    <n v="1000"/>
    <x v="0"/>
  </r>
  <r>
    <d v="2015-02-27T00:00:00"/>
    <s v="Spotify"/>
    <s v="Abonnement"/>
    <s v="Music-Streaming"/>
    <n v="-10"/>
    <s v="EUR"/>
    <x v="1"/>
    <x v="1"/>
    <x v="0"/>
    <n v="10"/>
    <x v="1"/>
  </r>
  <r>
    <d v="2015-02-28T00:00:00"/>
    <s v="Tankstelle"/>
    <s v="Kraftstoff"/>
    <s v="Auto-Tankfüllung"/>
    <n v="-70"/>
    <s v="EUR"/>
    <x v="2"/>
    <x v="1"/>
    <x v="0"/>
    <n v="70"/>
    <x v="1"/>
  </r>
  <r>
    <d v="2015-03-01T00:00:00"/>
    <s v="Versicherungsgesellschaft"/>
    <s v="Versicherungsprämie"/>
    <s v="Haftpflichtversicherung"/>
    <n v="-80"/>
    <s v="EUR"/>
    <x v="3"/>
    <x v="2"/>
    <x v="0"/>
    <n v="80"/>
    <x v="1"/>
  </r>
  <r>
    <d v="2015-03-02T00:00:00"/>
    <s v="Bäckerei"/>
    <s v="Lebensmittel-Einkauf"/>
    <s v="Brot und Gebäck"/>
    <n v="-25"/>
    <s v="EUR"/>
    <x v="4"/>
    <x v="2"/>
    <x v="0"/>
    <n v="25"/>
    <x v="1"/>
  </r>
  <r>
    <d v="2015-03-03T00:00:00"/>
    <s v="Arbeitgeber"/>
    <s v="Gutschrift"/>
    <s v="Lohn"/>
    <n v="1000"/>
    <s v="EUR"/>
    <x v="0"/>
    <x v="2"/>
    <x v="0"/>
    <n v="1000"/>
    <x v="0"/>
  </r>
  <r>
    <d v="2015-03-04T00:00:00"/>
    <s v="Netflix"/>
    <s v="Abonnement"/>
    <s v="Streaming-Dienst"/>
    <n v="-15"/>
    <s v="EUR"/>
    <x v="1"/>
    <x v="2"/>
    <x v="0"/>
    <n v="15"/>
    <x v="1"/>
  </r>
  <r>
    <d v="2015-03-05T00:00:00"/>
    <s v="Autohändler"/>
    <s v="KFZ-Zahlung"/>
    <s v="Auto-Rate"/>
    <n v="-350"/>
    <s v="EUR"/>
    <x v="2"/>
    <x v="2"/>
    <x v="0"/>
    <n v="350"/>
    <x v="1"/>
  </r>
  <r>
    <d v="2015-03-06T00:00:00"/>
    <s v="Versicherungsgesellschaft"/>
    <s v="Versicherungsprämie"/>
    <s v="Kfz-Versicherung"/>
    <n v="-120"/>
    <s v="EUR"/>
    <x v="3"/>
    <x v="2"/>
    <x v="0"/>
    <n v="120"/>
    <x v="1"/>
  </r>
  <r>
    <d v="2015-03-07T00:00:00"/>
    <s v="Supermarkt"/>
    <s v="Lebensmittel-Einkauf"/>
    <s v="Wochenendeinkauf"/>
    <n v="-70"/>
    <s v="EUR"/>
    <x v="4"/>
    <x v="2"/>
    <x v="0"/>
    <n v="70"/>
    <x v="1"/>
  </r>
  <r>
    <d v="2015-03-08T00:00:00"/>
    <s v="Arbeitgeber"/>
    <s v="Gutschrift"/>
    <s v="Lohn"/>
    <n v="1000"/>
    <s v="EUR"/>
    <x v="0"/>
    <x v="2"/>
    <x v="0"/>
    <n v="1000"/>
    <x v="0"/>
  </r>
  <r>
    <d v="2015-03-09T00:00:00"/>
    <s v="Spotify"/>
    <s v="Abonnement"/>
    <s v="Music-Streaming"/>
    <n v="-10"/>
    <s v="EUR"/>
    <x v="1"/>
    <x v="2"/>
    <x v="0"/>
    <n v="10"/>
    <x v="1"/>
  </r>
  <r>
    <d v="2015-03-10T00:00:00"/>
    <s v="Tankstelle"/>
    <s v="Kraftstoff"/>
    <s v="Auto-Tankfüllung"/>
    <n v="-60"/>
    <s v="EUR"/>
    <x v="2"/>
    <x v="2"/>
    <x v="0"/>
    <n v="60"/>
    <x v="1"/>
  </r>
  <r>
    <d v="2015-03-11T00:00:00"/>
    <s v="Versicherungsgesellschaft"/>
    <s v="Versicherungsprämie"/>
    <s v="Haftpflichtversicherung"/>
    <n v="-80"/>
    <s v="EUR"/>
    <x v="3"/>
    <x v="2"/>
    <x v="0"/>
    <n v="80"/>
    <x v="1"/>
  </r>
  <r>
    <d v="2015-03-12T00:00:00"/>
    <s v="Bäckerei"/>
    <s v="Lebensmittel-Einkauf"/>
    <s v="Brot und Gebäck"/>
    <n v="-30"/>
    <s v="EUR"/>
    <x v="4"/>
    <x v="2"/>
    <x v="0"/>
    <n v="30"/>
    <x v="1"/>
  </r>
  <r>
    <d v="2015-03-13T00:00:00"/>
    <s v="Arbeitgeber"/>
    <s v="Gutschrift"/>
    <s v="Lohn"/>
    <n v="1000"/>
    <s v="EUR"/>
    <x v="0"/>
    <x v="2"/>
    <x v="0"/>
    <n v="1000"/>
    <x v="0"/>
  </r>
  <r>
    <d v="2015-03-14T00:00:00"/>
    <s v="Netflix"/>
    <s v="Abonnement"/>
    <s v="Streaming-Dienst"/>
    <n v="-15"/>
    <s v="EUR"/>
    <x v="1"/>
    <x v="2"/>
    <x v="0"/>
    <n v="15"/>
    <x v="1"/>
  </r>
  <r>
    <d v="2015-03-15T00:00:00"/>
    <s v="Autohändler"/>
    <s v="KFZ-Zahlung"/>
    <s v="Auto-Rate"/>
    <n v="-350"/>
    <s v="EUR"/>
    <x v="2"/>
    <x v="2"/>
    <x v="0"/>
    <n v="350"/>
    <x v="1"/>
  </r>
  <r>
    <d v="2015-03-16T00:00:00"/>
    <s v="Versicherungsgesellschaft"/>
    <s v="Versicherungsprämie"/>
    <s v="Kfz-Versicherung"/>
    <n v="-120"/>
    <s v="EUR"/>
    <x v="3"/>
    <x v="2"/>
    <x v="0"/>
    <n v="120"/>
    <x v="1"/>
  </r>
  <r>
    <d v="2015-03-17T00:00:00"/>
    <s v="Supermarkt"/>
    <s v="Lebensmittel-Einkauf"/>
    <s v="Wochenendeinkauf"/>
    <n v="-80"/>
    <s v="EUR"/>
    <x v="4"/>
    <x v="2"/>
    <x v="0"/>
    <n v="80"/>
    <x v="1"/>
  </r>
  <r>
    <d v="2015-03-18T00:00:00"/>
    <s v="Arbeitgeber"/>
    <s v="Gutschrift"/>
    <s v="Lohn"/>
    <n v="1000"/>
    <s v="EUR"/>
    <x v="0"/>
    <x v="2"/>
    <x v="0"/>
    <n v="1000"/>
    <x v="0"/>
  </r>
  <r>
    <d v="2015-03-19T00:00:00"/>
    <s v="Spotify"/>
    <s v="Abonnement"/>
    <s v="Music-Streaming"/>
    <n v="-10"/>
    <s v="EUR"/>
    <x v="1"/>
    <x v="2"/>
    <x v="0"/>
    <n v="10"/>
    <x v="1"/>
  </r>
  <r>
    <d v="2015-03-20T00:00:00"/>
    <s v="Tankstelle"/>
    <s v="Kraftstoff"/>
    <s v="Auto-Tankfüllung"/>
    <n v="-65"/>
    <s v="EUR"/>
    <x v="2"/>
    <x v="2"/>
    <x v="0"/>
    <n v="65"/>
    <x v="1"/>
  </r>
  <r>
    <d v="2015-03-21T00:00:00"/>
    <s v="Versicherungsgesellschaft"/>
    <s v="Versicherungsprämie"/>
    <s v="Haftpflichtversicherung"/>
    <n v="-80"/>
    <s v="EUR"/>
    <x v="3"/>
    <x v="2"/>
    <x v="0"/>
    <n v="80"/>
    <x v="1"/>
  </r>
  <r>
    <d v="2015-03-22T00:00:00"/>
    <s v="Bäckerei"/>
    <s v="Lebensmittel-Einkauf"/>
    <s v="Brot und Gebäck"/>
    <n v="-35"/>
    <s v="EUR"/>
    <x v="4"/>
    <x v="2"/>
    <x v="0"/>
    <n v="35"/>
    <x v="1"/>
  </r>
  <r>
    <d v="2015-03-23T00:00:00"/>
    <s v="Arbeitgeber"/>
    <s v="Gutschrift"/>
    <s v="Lohn"/>
    <n v="1000"/>
    <s v="EUR"/>
    <x v="0"/>
    <x v="2"/>
    <x v="0"/>
    <n v="1000"/>
    <x v="0"/>
  </r>
  <r>
    <d v="2015-03-24T00:00:00"/>
    <s v="Arbeitgeber"/>
    <s v="Gutschrift"/>
    <s v="Lohn"/>
    <n v="1000"/>
    <s v="EUR"/>
    <x v="0"/>
    <x v="2"/>
    <x v="0"/>
    <n v="1000"/>
    <x v="0"/>
  </r>
  <r>
    <d v="2015-03-25T00:00:00"/>
    <s v="Netflix"/>
    <s v="Abonnement"/>
    <s v="Streaming-Dienst"/>
    <n v="-15"/>
    <s v="EUR"/>
    <x v="1"/>
    <x v="2"/>
    <x v="0"/>
    <n v="15"/>
    <x v="1"/>
  </r>
  <r>
    <d v="2015-03-26T00:00:00"/>
    <s v="Autohändler"/>
    <s v="KFZ-Zahlung"/>
    <s v="Auto-Rate"/>
    <n v="-350"/>
    <s v="EUR"/>
    <x v="2"/>
    <x v="2"/>
    <x v="0"/>
    <n v="350"/>
    <x v="1"/>
  </r>
  <r>
    <d v="2015-03-27T00:00:00"/>
    <s v="Versicherungsgesellschaft"/>
    <s v="Versicherungsprämie"/>
    <s v="Kfz-Versicherung"/>
    <n v="-120"/>
    <s v="EUR"/>
    <x v="3"/>
    <x v="2"/>
    <x v="0"/>
    <n v="120"/>
    <x v="1"/>
  </r>
  <r>
    <d v="2015-03-28T00:00:00"/>
    <s v="Supermarkt"/>
    <s v="Lebensmittel-Einkauf"/>
    <s v="Wochenendeinkauf"/>
    <n v="-50"/>
    <s v="EUR"/>
    <x v="4"/>
    <x v="2"/>
    <x v="0"/>
    <n v="50"/>
    <x v="1"/>
  </r>
  <r>
    <d v="2015-03-29T00:00:00"/>
    <s v="Arbeitgeber"/>
    <s v="Gutschrift"/>
    <s v="Lohn"/>
    <n v="1000"/>
    <s v="EUR"/>
    <x v="0"/>
    <x v="2"/>
    <x v="0"/>
    <n v="1000"/>
    <x v="0"/>
  </r>
  <r>
    <d v="2015-03-30T00:00:00"/>
    <s v="Spotify"/>
    <s v="Abonnement"/>
    <s v="Music-Streaming"/>
    <n v="-10"/>
    <s v="EUR"/>
    <x v="1"/>
    <x v="2"/>
    <x v="0"/>
    <n v="10"/>
    <x v="1"/>
  </r>
  <r>
    <d v="2015-03-31T00:00:00"/>
    <s v="Tankstelle"/>
    <s v="Kraftstoff"/>
    <s v="Auto-Tankfüllung"/>
    <n v="-60"/>
    <s v="EUR"/>
    <x v="2"/>
    <x v="2"/>
    <x v="0"/>
    <n v="60"/>
    <x v="1"/>
  </r>
  <r>
    <d v="2015-04-01T00:00:00"/>
    <s v="Versicherungsgesellschaft"/>
    <s v="Versicherungsprämie"/>
    <s v="Haftpflichtversicherung"/>
    <n v="-80"/>
    <s v="EUR"/>
    <x v="3"/>
    <x v="3"/>
    <x v="0"/>
    <n v="80"/>
    <x v="1"/>
  </r>
  <r>
    <d v="2015-04-02T00:00:00"/>
    <s v="Bäckerei"/>
    <s v="Lebensmittel-Einkauf"/>
    <s v="Brot und Gebäck"/>
    <n v="-20"/>
    <s v="EUR"/>
    <x v="4"/>
    <x v="3"/>
    <x v="0"/>
    <n v="20"/>
    <x v="1"/>
  </r>
  <r>
    <d v="2015-04-03T00:00:00"/>
    <s v="Arbeitgeber"/>
    <s v="Gutschrift"/>
    <s v="Lohn"/>
    <n v="1000"/>
    <s v="EUR"/>
    <x v="0"/>
    <x v="3"/>
    <x v="0"/>
    <n v="1000"/>
    <x v="0"/>
  </r>
  <r>
    <d v="2015-04-04T00:00:00"/>
    <s v="Netflix"/>
    <s v="Abonnement"/>
    <s v="Streaming-Dienst"/>
    <n v="-15"/>
    <s v="EUR"/>
    <x v="1"/>
    <x v="3"/>
    <x v="0"/>
    <n v="15"/>
    <x v="1"/>
  </r>
  <r>
    <d v="2015-04-05T00:00:00"/>
    <s v="Autohändler"/>
    <s v="KFZ-Zahlung"/>
    <s v="Auto-Rate"/>
    <n v="-350"/>
    <s v="EUR"/>
    <x v="2"/>
    <x v="3"/>
    <x v="0"/>
    <n v="350"/>
    <x v="1"/>
  </r>
  <r>
    <d v="2015-04-06T00:00:00"/>
    <s v="Versicherungsgesellschaft"/>
    <s v="Versicherungsprämie"/>
    <s v="Kfz-Versicherung"/>
    <n v="-120"/>
    <s v="EUR"/>
    <x v="3"/>
    <x v="3"/>
    <x v="0"/>
    <n v="120"/>
    <x v="1"/>
  </r>
  <r>
    <d v="2015-04-07T00:00:00"/>
    <s v="Supermarkt"/>
    <s v="Lebensmittel-Einkauf"/>
    <s v="Wochenendeinkauf"/>
    <n v="-60"/>
    <s v="EUR"/>
    <x v="4"/>
    <x v="3"/>
    <x v="0"/>
    <n v="60"/>
    <x v="1"/>
  </r>
  <r>
    <d v="2015-04-08T00:00:00"/>
    <s v="Arbeitgeber"/>
    <s v="Gutschrift"/>
    <s v="Lohn"/>
    <n v="1000"/>
    <s v="EUR"/>
    <x v="0"/>
    <x v="3"/>
    <x v="0"/>
    <n v="1000"/>
    <x v="0"/>
  </r>
  <r>
    <d v="2015-04-09T00:00:00"/>
    <s v="Spotify"/>
    <s v="Abonnement"/>
    <s v="Music-Streaming"/>
    <n v="-10"/>
    <s v="EUR"/>
    <x v="1"/>
    <x v="3"/>
    <x v="0"/>
    <n v="10"/>
    <x v="1"/>
  </r>
  <r>
    <d v="2015-04-10T00:00:00"/>
    <s v="Tankstelle"/>
    <s v="Kraftstoff"/>
    <s v="Auto-Tankfüllung"/>
    <n v="-70"/>
    <s v="EUR"/>
    <x v="2"/>
    <x v="3"/>
    <x v="0"/>
    <n v="70"/>
    <x v="1"/>
  </r>
  <r>
    <d v="2015-04-11T00:00:00"/>
    <s v="Versicherungsgesellschaft"/>
    <s v="Versicherungsprämie"/>
    <s v="Haftpflichtversicherung"/>
    <n v="-80"/>
    <s v="EUR"/>
    <x v="3"/>
    <x v="3"/>
    <x v="0"/>
    <n v="80"/>
    <x v="1"/>
  </r>
  <r>
    <d v="2015-04-12T00:00:00"/>
    <s v="Bäckerei"/>
    <s v="Lebensmittel-Einkauf"/>
    <s v="Brot und Gebäck"/>
    <n v="-25"/>
    <s v="EUR"/>
    <x v="4"/>
    <x v="3"/>
    <x v="0"/>
    <n v="25"/>
    <x v="1"/>
  </r>
  <r>
    <d v="2015-04-13T00:00:00"/>
    <s v="Arbeitgeber"/>
    <s v="Gutschrift"/>
    <s v="Lohn"/>
    <n v="1000"/>
    <s v="EUR"/>
    <x v="0"/>
    <x v="3"/>
    <x v="0"/>
    <n v="1000"/>
    <x v="0"/>
  </r>
  <r>
    <d v="2015-04-14T00:00:00"/>
    <s v="Netflix"/>
    <s v="Abonnement"/>
    <s v="Streaming-Dienst"/>
    <n v="-15"/>
    <s v="EUR"/>
    <x v="1"/>
    <x v="3"/>
    <x v="0"/>
    <n v="15"/>
    <x v="1"/>
  </r>
  <r>
    <d v="2015-04-15T00:00:00"/>
    <s v="Autohändler"/>
    <s v="KFZ-Zahlung"/>
    <s v="Auto-Rate"/>
    <n v="-350"/>
    <s v="EUR"/>
    <x v="2"/>
    <x v="3"/>
    <x v="0"/>
    <n v="350"/>
    <x v="1"/>
  </r>
  <r>
    <d v="2015-04-16T00:00:00"/>
    <s v="Versicherungsgesellschaft"/>
    <s v="Versicherungsprämie"/>
    <s v="Kfz-Versicherung"/>
    <n v="-120"/>
    <s v="EUR"/>
    <x v="3"/>
    <x v="3"/>
    <x v="0"/>
    <n v="120"/>
    <x v="1"/>
  </r>
  <r>
    <d v="2015-04-17T00:00:00"/>
    <s v="Supermarkt"/>
    <s v="Lebensmittel-Einkauf"/>
    <s v="Wochenendeinkauf"/>
    <n v="-70"/>
    <s v="EUR"/>
    <x v="4"/>
    <x v="3"/>
    <x v="0"/>
    <n v="70"/>
    <x v="1"/>
  </r>
  <r>
    <d v="2015-04-18T00:00:00"/>
    <s v="Arbeitgeber"/>
    <s v="Gutschrift"/>
    <s v="Lohn"/>
    <n v="1000"/>
    <s v="EUR"/>
    <x v="0"/>
    <x v="3"/>
    <x v="0"/>
    <n v="1000"/>
    <x v="0"/>
  </r>
  <r>
    <d v="2015-04-19T00:00:00"/>
    <s v="Spotify"/>
    <s v="Abonnement"/>
    <s v="Music-Streaming"/>
    <n v="-10"/>
    <s v="EUR"/>
    <x v="1"/>
    <x v="3"/>
    <x v="0"/>
    <n v="10"/>
    <x v="1"/>
  </r>
  <r>
    <d v="2015-04-20T00:00:00"/>
    <s v="Tankstelle"/>
    <s v="Kraftstoff"/>
    <s v="Auto-Tankfüllung"/>
    <n v="-60"/>
    <s v="EUR"/>
    <x v="2"/>
    <x v="3"/>
    <x v="0"/>
    <n v="60"/>
    <x v="1"/>
  </r>
  <r>
    <d v="2015-04-21T00:00:00"/>
    <s v="Versicherungsgesellschaft"/>
    <s v="Versicherungsprämie"/>
    <s v="Haftpflichtversicherung"/>
    <n v="-80"/>
    <s v="EUR"/>
    <x v="3"/>
    <x v="3"/>
    <x v="0"/>
    <n v="80"/>
    <x v="1"/>
  </r>
  <r>
    <d v="2015-04-22T00:00:00"/>
    <s v="Bäckerei"/>
    <s v="Lebensmittel-Einkauf"/>
    <s v="Brot und Gebäck"/>
    <n v="-30"/>
    <s v="EUR"/>
    <x v="4"/>
    <x v="3"/>
    <x v="0"/>
    <n v="30"/>
    <x v="1"/>
  </r>
  <r>
    <d v="2015-04-23T00:00:00"/>
    <s v="Arbeitgeber"/>
    <s v="Gutschrift"/>
    <s v="Lohn"/>
    <n v="1000"/>
    <s v="EUR"/>
    <x v="0"/>
    <x v="3"/>
    <x v="0"/>
    <n v="1000"/>
    <x v="0"/>
  </r>
  <r>
    <d v="2015-04-24T00:00:00"/>
    <s v="Netflix"/>
    <s v="Abonnement"/>
    <s v="Streaming-Dienst"/>
    <n v="-15"/>
    <s v="EUR"/>
    <x v="1"/>
    <x v="3"/>
    <x v="0"/>
    <n v="15"/>
    <x v="1"/>
  </r>
  <r>
    <d v="2015-04-25T00:00:00"/>
    <s v="Autohändler"/>
    <s v="KFZ-Zahlung"/>
    <s v="Auto-Rate"/>
    <n v="-350"/>
    <s v="EUR"/>
    <x v="2"/>
    <x v="3"/>
    <x v="0"/>
    <n v="350"/>
    <x v="1"/>
  </r>
  <r>
    <d v="2015-04-26T00:00:00"/>
    <s v="Versicherungsgesellschaft"/>
    <s v="Versicherungsprämie"/>
    <s v="Kfz-Versicherung"/>
    <n v="-120"/>
    <s v="EUR"/>
    <x v="3"/>
    <x v="3"/>
    <x v="0"/>
    <n v="120"/>
    <x v="1"/>
  </r>
  <r>
    <d v="2015-04-27T00:00:00"/>
    <s v="Supermarkt"/>
    <s v="Lebensmittel-Einkauf"/>
    <s v="Wochenendeinkauf"/>
    <n v="-80"/>
    <s v="EUR"/>
    <x v="4"/>
    <x v="3"/>
    <x v="0"/>
    <n v="80"/>
    <x v="1"/>
  </r>
  <r>
    <d v="2015-04-28T00:00:00"/>
    <s v="Arbeitgeber"/>
    <s v="Gutschrift"/>
    <s v="Lohn"/>
    <n v="1000"/>
    <s v="EUR"/>
    <x v="0"/>
    <x v="3"/>
    <x v="0"/>
    <n v="1000"/>
    <x v="0"/>
  </r>
  <r>
    <d v="2015-04-29T00:00:00"/>
    <s v="Spotify"/>
    <s v="Abonnement"/>
    <s v="Music-Streaming"/>
    <n v="-10"/>
    <s v="EUR"/>
    <x v="1"/>
    <x v="3"/>
    <x v="0"/>
    <n v="10"/>
    <x v="1"/>
  </r>
  <r>
    <d v="2015-04-30T00:00:00"/>
    <s v="Tankstelle"/>
    <s v="Kraftstoff"/>
    <s v="Auto-Tankfüllung"/>
    <n v="-65"/>
    <s v="EUR"/>
    <x v="2"/>
    <x v="3"/>
    <x v="0"/>
    <n v="65"/>
    <x v="1"/>
  </r>
  <r>
    <d v="2015-05-01T00:00:00"/>
    <s v="Versicherungsgesellschaft"/>
    <s v="Versicherungsprämie"/>
    <s v="Haftpflichtversicherung"/>
    <n v="-80"/>
    <s v="EUR"/>
    <x v="3"/>
    <x v="4"/>
    <x v="0"/>
    <n v="80"/>
    <x v="1"/>
  </r>
  <r>
    <d v="2015-05-02T00:00:00"/>
    <s v="Bäckerei"/>
    <s v="Lebensmittel-Einkauf"/>
    <s v="Brot und Gebäck"/>
    <n v="-35"/>
    <s v="EUR"/>
    <x v="4"/>
    <x v="4"/>
    <x v="0"/>
    <n v="35"/>
    <x v="1"/>
  </r>
  <r>
    <d v="2015-05-03T00:00:00"/>
    <s v="Arbeitgeber"/>
    <s v="Gutschrift"/>
    <s v="Lohn"/>
    <n v="1000"/>
    <s v="EUR"/>
    <x v="0"/>
    <x v="4"/>
    <x v="0"/>
    <n v="1000"/>
    <x v="0"/>
  </r>
  <r>
    <d v="2015-05-04T00:00:00"/>
    <s v="Arbeitgeber"/>
    <s v="Gutschrift"/>
    <s v="Lohn"/>
    <n v="1000"/>
    <s v="EUR"/>
    <x v="0"/>
    <x v="4"/>
    <x v="0"/>
    <n v="1000"/>
    <x v="0"/>
  </r>
  <r>
    <d v="2015-05-05T00:00:00"/>
    <s v="Netflix"/>
    <s v="Abonnement"/>
    <s v="Streaming-Dienst"/>
    <n v="-15"/>
    <s v="EUR"/>
    <x v="1"/>
    <x v="4"/>
    <x v="0"/>
    <n v="15"/>
    <x v="1"/>
  </r>
  <r>
    <d v="2015-05-06T00:00:00"/>
    <s v="Autohändler"/>
    <s v="KFZ-Zahlung"/>
    <s v="Auto-Rate"/>
    <n v="-350"/>
    <s v="EUR"/>
    <x v="2"/>
    <x v="4"/>
    <x v="0"/>
    <n v="350"/>
    <x v="1"/>
  </r>
  <r>
    <d v="2015-05-07T00:00:00"/>
    <s v="Versicherungsgesellschaft"/>
    <s v="Versicherungsprämie"/>
    <s v="Kfz-Versicherung"/>
    <n v="-120"/>
    <s v="EUR"/>
    <x v="3"/>
    <x v="4"/>
    <x v="0"/>
    <n v="120"/>
    <x v="1"/>
  </r>
  <r>
    <d v="2015-05-08T00:00:00"/>
    <s v="Supermarkt"/>
    <s v="Lebensmittel-Einkauf"/>
    <s v="Wochenendeinkauf"/>
    <n v="-50"/>
    <s v="EUR"/>
    <x v="4"/>
    <x v="4"/>
    <x v="0"/>
    <n v="50"/>
    <x v="1"/>
  </r>
  <r>
    <d v="2015-05-09T00:00:00"/>
    <s v="Arbeitgeber"/>
    <s v="Gutschrift"/>
    <s v="Lohn"/>
    <n v="1000"/>
    <s v="EUR"/>
    <x v="0"/>
    <x v="4"/>
    <x v="0"/>
    <n v="1000"/>
    <x v="0"/>
  </r>
  <r>
    <d v="2015-05-10T00:00:00"/>
    <s v="Spotify"/>
    <s v="Abonnement"/>
    <s v="Music-Streaming"/>
    <n v="-10"/>
    <s v="EUR"/>
    <x v="1"/>
    <x v="4"/>
    <x v="0"/>
    <n v="10"/>
    <x v="1"/>
  </r>
  <r>
    <d v="2015-05-11T00:00:00"/>
    <s v="Tankstelle"/>
    <s v="Kraftstoff"/>
    <s v="Auto-Tankfüllung"/>
    <n v="-60"/>
    <s v="EUR"/>
    <x v="2"/>
    <x v="4"/>
    <x v="0"/>
    <n v="60"/>
    <x v="1"/>
  </r>
  <r>
    <d v="2015-05-12T00:00:00"/>
    <s v="Versicherungsgesellschaft"/>
    <s v="Versicherungsprämie"/>
    <s v="Haftpflichtversicherung"/>
    <n v="-80"/>
    <s v="EUR"/>
    <x v="3"/>
    <x v="4"/>
    <x v="0"/>
    <n v="80"/>
    <x v="1"/>
  </r>
  <r>
    <d v="2015-05-13T00:00:00"/>
    <s v="Bäckerei"/>
    <s v="Lebensmittel-Einkauf"/>
    <s v="Brot und Gebäck"/>
    <n v="-20"/>
    <s v="EUR"/>
    <x v="4"/>
    <x v="4"/>
    <x v="0"/>
    <n v="20"/>
    <x v="1"/>
  </r>
  <r>
    <d v="2015-05-14T00:00:00"/>
    <s v="Arbeitgeber"/>
    <s v="Gutschrift"/>
    <s v="Lohn"/>
    <n v="1000"/>
    <s v="EUR"/>
    <x v="0"/>
    <x v="4"/>
    <x v="0"/>
    <n v="1000"/>
    <x v="0"/>
  </r>
  <r>
    <d v="2015-05-15T00:00:00"/>
    <s v="Netflix"/>
    <s v="Abonnement"/>
    <s v="Streaming-Dienst"/>
    <n v="-15"/>
    <s v="EUR"/>
    <x v="1"/>
    <x v="4"/>
    <x v="0"/>
    <n v="15"/>
    <x v="1"/>
  </r>
  <r>
    <d v="2015-05-16T00:00:00"/>
    <s v="Autohändler"/>
    <s v="KFZ-Zahlung"/>
    <s v="Auto-Rate"/>
    <n v="-350"/>
    <s v="EUR"/>
    <x v="2"/>
    <x v="4"/>
    <x v="0"/>
    <n v="350"/>
    <x v="1"/>
  </r>
  <r>
    <d v="2015-05-17T00:00:00"/>
    <s v="Versicherungsgesellschaft"/>
    <s v="Versicherungsprämie"/>
    <s v="Kfz-Versicherung"/>
    <n v="-120"/>
    <s v="EUR"/>
    <x v="3"/>
    <x v="4"/>
    <x v="0"/>
    <n v="120"/>
    <x v="1"/>
  </r>
  <r>
    <d v="2015-05-18T00:00:00"/>
    <s v="Supermarkt"/>
    <s v="Lebensmittel-Einkauf"/>
    <s v="Wochenendeinkauf"/>
    <n v="-60"/>
    <s v="EUR"/>
    <x v="4"/>
    <x v="4"/>
    <x v="0"/>
    <n v="60"/>
    <x v="1"/>
  </r>
  <r>
    <d v="2015-05-19T00:00:00"/>
    <s v="Arbeitgeber"/>
    <s v="Gutschrift"/>
    <s v="Lohn"/>
    <n v="1000"/>
    <s v="EUR"/>
    <x v="0"/>
    <x v="4"/>
    <x v="0"/>
    <n v="1000"/>
    <x v="0"/>
  </r>
  <r>
    <d v="2015-05-20T00:00:00"/>
    <s v="Spotify"/>
    <s v="Abonnement"/>
    <s v="Music-Streaming"/>
    <n v="-10"/>
    <s v="EUR"/>
    <x v="1"/>
    <x v="4"/>
    <x v="0"/>
    <n v="10"/>
    <x v="1"/>
  </r>
  <r>
    <d v="2015-05-21T00:00:00"/>
    <s v="Tankstelle"/>
    <s v="Kraftstoff"/>
    <s v="Auto-Tankfüllung"/>
    <n v="-70"/>
    <s v="EUR"/>
    <x v="2"/>
    <x v="4"/>
    <x v="0"/>
    <n v="70"/>
    <x v="1"/>
  </r>
  <r>
    <d v="2015-05-22T00:00:00"/>
    <s v="Versicherungsgesellschaft"/>
    <s v="Versicherungsprämie"/>
    <s v="Haftpflichtversicherung"/>
    <n v="-80"/>
    <s v="EUR"/>
    <x v="3"/>
    <x v="4"/>
    <x v="0"/>
    <n v="80"/>
    <x v="1"/>
  </r>
  <r>
    <d v="2015-05-23T00:00:00"/>
    <s v="Bäckerei"/>
    <s v="Lebensmittel-Einkauf"/>
    <s v="Brot und Gebäck"/>
    <n v="-25"/>
    <s v="EUR"/>
    <x v="4"/>
    <x v="4"/>
    <x v="0"/>
    <n v="25"/>
    <x v="1"/>
  </r>
  <r>
    <d v="2015-05-24T00:00:00"/>
    <s v="Arbeitgeber"/>
    <s v="Gutschrift"/>
    <s v="Lohn"/>
    <n v="1000"/>
    <s v="EUR"/>
    <x v="0"/>
    <x v="4"/>
    <x v="0"/>
    <n v="1000"/>
    <x v="0"/>
  </r>
  <r>
    <d v="2015-05-25T00:00:00"/>
    <s v="Netflix"/>
    <s v="Abonnement"/>
    <s v="Streaming-Dienst"/>
    <n v="-15"/>
    <s v="EUR"/>
    <x v="1"/>
    <x v="4"/>
    <x v="0"/>
    <n v="15"/>
    <x v="1"/>
  </r>
  <r>
    <d v="2015-05-26T00:00:00"/>
    <s v="Autohändler"/>
    <s v="KFZ-Zahlung"/>
    <s v="Auto-Rate"/>
    <n v="-350"/>
    <s v="EUR"/>
    <x v="2"/>
    <x v="4"/>
    <x v="0"/>
    <n v="350"/>
    <x v="1"/>
  </r>
  <r>
    <d v="2015-05-27T00:00:00"/>
    <s v="Versicherungsgesellschaft"/>
    <s v="Versicherungsprämie"/>
    <s v="Kfz-Versicherung"/>
    <n v="-120"/>
    <s v="EUR"/>
    <x v="3"/>
    <x v="4"/>
    <x v="0"/>
    <n v="120"/>
    <x v="1"/>
  </r>
  <r>
    <d v="2015-05-28T00:00:00"/>
    <s v="Supermarkt"/>
    <s v="Lebensmittel-Einkauf"/>
    <s v="Wochenendeinkauf"/>
    <n v="-70"/>
    <s v="EUR"/>
    <x v="4"/>
    <x v="4"/>
    <x v="0"/>
    <n v="70"/>
    <x v="1"/>
  </r>
  <r>
    <d v="2015-05-29T00:00:00"/>
    <s v="Arbeitgeber"/>
    <s v="Gutschrift"/>
    <s v="Lohn"/>
    <n v="1000"/>
    <s v="EUR"/>
    <x v="0"/>
    <x v="4"/>
    <x v="0"/>
    <n v="1000"/>
    <x v="0"/>
  </r>
  <r>
    <d v="2015-05-30T00:00:00"/>
    <s v="Spotify"/>
    <s v="Abonnement"/>
    <s v="Music-Streaming"/>
    <n v="-10"/>
    <s v="EUR"/>
    <x v="1"/>
    <x v="4"/>
    <x v="0"/>
    <n v="10"/>
    <x v="1"/>
  </r>
  <r>
    <d v="2015-05-31T00:00:00"/>
    <s v="Tankstelle"/>
    <s v="Kraftstoff"/>
    <s v="Auto-Tankfüllung"/>
    <n v="-60"/>
    <s v="EUR"/>
    <x v="2"/>
    <x v="4"/>
    <x v="0"/>
    <n v="60"/>
    <x v="1"/>
  </r>
  <r>
    <d v="2015-06-01T00:00:00"/>
    <s v="Versicherungsgesellschaft"/>
    <s v="Versicherungsprämie"/>
    <s v="Haftpflichtversicherung"/>
    <n v="-80"/>
    <s v="EUR"/>
    <x v="3"/>
    <x v="5"/>
    <x v="0"/>
    <n v="80"/>
    <x v="1"/>
  </r>
  <r>
    <d v="2015-06-02T00:00:00"/>
    <s v="Bäckerei"/>
    <s v="Lebensmittel-Einkauf"/>
    <s v="Brot und Gebäck"/>
    <n v="-30"/>
    <s v="EUR"/>
    <x v="4"/>
    <x v="5"/>
    <x v="0"/>
    <n v="30"/>
    <x v="1"/>
  </r>
  <r>
    <d v="2015-06-03T00:00:00"/>
    <s v="Arbeitgeber"/>
    <s v="Gutschrift"/>
    <s v="Lohn"/>
    <n v="1000"/>
    <s v="EUR"/>
    <x v="0"/>
    <x v="5"/>
    <x v="0"/>
    <n v="1000"/>
    <x v="0"/>
  </r>
  <r>
    <d v="2015-06-04T00:00:00"/>
    <s v="Netflix"/>
    <s v="Abonnement"/>
    <s v="Streaming-Dienst"/>
    <n v="-15"/>
    <s v="EUR"/>
    <x v="1"/>
    <x v="5"/>
    <x v="0"/>
    <n v="15"/>
    <x v="1"/>
  </r>
  <r>
    <d v="2015-06-05T00:00:00"/>
    <s v="Autohändler"/>
    <s v="KFZ-Zahlung"/>
    <s v="Auto-Rate"/>
    <n v="-350"/>
    <s v="EUR"/>
    <x v="2"/>
    <x v="5"/>
    <x v="0"/>
    <n v="350"/>
    <x v="1"/>
  </r>
  <r>
    <d v="2015-06-06T00:00:00"/>
    <s v="Versicherungsgesellschaft"/>
    <s v="Versicherungsprämie"/>
    <s v="Kfz-Versicherung"/>
    <n v="-120"/>
    <s v="EUR"/>
    <x v="3"/>
    <x v="5"/>
    <x v="0"/>
    <n v="120"/>
    <x v="1"/>
  </r>
  <r>
    <d v="2015-06-07T00:00:00"/>
    <s v="Supermarkt"/>
    <s v="Lebensmittel-Einkauf"/>
    <s v="Wochenendeinkauf"/>
    <n v="-80"/>
    <s v="EUR"/>
    <x v="4"/>
    <x v="5"/>
    <x v="0"/>
    <n v="80"/>
    <x v="1"/>
  </r>
  <r>
    <d v="2015-06-08T00:00:00"/>
    <s v="Arbeitgeber"/>
    <s v="Gutschrift"/>
    <s v="Lohn"/>
    <n v="1000"/>
    <s v="EUR"/>
    <x v="0"/>
    <x v="5"/>
    <x v="0"/>
    <n v="1000"/>
    <x v="0"/>
  </r>
  <r>
    <d v="2015-06-09T00:00:00"/>
    <s v="Spotify"/>
    <s v="Abonnement"/>
    <s v="Music-Streaming"/>
    <n v="-10"/>
    <s v="EUR"/>
    <x v="1"/>
    <x v="5"/>
    <x v="0"/>
    <n v="10"/>
    <x v="1"/>
  </r>
  <r>
    <d v="2015-06-10T00:00:00"/>
    <s v="Tankstelle"/>
    <s v="Kraftstoff"/>
    <s v="Auto-Tankfüllung"/>
    <n v="-65"/>
    <s v="EUR"/>
    <x v="2"/>
    <x v="5"/>
    <x v="0"/>
    <n v="65"/>
    <x v="1"/>
  </r>
  <r>
    <d v="2015-06-11T00:00:00"/>
    <s v="Versicherungsgesellschaft"/>
    <s v="Versicherungsprämie"/>
    <s v="Haftpflichtversicherung"/>
    <n v="-80"/>
    <s v="EUR"/>
    <x v="3"/>
    <x v="5"/>
    <x v="0"/>
    <n v="80"/>
    <x v="1"/>
  </r>
  <r>
    <d v="2015-06-12T00:00:00"/>
    <s v="Bäckerei"/>
    <s v="Lebensmittel-Einkauf"/>
    <s v="Brot und Gebäck"/>
    <n v="-35"/>
    <s v="EUR"/>
    <x v="4"/>
    <x v="5"/>
    <x v="0"/>
    <n v="35"/>
    <x v="1"/>
  </r>
  <r>
    <d v="2015-06-13T00:00:00"/>
    <s v="Arbeitgeber"/>
    <s v="Gutschrift"/>
    <s v="Lohn"/>
    <n v="1000"/>
    <s v="EUR"/>
    <x v="0"/>
    <x v="5"/>
    <x v="0"/>
    <n v="1000"/>
    <x v="0"/>
  </r>
  <r>
    <d v="2015-06-14T00:00:00"/>
    <s v="Arbeitgeber"/>
    <s v="Gutschrift"/>
    <s v="Lohn"/>
    <n v="1000"/>
    <s v="EUR"/>
    <x v="0"/>
    <x v="5"/>
    <x v="0"/>
    <n v="1000"/>
    <x v="0"/>
  </r>
  <r>
    <d v="2015-06-15T00:00:00"/>
    <s v="Netflix"/>
    <s v="Abonnement"/>
    <s v="Streaming-Dienst"/>
    <n v="-15"/>
    <s v="EUR"/>
    <x v="1"/>
    <x v="5"/>
    <x v="0"/>
    <n v="15"/>
    <x v="1"/>
  </r>
  <r>
    <d v="2015-06-16T00:00:00"/>
    <s v="Autohändler"/>
    <s v="KFZ-Zahlung"/>
    <s v="Auto-Rate"/>
    <n v="-350"/>
    <s v="EUR"/>
    <x v="2"/>
    <x v="5"/>
    <x v="0"/>
    <n v="350"/>
    <x v="1"/>
  </r>
  <r>
    <d v="2015-06-17T00:00:00"/>
    <s v="Versicherungsgesellschaft"/>
    <s v="Versicherungsprämie"/>
    <s v="Kfz-Versicherung"/>
    <n v="-120"/>
    <s v="EUR"/>
    <x v="3"/>
    <x v="5"/>
    <x v="0"/>
    <n v="120"/>
    <x v="1"/>
  </r>
  <r>
    <d v="2015-06-18T00:00:00"/>
    <s v="Supermarkt"/>
    <s v="Lebensmittel-Einkauf"/>
    <s v="Wochenendeinkauf"/>
    <n v="-50"/>
    <s v="EUR"/>
    <x v="4"/>
    <x v="5"/>
    <x v="0"/>
    <n v="50"/>
    <x v="1"/>
  </r>
  <r>
    <d v="2015-06-19T00:00:00"/>
    <s v="Arbeitgeber"/>
    <s v="Gutschrift"/>
    <s v="Lohn"/>
    <n v="1000"/>
    <s v="EUR"/>
    <x v="0"/>
    <x v="5"/>
    <x v="0"/>
    <n v="1000"/>
    <x v="0"/>
  </r>
  <r>
    <d v="2015-06-20T00:00:00"/>
    <s v="Spotify"/>
    <s v="Abonnement"/>
    <s v="Music-Streaming"/>
    <n v="-10"/>
    <s v="EUR"/>
    <x v="1"/>
    <x v="5"/>
    <x v="0"/>
    <n v="10"/>
    <x v="1"/>
  </r>
  <r>
    <d v="2015-06-21T00:00:00"/>
    <s v="Tankstelle"/>
    <s v="Kraftstoff"/>
    <s v="Auto-Tankfüllung"/>
    <n v="-60"/>
    <s v="EUR"/>
    <x v="2"/>
    <x v="5"/>
    <x v="0"/>
    <n v="60"/>
    <x v="1"/>
  </r>
  <r>
    <d v="2015-06-22T00:00:00"/>
    <s v="Versicherungsgesellschaft"/>
    <s v="Versicherungsprämie"/>
    <s v="Haftpflichtversicherung"/>
    <n v="-80"/>
    <s v="EUR"/>
    <x v="3"/>
    <x v="5"/>
    <x v="0"/>
    <n v="80"/>
    <x v="1"/>
  </r>
  <r>
    <d v="2015-06-23T00:00:00"/>
    <s v="Bäckerei"/>
    <s v="Lebensmittel-Einkauf"/>
    <s v="Brot und Gebäck"/>
    <n v="-20"/>
    <s v="EUR"/>
    <x v="4"/>
    <x v="5"/>
    <x v="0"/>
    <n v="20"/>
    <x v="1"/>
  </r>
  <r>
    <d v="2015-06-24T00:00:00"/>
    <s v="Arbeitgeber"/>
    <s v="Gutschrift"/>
    <s v="Lohn"/>
    <n v="1000"/>
    <s v="EUR"/>
    <x v="0"/>
    <x v="5"/>
    <x v="0"/>
    <n v="1000"/>
    <x v="0"/>
  </r>
  <r>
    <d v="2015-06-25T00:00:00"/>
    <s v="Netflix"/>
    <s v="Abonnement"/>
    <s v="Streaming-Dienst"/>
    <n v="-15"/>
    <s v="EUR"/>
    <x v="1"/>
    <x v="5"/>
    <x v="0"/>
    <n v="15"/>
    <x v="1"/>
  </r>
  <r>
    <d v="2015-06-26T00:00:00"/>
    <s v="Autohändler"/>
    <s v="KFZ-Zahlung"/>
    <s v="Auto-Rate"/>
    <n v="-350"/>
    <s v="EUR"/>
    <x v="2"/>
    <x v="5"/>
    <x v="0"/>
    <n v="350"/>
    <x v="1"/>
  </r>
  <r>
    <d v="2015-06-27T00:00:00"/>
    <s v="Versicherungsgesellschaft"/>
    <s v="Versicherungsprämie"/>
    <s v="Kfz-Versicherung"/>
    <n v="-120"/>
    <s v="EUR"/>
    <x v="3"/>
    <x v="5"/>
    <x v="0"/>
    <n v="120"/>
    <x v="1"/>
  </r>
  <r>
    <d v="2015-06-28T00:00:00"/>
    <s v="Supermarkt"/>
    <s v="Lebensmittel-Einkauf"/>
    <s v="Wochenendeinkauf"/>
    <n v="-60"/>
    <s v="EUR"/>
    <x v="4"/>
    <x v="5"/>
    <x v="0"/>
    <n v="60"/>
    <x v="1"/>
  </r>
  <r>
    <d v="2015-06-29T00:00:00"/>
    <s v="Arbeitgeber"/>
    <s v="Gutschrift"/>
    <s v="Lohn"/>
    <n v="1000"/>
    <s v="EUR"/>
    <x v="0"/>
    <x v="5"/>
    <x v="0"/>
    <n v="1000"/>
    <x v="0"/>
  </r>
  <r>
    <d v="2015-06-30T00:00:00"/>
    <s v="Spotify"/>
    <s v="Abonnement"/>
    <s v="Music-Streaming"/>
    <n v="-10"/>
    <s v="EUR"/>
    <x v="1"/>
    <x v="5"/>
    <x v="0"/>
    <n v="10"/>
    <x v="1"/>
  </r>
  <r>
    <d v="2015-07-01T00:00:00"/>
    <s v="Tankstelle"/>
    <s v="Kraftstoff"/>
    <s v="Auto-Tankfüllung"/>
    <n v="-70"/>
    <s v="EUR"/>
    <x v="2"/>
    <x v="6"/>
    <x v="0"/>
    <n v="70"/>
    <x v="1"/>
  </r>
  <r>
    <d v="2015-07-02T00:00:00"/>
    <s v="Versicherungsgesellschaft"/>
    <s v="Versicherungsprämie"/>
    <s v="Haftpflichtversicherung"/>
    <n v="-80"/>
    <s v="EUR"/>
    <x v="3"/>
    <x v="6"/>
    <x v="0"/>
    <n v="80"/>
    <x v="1"/>
  </r>
  <r>
    <d v="2015-07-03T00:00:00"/>
    <s v="Bäckerei"/>
    <s v="Lebensmittel-Einkauf"/>
    <s v="Brot und Gebäck"/>
    <n v="-25"/>
    <s v="EUR"/>
    <x v="4"/>
    <x v="6"/>
    <x v="0"/>
    <n v="25"/>
    <x v="1"/>
  </r>
  <r>
    <d v="2015-07-04T00:00:00"/>
    <s v="Arbeitgeber"/>
    <s v="Gutschrift"/>
    <s v="Lohn"/>
    <n v="1000"/>
    <s v="EUR"/>
    <x v="0"/>
    <x v="6"/>
    <x v="0"/>
    <n v="1000"/>
    <x v="0"/>
  </r>
  <r>
    <d v="2015-07-05T00:00:00"/>
    <s v="Netflix"/>
    <s v="Abonnement"/>
    <s v="Streaming-Dienst"/>
    <n v="-15"/>
    <s v="EUR"/>
    <x v="1"/>
    <x v="6"/>
    <x v="0"/>
    <n v="15"/>
    <x v="1"/>
  </r>
  <r>
    <d v="2015-07-06T00:00:00"/>
    <s v="Autohändler"/>
    <s v="KFZ-Zahlung"/>
    <s v="Auto-Rate"/>
    <n v="-350"/>
    <s v="EUR"/>
    <x v="2"/>
    <x v="6"/>
    <x v="0"/>
    <n v="350"/>
    <x v="1"/>
  </r>
  <r>
    <d v="2015-07-07T00:00:00"/>
    <s v="Versicherungsgesellschaft"/>
    <s v="Versicherungsprämie"/>
    <s v="Kfz-Versicherung"/>
    <n v="-120"/>
    <s v="EUR"/>
    <x v="3"/>
    <x v="6"/>
    <x v="0"/>
    <n v="120"/>
    <x v="1"/>
  </r>
  <r>
    <d v="2015-07-08T00:00:00"/>
    <s v="Supermarkt"/>
    <s v="Lebensmittel-Einkauf"/>
    <s v="Wochenendeinkauf"/>
    <n v="-70"/>
    <s v="EUR"/>
    <x v="4"/>
    <x v="6"/>
    <x v="0"/>
    <n v="70"/>
    <x v="1"/>
  </r>
  <r>
    <d v="2015-07-09T00:00:00"/>
    <s v="Arbeitgeber"/>
    <s v="Gutschrift"/>
    <s v="Lohn"/>
    <n v="1000"/>
    <s v="EUR"/>
    <x v="0"/>
    <x v="6"/>
    <x v="0"/>
    <n v="1000"/>
    <x v="0"/>
  </r>
  <r>
    <d v="2015-07-10T00:00:00"/>
    <s v="Spotify"/>
    <s v="Abonnement"/>
    <s v="Music-Streaming"/>
    <n v="-10"/>
    <s v="EUR"/>
    <x v="1"/>
    <x v="6"/>
    <x v="0"/>
    <n v="10"/>
    <x v="1"/>
  </r>
  <r>
    <d v="2015-07-11T00:00:00"/>
    <s v="Tankstelle"/>
    <s v="Kraftstoff"/>
    <s v="Auto-Tankfüllung"/>
    <n v="-60"/>
    <s v="EUR"/>
    <x v="2"/>
    <x v="6"/>
    <x v="0"/>
    <n v="60"/>
    <x v="1"/>
  </r>
  <r>
    <d v="2015-07-12T00:00:00"/>
    <s v="Versicherungsgesellschaft"/>
    <s v="Versicherungsprämie"/>
    <s v="Haftpflichtversicherung"/>
    <n v="-80"/>
    <s v="EUR"/>
    <x v="3"/>
    <x v="6"/>
    <x v="0"/>
    <n v="80"/>
    <x v="1"/>
  </r>
  <r>
    <d v="2015-07-13T00:00:00"/>
    <s v="Bäckerei"/>
    <s v="Lebensmittel-Einkauf"/>
    <s v="Brot und Gebäck"/>
    <n v="-30"/>
    <s v="EUR"/>
    <x v="4"/>
    <x v="6"/>
    <x v="0"/>
    <n v="30"/>
    <x v="1"/>
  </r>
  <r>
    <d v="2015-07-14T00:00:00"/>
    <s v="Arbeitgeber"/>
    <s v="Gutschrift"/>
    <s v="Lohn"/>
    <n v="1000"/>
    <s v="EUR"/>
    <x v="0"/>
    <x v="6"/>
    <x v="0"/>
    <n v="1000"/>
    <x v="0"/>
  </r>
  <r>
    <d v="2015-07-15T00:00:00"/>
    <s v="Netflix"/>
    <s v="Abonnement"/>
    <s v="Streaming-Dienst"/>
    <n v="-15"/>
    <s v="EUR"/>
    <x v="1"/>
    <x v="6"/>
    <x v="0"/>
    <n v="15"/>
    <x v="1"/>
  </r>
  <r>
    <d v="2015-07-16T00:00:00"/>
    <s v="Autohändler"/>
    <s v="KFZ-Zahlung"/>
    <s v="Auto-Rate"/>
    <n v="-350"/>
    <s v="EUR"/>
    <x v="2"/>
    <x v="6"/>
    <x v="0"/>
    <n v="350"/>
    <x v="1"/>
  </r>
  <r>
    <d v="2015-07-17T00:00:00"/>
    <s v="Versicherungsgesellschaft"/>
    <s v="Versicherungsprämie"/>
    <s v="Kfz-Versicherung"/>
    <n v="-120"/>
    <s v="EUR"/>
    <x v="3"/>
    <x v="6"/>
    <x v="0"/>
    <n v="120"/>
    <x v="1"/>
  </r>
  <r>
    <d v="2015-07-18T00:00:00"/>
    <s v="Supermarkt"/>
    <s v="Lebensmittel-Einkauf"/>
    <s v="Wochenendeinkauf"/>
    <n v="-80"/>
    <s v="EUR"/>
    <x v="4"/>
    <x v="6"/>
    <x v="0"/>
    <n v="80"/>
    <x v="1"/>
  </r>
  <r>
    <d v="2015-07-19T00:00:00"/>
    <s v="Arbeitgeber"/>
    <s v="Gutschrift"/>
    <s v="Lohn"/>
    <n v="1000"/>
    <s v="EUR"/>
    <x v="0"/>
    <x v="6"/>
    <x v="0"/>
    <n v="1000"/>
    <x v="0"/>
  </r>
  <r>
    <d v="2015-07-20T00:00:00"/>
    <s v="Spotify"/>
    <s v="Abonnement"/>
    <s v="Music-Streaming"/>
    <n v="-10"/>
    <s v="EUR"/>
    <x v="1"/>
    <x v="6"/>
    <x v="0"/>
    <n v="10"/>
    <x v="1"/>
  </r>
  <r>
    <d v="2015-07-21T00:00:00"/>
    <s v="Tankstelle"/>
    <s v="Kraftstoff"/>
    <s v="Auto-Tankfüllung"/>
    <n v="-65"/>
    <s v="EUR"/>
    <x v="2"/>
    <x v="6"/>
    <x v="0"/>
    <n v="65"/>
    <x v="1"/>
  </r>
  <r>
    <d v="2015-07-22T00:00:00"/>
    <s v="Versicherungsgesellschaft"/>
    <s v="Versicherungsprämie"/>
    <s v="Haftpflichtversicherung"/>
    <n v="-80"/>
    <s v="EUR"/>
    <x v="3"/>
    <x v="6"/>
    <x v="0"/>
    <n v="80"/>
    <x v="1"/>
  </r>
  <r>
    <d v="2015-07-23T00:00:00"/>
    <s v="Bäckerei"/>
    <s v="Lebensmittel-Einkauf"/>
    <s v="Brot und Gebäck"/>
    <n v="-35"/>
    <s v="EUR"/>
    <x v="4"/>
    <x v="6"/>
    <x v="0"/>
    <n v="35"/>
    <x v="1"/>
  </r>
  <r>
    <d v="2015-07-24T00:00:00"/>
    <s v="Arbeitgeber"/>
    <s v="Gutschrift"/>
    <s v="Lohn"/>
    <n v="1000"/>
    <s v="EUR"/>
    <x v="0"/>
    <x v="6"/>
    <x v="0"/>
    <n v="1000"/>
    <x v="0"/>
  </r>
  <r>
    <d v="2015-07-25T00:00:00"/>
    <s v="Arbeitgeber"/>
    <s v="Gutschrift"/>
    <s v="Lohn"/>
    <n v="1000"/>
    <s v="EUR"/>
    <x v="0"/>
    <x v="6"/>
    <x v="0"/>
    <n v="1000"/>
    <x v="0"/>
  </r>
  <r>
    <d v="2015-07-26T00:00:00"/>
    <s v="Netflix"/>
    <s v="Abonnement"/>
    <s v="Streaming-Dienst"/>
    <n v="-15"/>
    <s v="EUR"/>
    <x v="1"/>
    <x v="6"/>
    <x v="0"/>
    <n v="15"/>
    <x v="1"/>
  </r>
  <r>
    <d v="2015-07-27T00:00:00"/>
    <s v="Autohändler"/>
    <s v="KFZ-Zahlung"/>
    <s v="Auto-Rate"/>
    <n v="-350"/>
    <s v="EUR"/>
    <x v="2"/>
    <x v="6"/>
    <x v="0"/>
    <n v="350"/>
    <x v="1"/>
  </r>
  <r>
    <d v="2015-07-28T00:00:00"/>
    <s v="Versicherungsgesellschaft"/>
    <s v="Versicherungsprämie"/>
    <s v="Kfz-Versicherung"/>
    <n v="-120"/>
    <s v="EUR"/>
    <x v="3"/>
    <x v="6"/>
    <x v="0"/>
    <n v="120"/>
    <x v="1"/>
  </r>
  <r>
    <d v="2015-07-29T00:00:00"/>
    <s v="Supermarkt"/>
    <s v="Lebensmittel-Einkauf"/>
    <s v="Wochenendeinkauf"/>
    <n v="-50"/>
    <s v="EUR"/>
    <x v="4"/>
    <x v="6"/>
    <x v="0"/>
    <n v="50"/>
    <x v="1"/>
  </r>
  <r>
    <d v="2015-07-30T00:00:00"/>
    <s v="Arbeitgeber"/>
    <s v="Gutschrift"/>
    <s v="Lohn"/>
    <n v="1000"/>
    <s v="EUR"/>
    <x v="0"/>
    <x v="6"/>
    <x v="0"/>
    <n v="1000"/>
    <x v="0"/>
  </r>
  <r>
    <d v="2015-07-31T00:00:00"/>
    <s v="Spotify"/>
    <s v="Abonnement"/>
    <s v="Music-Streaming"/>
    <n v="-10"/>
    <s v="EUR"/>
    <x v="1"/>
    <x v="6"/>
    <x v="0"/>
    <n v="10"/>
    <x v="1"/>
  </r>
  <r>
    <d v="2015-08-01T00:00:00"/>
    <s v="Tankstelle"/>
    <s v="Kraftstoff"/>
    <s v="Auto-Tankfüllung"/>
    <n v="-60"/>
    <s v="EUR"/>
    <x v="2"/>
    <x v="7"/>
    <x v="0"/>
    <n v="60"/>
    <x v="1"/>
  </r>
  <r>
    <d v="2015-08-02T00:00:00"/>
    <s v="Versicherungsgesellschaft"/>
    <s v="Versicherungsprämie"/>
    <s v="Haftpflichtversicherung"/>
    <n v="-80"/>
    <s v="EUR"/>
    <x v="3"/>
    <x v="7"/>
    <x v="0"/>
    <n v="80"/>
    <x v="1"/>
  </r>
  <r>
    <d v="2015-08-03T00:00:00"/>
    <s v="Bäckerei"/>
    <s v="Lebensmittel-Einkauf"/>
    <s v="Brot und Gebäck"/>
    <n v="-20"/>
    <s v="EUR"/>
    <x v="4"/>
    <x v="7"/>
    <x v="0"/>
    <n v="20"/>
    <x v="1"/>
  </r>
  <r>
    <d v="2015-08-04T00:00:00"/>
    <s v="Arbeitgeber"/>
    <s v="Gutschrift"/>
    <s v="Lohn"/>
    <n v="1000"/>
    <s v="EUR"/>
    <x v="0"/>
    <x v="7"/>
    <x v="0"/>
    <n v="1000"/>
    <x v="0"/>
  </r>
  <r>
    <d v="2015-08-05T00:00:00"/>
    <s v="Netflix"/>
    <s v="Abonnement"/>
    <s v="Streaming-Dienst"/>
    <n v="-15"/>
    <s v="EUR"/>
    <x v="1"/>
    <x v="7"/>
    <x v="0"/>
    <n v="15"/>
    <x v="1"/>
  </r>
  <r>
    <d v="2015-08-06T00:00:00"/>
    <s v="Autohändler"/>
    <s v="KFZ-Zahlung"/>
    <s v="Auto-Rate"/>
    <n v="-350"/>
    <s v="EUR"/>
    <x v="2"/>
    <x v="7"/>
    <x v="0"/>
    <n v="350"/>
    <x v="1"/>
  </r>
  <r>
    <d v="2015-08-07T00:00:00"/>
    <s v="Versicherungsgesellschaft"/>
    <s v="Versicherungsprämie"/>
    <s v="Kfz-Versicherung"/>
    <n v="-120"/>
    <s v="EUR"/>
    <x v="3"/>
    <x v="7"/>
    <x v="0"/>
    <n v="120"/>
    <x v="1"/>
  </r>
  <r>
    <d v="2015-08-08T00:00:00"/>
    <s v="Supermarkt"/>
    <s v="Lebensmittel-Einkauf"/>
    <s v="Wochenendeinkauf"/>
    <n v="-60"/>
    <s v="EUR"/>
    <x v="4"/>
    <x v="7"/>
    <x v="0"/>
    <n v="60"/>
    <x v="1"/>
  </r>
  <r>
    <d v="2015-08-09T00:00:00"/>
    <s v="Arbeitgeber"/>
    <s v="Gutschrift"/>
    <s v="Lohn"/>
    <n v="1000"/>
    <s v="EUR"/>
    <x v="0"/>
    <x v="7"/>
    <x v="0"/>
    <n v="1000"/>
    <x v="0"/>
  </r>
  <r>
    <d v="2015-08-10T00:00:00"/>
    <s v="Spotify"/>
    <s v="Abonnement"/>
    <s v="Music-Streaming"/>
    <n v="-10"/>
    <s v="EUR"/>
    <x v="1"/>
    <x v="7"/>
    <x v="0"/>
    <n v="10"/>
    <x v="1"/>
  </r>
  <r>
    <d v="2015-08-11T00:00:00"/>
    <s v="Tankstelle"/>
    <s v="Kraftstoff"/>
    <s v="Auto-Tankfüllung"/>
    <n v="-70"/>
    <s v="EUR"/>
    <x v="2"/>
    <x v="7"/>
    <x v="0"/>
    <n v="70"/>
    <x v="1"/>
  </r>
  <r>
    <d v="2015-08-12T00:00:00"/>
    <s v="Versicherungsgesellschaft"/>
    <s v="Versicherungsprämie"/>
    <s v="Haftpflichtversicherung"/>
    <n v="-80"/>
    <s v="EUR"/>
    <x v="3"/>
    <x v="7"/>
    <x v="0"/>
    <n v="80"/>
    <x v="1"/>
  </r>
  <r>
    <d v="2015-08-13T00:00:00"/>
    <s v="Bäckerei"/>
    <s v="Lebensmittel-Einkauf"/>
    <s v="Brot und Gebäck"/>
    <n v="-25"/>
    <s v="EUR"/>
    <x v="4"/>
    <x v="7"/>
    <x v="0"/>
    <n v="25"/>
    <x v="1"/>
  </r>
  <r>
    <d v="2015-08-14T00:00:00"/>
    <s v="Arbeitgeber"/>
    <s v="Gutschrift"/>
    <s v="Lohn"/>
    <n v="1000"/>
    <s v="EUR"/>
    <x v="0"/>
    <x v="7"/>
    <x v="0"/>
    <n v="1000"/>
    <x v="0"/>
  </r>
  <r>
    <d v="2015-08-15T00:00:00"/>
    <s v="Netflix"/>
    <s v="Abonnement"/>
    <s v="Streaming-Dienst"/>
    <n v="-15"/>
    <s v="EUR"/>
    <x v="1"/>
    <x v="7"/>
    <x v="0"/>
    <n v="15"/>
    <x v="1"/>
  </r>
  <r>
    <d v="2015-08-16T00:00:00"/>
    <s v="Autohändler"/>
    <s v="KFZ-Zahlung"/>
    <s v="Auto-Rate"/>
    <n v="-350"/>
    <s v="EUR"/>
    <x v="2"/>
    <x v="7"/>
    <x v="0"/>
    <n v="350"/>
    <x v="1"/>
  </r>
  <r>
    <d v="2015-08-17T00:00:00"/>
    <s v="Versicherungsgesellschaft"/>
    <s v="Versicherungsprämie"/>
    <s v="Kfz-Versicherung"/>
    <n v="-120"/>
    <s v="EUR"/>
    <x v="3"/>
    <x v="7"/>
    <x v="0"/>
    <n v="120"/>
    <x v="1"/>
  </r>
  <r>
    <d v="2015-08-18T00:00:00"/>
    <s v="Supermarkt"/>
    <s v="Lebensmittel-Einkauf"/>
    <s v="Wochenendeinkauf"/>
    <n v="-70"/>
    <s v="EUR"/>
    <x v="4"/>
    <x v="7"/>
    <x v="0"/>
    <n v="70"/>
    <x v="1"/>
  </r>
  <r>
    <d v="2015-08-19T00:00:00"/>
    <s v="Arbeitgeber"/>
    <s v="Gutschrift"/>
    <s v="Lohn"/>
    <n v="1000"/>
    <s v="EUR"/>
    <x v="0"/>
    <x v="7"/>
    <x v="0"/>
    <n v="1000"/>
    <x v="0"/>
  </r>
  <r>
    <d v="2015-08-20T00:00:00"/>
    <s v="Spotify"/>
    <s v="Abonnement"/>
    <s v="Music-Streaming"/>
    <n v="-10"/>
    <s v="EUR"/>
    <x v="1"/>
    <x v="7"/>
    <x v="0"/>
    <n v="10"/>
    <x v="1"/>
  </r>
  <r>
    <d v="2015-08-21T00:00:00"/>
    <s v="Tankstelle"/>
    <s v="Kraftstoff"/>
    <s v="Auto-Tankfüllung"/>
    <n v="-60"/>
    <s v="EUR"/>
    <x v="2"/>
    <x v="7"/>
    <x v="0"/>
    <n v="60"/>
    <x v="1"/>
  </r>
  <r>
    <d v="2015-08-22T00:00:00"/>
    <s v="Versicherungsgesellschaft"/>
    <s v="Versicherungsprämie"/>
    <s v="Haftpflichtversicherung"/>
    <n v="-80"/>
    <s v="EUR"/>
    <x v="3"/>
    <x v="7"/>
    <x v="0"/>
    <n v="80"/>
    <x v="1"/>
  </r>
  <r>
    <d v="2015-08-23T00:00:00"/>
    <s v="Bäckerei"/>
    <s v="Lebensmittel-Einkauf"/>
    <s v="Brot und Gebäck"/>
    <n v="-30"/>
    <s v="EUR"/>
    <x v="4"/>
    <x v="7"/>
    <x v="0"/>
    <n v="30"/>
    <x v="1"/>
  </r>
  <r>
    <d v="2015-08-24T00:00:00"/>
    <s v="Arbeitgeber"/>
    <s v="Gutschrift"/>
    <s v="Lohn"/>
    <n v="1000"/>
    <s v="EUR"/>
    <x v="0"/>
    <x v="7"/>
    <x v="0"/>
    <n v="1000"/>
    <x v="0"/>
  </r>
  <r>
    <d v="2015-08-25T00:00:00"/>
    <s v="Netflix"/>
    <s v="Abonnement"/>
    <s v="Streaming-Dienst"/>
    <n v="-15"/>
    <s v="EUR"/>
    <x v="1"/>
    <x v="7"/>
    <x v="0"/>
    <n v="15"/>
    <x v="1"/>
  </r>
  <r>
    <d v="2015-08-26T00:00:00"/>
    <s v="Autohändler"/>
    <s v="KFZ-Zahlung"/>
    <s v="Auto-Rate"/>
    <n v="-350"/>
    <s v="EUR"/>
    <x v="2"/>
    <x v="7"/>
    <x v="0"/>
    <n v="350"/>
    <x v="1"/>
  </r>
  <r>
    <d v="2015-08-27T00:00:00"/>
    <s v="Versicherungsgesellschaft"/>
    <s v="Versicherungsprämie"/>
    <s v="Kfz-Versicherung"/>
    <n v="-120"/>
    <s v="EUR"/>
    <x v="3"/>
    <x v="7"/>
    <x v="0"/>
    <n v="120"/>
    <x v="1"/>
  </r>
  <r>
    <d v="2015-08-28T00:00:00"/>
    <s v="Supermarkt"/>
    <s v="Lebensmittel-Einkauf"/>
    <s v="Wochenendeinkauf"/>
    <n v="-80"/>
    <s v="EUR"/>
    <x v="4"/>
    <x v="7"/>
    <x v="0"/>
    <n v="80"/>
    <x v="1"/>
  </r>
  <r>
    <d v="2015-08-29T00:00:00"/>
    <s v="Arbeitgeber"/>
    <s v="Gutschrift"/>
    <s v="Lohn"/>
    <n v="1000"/>
    <s v="EUR"/>
    <x v="0"/>
    <x v="7"/>
    <x v="0"/>
    <n v="1000"/>
    <x v="0"/>
  </r>
  <r>
    <d v="2015-08-30T00:00:00"/>
    <s v="Spotify"/>
    <s v="Abonnement"/>
    <s v="Music-Streaming"/>
    <n v="-10"/>
    <s v="EUR"/>
    <x v="1"/>
    <x v="7"/>
    <x v="0"/>
    <n v="10"/>
    <x v="1"/>
  </r>
  <r>
    <d v="2015-08-31T00:00:00"/>
    <s v="Tankstelle"/>
    <s v="Kraftstoff"/>
    <s v="Auto-Tankfüllung"/>
    <n v="-65"/>
    <s v="EUR"/>
    <x v="2"/>
    <x v="7"/>
    <x v="0"/>
    <n v="65"/>
    <x v="1"/>
  </r>
  <r>
    <d v="2015-09-01T00:00:00"/>
    <s v="Versicherungsgesellschaft"/>
    <s v="Versicherungsprämie"/>
    <s v="Haftpflichtversicherung"/>
    <n v="-80"/>
    <s v="EUR"/>
    <x v="3"/>
    <x v="8"/>
    <x v="0"/>
    <n v="80"/>
    <x v="1"/>
  </r>
  <r>
    <d v="2015-09-02T00:00:00"/>
    <s v="Bäckerei"/>
    <s v="Lebensmittel-Einkauf"/>
    <s v="Brot und Gebäck"/>
    <n v="-35"/>
    <s v="EUR"/>
    <x v="4"/>
    <x v="8"/>
    <x v="0"/>
    <n v="35"/>
    <x v="1"/>
  </r>
  <r>
    <d v="2015-09-03T00:00:00"/>
    <s v="Arbeitgeber"/>
    <s v="Gutschrift"/>
    <s v="Lohn"/>
    <n v="1000"/>
    <s v="EUR"/>
    <x v="0"/>
    <x v="8"/>
    <x v="0"/>
    <n v="1000"/>
    <x v="0"/>
  </r>
  <r>
    <d v="2015-09-04T00:00:00"/>
    <s v="Arbeitgeber"/>
    <s v="Gutschrift"/>
    <s v="Lohn"/>
    <n v="1000"/>
    <s v="EUR"/>
    <x v="0"/>
    <x v="8"/>
    <x v="0"/>
    <n v="1000"/>
    <x v="0"/>
  </r>
  <r>
    <d v="2015-09-05T00:00:00"/>
    <s v="Netflix"/>
    <s v="Abonnement"/>
    <s v="Streaming-Dienst"/>
    <n v="-15"/>
    <s v="EUR"/>
    <x v="1"/>
    <x v="8"/>
    <x v="0"/>
    <n v="15"/>
    <x v="1"/>
  </r>
  <r>
    <d v="2015-09-06T00:00:00"/>
    <s v="Autohändler"/>
    <s v="KFZ-Zahlung"/>
    <s v="Auto-Rate"/>
    <n v="-350"/>
    <s v="EUR"/>
    <x v="2"/>
    <x v="8"/>
    <x v="0"/>
    <n v="350"/>
    <x v="1"/>
  </r>
  <r>
    <d v="2015-09-07T00:00:00"/>
    <s v="Versicherungsgesellschaft"/>
    <s v="Versicherungsprämie"/>
    <s v="Kfz-Versicherung"/>
    <n v="-120"/>
    <s v="EUR"/>
    <x v="3"/>
    <x v="8"/>
    <x v="0"/>
    <n v="120"/>
    <x v="1"/>
  </r>
  <r>
    <d v="2015-09-08T00:00:00"/>
    <s v="Supermarkt"/>
    <s v="Lebensmittel-Einkauf"/>
    <s v="Wochenendeinkauf"/>
    <n v="-50"/>
    <s v="EUR"/>
    <x v="4"/>
    <x v="8"/>
    <x v="0"/>
    <n v="50"/>
    <x v="1"/>
  </r>
  <r>
    <d v="2015-09-09T00:00:00"/>
    <s v="Arbeitgeber"/>
    <s v="Gutschrift"/>
    <s v="Lohn"/>
    <n v="1000"/>
    <s v="EUR"/>
    <x v="0"/>
    <x v="8"/>
    <x v="0"/>
    <n v="1000"/>
    <x v="0"/>
  </r>
  <r>
    <d v="2015-09-10T00:00:00"/>
    <s v="Spotify"/>
    <s v="Abonnement"/>
    <s v="Music-Streaming"/>
    <n v="-10"/>
    <s v="EUR"/>
    <x v="1"/>
    <x v="8"/>
    <x v="0"/>
    <n v="10"/>
    <x v="1"/>
  </r>
  <r>
    <d v="2015-09-11T00:00:00"/>
    <s v="Tankstelle"/>
    <s v="Kraftstoff"/>
    <s v="Auto-Tankfüllung"/>
    <n v="-60"/>
    <s v="EUR"/>
    <x v="2"/>
    <x v="8"/>
    <x v="0"/>
    <n v="60"/>
    <x v="1"/>
  </r>
  <r>
    <d v="2015-09-12T00:00:00"/>
    <s v="Versicherungsgesellschaft"/>
    <s v="Versicherungsprämie"/>
    <s v="Haftpflichtversicherung"/>
    <n v="-80"/>
    <s v="EUR"/>
    <x v="3"/>
    <x v="8"/>
    <x v="0"/>
    <n v="80"/>
    <x v="1"/>
  </r>
  <r>
    <d v="2015-09-13T00:00:00"/>
    <s v="Bäckerei"/>
    <s v="Lebensmittel-Einkauf"/>
    <s v="Brot und Gebäck"/>
    <n v="-20"/>
    <s v="EUR"/>
    <x v="4"/>
    <x v="8"/>
    <x v="0"/>
    <n v="20"/>
    <x v="1"/>
  </r>
  <r>
    <d v="2015-09-14T00:00:00"/>
    <s v="Arbeitgeber"/>
    <s v="Gutschrift"/>
    <s v="Lohn"/>
    <n v="1000"/>
    <s v="EUR"/>
    <x v="0"/>
    <x v="8"/>
    <x v="0"/>
    <n v="1000"/>
    <x v="0"/>
  </r>
  <r>
    <d v="2015-09-15T00:00:00"/>
    <s v="Netflix"/>
    <s v="Abonnement"/>
    <s v="Streaming-Dienst"/>
    <n v="-15"/>
    <s v="EUR"/>
    <x v="1"/>
    <x v="8"/>
    <x v="0"/>
    <n v="15"/>
    <x v="1"/>
  </r>
  <r>
    <d v="2015-09-16T00:00:00"/>
    <s v="Autohändler"/>
    <s v="KFZ-Zahlung"/>
    <s v="Auto-Rate"/>
    <n v="-350"/>
    <s v="EUR"/>
    <x v="2"/>
    <x v="8"/>
    <x v="0"/>
    <n v="350"/>
    <x v="1"/>
  </r>
  <r>
    <d v="2015-09-17T00:00:00"/>
    <s v="Versicherungsgesellschaft"/>
    <s v="Versicherungsprämie"/>
    <s v="Kfz-Versicherung"/>
    <n v="-120"/>
    <s v="EUR"/>
    <x v="3"/>
    <x v="8"/>
    <x v="0"/>
    <n v="120"/>
    <x v="1"/>
  </r>
  <r>
    <d v="2015-09-18T00:00:00"/>
    <s v="Supermarkt"/>
    <s v="Lebensmittel-Einkauf"/>
    <s v="Wochenendeinkauf"/>
    <n v="-60"/>
    <s v="EUR"/>
    <x v="4"/>
    <x v="8"/>
    <x v="0"/>
    <n v="60"/>
    <x v="1"/>
  </r>
  <r>
    <d v="2015-09-19T00:00:00"/>
    <s v="Arbeitgeber"/>
    <s v="Gutschrift"/>
    <s v="Lohn"/>
    <n v="1000"/>
    <s v="EUR"/>
    <x v="0"/>
    <x v="8"/>
    <x v="0"/>
    <n v="1000"/>
    <x v="0"/>
  </r>
  <r>
    <d v="2015-09-20T00:00:00"/>
    <s v="Spotify"/>
    <s v="Abonnement"/>
    <s v="Music-Streaming"/>
    <n v="-10"/>
    <s v="EUR"/>
    <x v="1"/>
    <x v="8"/>
    <x v="0"/>
    <n v="10"/>
    <x v="1"/>
  </r>
  <r>
    <d v="2015-09-21T00:00:00"/>
    <s v="Tankstelle"/>
    <s v="Kraftstoff"/>
    <s v="Auto-Tankfüllung"/>
    <n v="-70"/>
    <s v="EUR"/>
    <x v="2"/>
    <x v="8"/>
    <x v="0"/>
    <n v="70"/>
    <x v="1"/>
  </r>
  <r>
    <d v="2015-09-22T00:00:00"/>
    <s v="Versicherungsgesellschaft"/>
    <s v="Versicherungsprämie"/>
    <s v="Haftpflichtversicherung"/>
    <n v="-80"/>
    <s v="EUR"/>
    <x v="3"/>
    <x v="8"/>
    <x v="0"/>
    <n v="80"/>
    <x v="1"/>
  </r>
  <r>
    <d v="2015-09-23T00:00:00"/>
    <s v="Bäckerei"/>
    <s v="Lebensmittel-Einkauf"/>
    <s v="Brot und Gebäck"/>
    <n v="-25"/>
    <s v="EUR"/>
    <x v="4"/>
    <x v="8"/>
    <x v="0"/>
    <n v="25"/>
    <x v="1"/>
  </r>
  <r>
    <d v="2015-09-24T00:00:00"/>
    <s v="Arbeitgeber"/>
    <s v="Gutschrift"/>
    <s v="Lohn"/>
    <n v="1000"/>
    <s v="EUR"/>
    <x v="0"/>
    <x v="8"/>
    <x v="0"/>
    <n v="1000"/>
    <x v="0"/>
  </r>
  <r>
    <d v="2015-09-25T00:00:00"/>
    <s v="Netflix"/>
    <s v="Abonnement"/>
    <s v="Streaming-Dienst"/>
    <n v="-15"/>
    <s v="EUR"/>
    <x v="1"/>
    <x v="8"/>
    <x v="0"/>
    <n v="15"/>
    <x v="1"/>
  </r>
  <r>
    <d v="2015-09-26T00:00:00"/>
    <s v="Autohändler"/>
    <s v="KFZ-Zahlung"/>
    <s v="Auto-Rate"/>
    <n v="-350"/>
    <s v="EUR"/>
    <x v="2"/>
    <x v="8"/>
    <x v="0"/>
    <n v="350"/>
    <x v="1"/>
  </r>
  <r>
    <d v="2015-09-27T00:00:00"/>
    <s v="Versicherungsgesellschaft"/>
    <s v="Versicherungsprämie"/>
    <s v="Kfz-Versicherung"/>
    <n v="-120"/>
    <s v="EUR"/>
    <x v="3"/>
    <x v="8"/>
    <x v="0"/>
    <n v="120"/>
    <x v="1"/>
  </r>
  <r>
    <d v="2015-09-28T00:00:00"/>
    <s v="Supermarkt"/>
    <s v="Lebensmittel-Einkauf"/>
    <s v="Wochenendeinkauf"/>
    <n v="-70"/>
    <s v="EUR"/>
    <x v="4"/>
    <x v="8"/>
    <x v="0"/>
    <n v="70"/>
    <x v="1"/>
  </r>
  <r>
    <d v="2015-09-29T00:00:00"/>
    <s v="Arbeitgeber"/>
    <s v="Gutschrift"/>
    <s v="Lohn"/>
    <n v="1000"/>
    <s v="EUR"/>
    <x v="0"/>
    <x v="8"/>
    <x v="0"/>
    <n v="1000"/>
    <x v="0"/>
  </r>
  <r>
    <d v="2015-09-30T00:00:00"/>
    <s v="Spotify"/>
    <s v="Abonnement"/>
    <s v="Music-Streaming"/>
    <n v="-10"/>
    <s v="EUR"/>
    <x v="1"/>
    <x v="8"/>
    <x v="0"/>
    <n v="10"/>
    <x v="1"/>
  </r>
  <r>
    <d v="2015-10-01T00:00:00"/>
    <s v="Tankstelle"/>
    <s v="Kraftstoff"/>
    <s v="Auto-Tankfüllung"/>
    <n v="-60"/>
    <s v="EUR"/>
    <x v="2"/>
    <x v="9"/>
    <x v="0"/>
    <n v="60"/>
    <x v="1"/>
  </r>
  <r>
    <d v="2015-10-02T00:00:00"/>
    <s v="Versicherungsgesellschaft"/>
    <s v="Versicherungsprämie"/>
    <s v="Haftpflichtversicherung"/>
    <n v="-80"/>
    <s v="EUR"/>
    <x v="3"/>
    <x v="9"/>
    <x v="0"/>
    <n v="80"/>
    <x v="1"/>
  </r>
  <r>
    <d v="2015-10-03T00:00:00"/>
    <s v="Bäckerei"/>
    <s v="Lebensmittel-Einkauf"/>
    <s v="Brot und Gebäck"/>
    <n v="-30"/>
    <s v="EUR"/>
    <x v="4"/>
    <x v="9"/>
    <x v="0"/>
    <n v="30"/>
    <x v="1"/>
  </r>
  <r>
    <d v="2015-10-04T00:00:00"/>
    <s v="Arbeitgeber"/>
    <s v="Gutschrift"/>
    <s v="Lohn"/>
    <n v="1000"/>
    <s v="EUR"/>
    <x v="0"/>
    <x v="9"/>
    <x v="0"/>
    <n v="1000"/>
    <x v="0"/>
  </r>
  <r>
    <d v="2015-10-05T00:00:00"/>
    <s v="Netflix"/>
    <s v="Abonnement"/>
    <s v="Streaming-Dienst"/>
    <n v="-15"/>
    <s v="EUR"/>
    <x v="1"/>
    <x v="9"/>
    <x v="0"/>
    <n v="15"/>
    <x v="1"/>
  </r>
  <r>
    <d v="2015-10-06T00:00:00"/>
    <s v="Autohändler"/>
    <s v="KFZ-Zahlung"/>
    <s v="Auto-Rate"/>
    <n v="-350"/>
    <s v="EUR"/>
    <x v="2"/>
    <x v="9"/>
    <x v="0"/>
    <n v="350"/>
    <x v="1"/>
  </r>
  <r>
    <d v="2015-10-07T00:00:00"/>
    <s v="Versicherungsgesellschaft"/>
    <s v="Versicherungsprämie"/>
    <s v="Kfz-Versicherung"/>
    <n v="-120"/>
    <s v="EUR"/>
    <x v="3"/>
    <x v="9"/>
    <x v="0"/>
    <n v="120"/>
    <x v="1"/>
  </r>
  <r>
    <d v="2015-10-08T00:00:00"/>
    <s v="Supermarkt"/>
    <s v="Lebensmittel-Einkauf"/>
    <s v="Wochenendeinkauf"/>
    <n v="-80"/>
    <s v="EUR"/>
    <x v="4"/>
    <x v="9"/>
    <x v="0"/>
    <n v="80"/>
    <x v="1"/>
  </r>
  <r>
    <d v="2015-10-09T00:00:00"/>
    <s v="Arbeitgeber"/>
    <s v="Gutschrift"/>
    <s v="Lohn"/>
    <n v="1000"/>
    <s v="EUR"/>
    <x v="0"/>
    <x v="9"/>
    <x v="0"/>
    <n v="1000"/>
    <x v="0"/>
  </r>
  <r>
    <d v="2015-10-10T00:00:00"/>
    <s v="Spotify"/>
    <s v="Abonnement"/>
    <s v="Music-Streaming"/>
    <n v="-10"/>
    <s v="EUR"/>
    <x v="1"/>
    <x v="9"/>
    <x v="0"/>
    <n v="10"/>
    <x v="1"/>
  </r>
  <r>
    <d v="2015-10-11T00:00:00"/>
    <s v="Tankstelle"/>
    <s v="Kraftstoff"/>
    <s v="Auto-Tankfüllung"/>
    <n v="-65"/>
    <s v="EUR"/>
    <x v="2"/>
    <x v="9"/>
    <x v="0"/>
    <n v="65"/>
    <x v="1"/>
  </r>
  <r>
    <d v="2015-10-12T00:00:00"/>
    <s v="Versicherungsgesellschaft"/>
    <s v="Versicherungsprämie"/>
    <s v="Haftpflichtversicherung"/>
    <n v="-80"/>
    <s v="EUR"/>
    <x v="3"/>
    <x v="9"/>
    <x v="0"/>
    <n v="80"/>
    <x v="1"/>
  </r>
  <r>
    <d v="2015-10-13T00:00:00"/>
    <s v="Bäckerei"/>
    <s v="Lebensmittel-Einkauf"/>
    <s v="Brot und Gebäck"/>
    <n v="-35"/>
    <s v="EUR"/>
    <x v="4"/>
    <x v="9"/>
    <x v="0"/>
    <n v="35"/>
    <x v="1"/>
  </r>
  <r>
    <d v="2015-10-14T00:00:00"/>
    <s v="Arbeitgeber"/>
    <s v="Gutschrift"/>
    <s v="Lohn"/>
    <n v="1000"/>
    <s v="EUR"/>
    <x v="0"/>
    <x v="9"/>
    <x v="0"/>
    <n v="1000"/>
    <x v="0"/>
  </r>
  <r>
    <d v="2015-10-15T00:00:00"/>
    <s v="Arbeitgeber"/>
    <s v="Gutschrift"/>
    <s v="Lohn"/>
    <n v="1000"/>
    <s v="EUR"/>
    <x v="0"/>
    <x v="9"/>
    <x v="0"/>
    <n v="1000"/>
    <x v="0"/>
  </r>
  <r>
    <d v="2015-10-16T00:00:00"/>
    <s v="Netflix"/>
    <s v="Abonnement"/>
    <s v="Streaming-Dienst"/>
    <n v="-15"/>
    <s v="EUR"/>
    <x v="1"/>
    <x v="9"/>
    <x v="0"/>
    <n v="15"/>
    <x v="1"/>
  </r>
  <r>
    <d v="2015-10-17T00:00:00"/>
    <s v="Autohändler"/>
    <s v="KFZ-Zahlung"/>
    <s v="Auto-Rate"/>
    <n v="-350"/>
    <s v="EUR"/>
    <x v="2"/>
    <x v="9"/>
    <x v="0"/>
    <n v="350"/>
    <x v="1"/>
  </r>
  <r>
    <d v="2015-10-18T00:00:00"/>
    <s v="Versicherungsgesellschaft"/>
    <s v="Versicherungsprämie"/>
    <s v="Kfz-Versicherung"/>
    <n v="-120"/>
    <s v="EUR"/>
    <x v="3"/>
    <x v="9"/>
    <x v="0"/>
    <n v="120"/>
    <x v="1"/>
  </r>
  <r>
    <d v="2015-10-19T00:00:00"/>
    <s v="Supermarkt"/>
    <s v="Lebensmittel-Einkauf"/>
    <s v="Wochenendeinkauf"/>
    <n v="-50"/>
    <s v="EUR"/>
    <x v="4"/>
    <x v="9"/>
    <x v="0"/>
    <n v="50"/>
    <x v="1"/>
  </r>
  <r>
    <d v="2015-10-20T00:00:00"/>
    <s v="Arbeitgeber"/>
    <s v="Gutschrift"/>
    <s v="Lohn"/>
    <n v="1000"/>
    <s v="EUR"/>
    <x v="0"/>
    <x v="9"/>
    <x v="0"/>
    <n v="1000"/>
    <x v="0"/>
  </r>
  <r>
    <d v="2015-10-21T00:00:00"/>
    <s v="Spotify"/>
    <s v="Abonnement"/>
    <s v="Music-Streaming"/>
    <n v="-10"/>
    <s v="EUR"/>
    <x v="1"/>
    <x v="9"/>
    <x v="0"/>
    <n v="10"/>
    <x v="1"/>
  </r>
  <r>
    <d v="2015-10-22T00:00:00"/>
    <s v="Tankstelle"/>
    <s v="Kraftstoff"/>
    <s v="Auto-Tankfüllung"/>
    <n v="-60"/>
    <s v="EUR"/>
    <x v="2"/>
    <x v="9"/>
    <x v="0"/>
    <n v="60"/>
    <x v="1"/>
  </r>
  <r>
    <d v="2015-10-23T00:00:00"/>
    <s v="Versicherungsgesellschaft"/>
    <s v="Versicherungsprämie"/>
    <s v="Haftpflichtversicherung"/>
    <n v="-80"/>
    <s v="EUR"/>
    <x v="3"/>
    <x v="9"/>
    <x v="0"/>
    <n v="80"/>
    <x v="1"/>
  </r>
  <r>
    <d v="2015-10-24T00:00:00"/>
    <s v="Bäckerei"/>
    <s v="Lebensmittel-Einkauf"/>
    <s v="Brot und Gebäck"/>
    <n v="-20"/>
    <s v="EUR"/>
    <x v="4"/>
    <x v="9"/>
    <x v="0"/>
    <n v="20"/>
    <x v="1"/>
  </r>
  <r>
    <d v="2015-10-25T00:00:00"/>
    <s v="Arbeitgeber"/>
    <s v="Gutschrift"/>
    <s v="Lohn"/>
    <n v="1000"/>
    <s v="EUR"/>
    <x v="0"/>
    <x v="9"/>
    <x v="0"/>
    <n v="1000"/>
    <x v="0"/>
  </r>
  <r>
    <d v="2015-10-26T00:00:00"/>
    <s v="Netflix"/>
    <s v="Abonnement"/>
    <s v="Streaming-Dienst"/>
    <n v="-15"/>
    <s v="EUR"/>
    <x v="1"/>
    <x v="9"/>
    <x v="0"/>
    <n v="15"/>
    <x v="1"/>
  </r>
  <r>
    <d v="2015-10-27T00:00:00"/>
    <s v="Autohändler"/>
    <s v="KFZ-Zahlung"/>
    <s v="Auto-Rate"/>
    <n v="-350"/>
    <s v="EUR"/>
    <x v="2"/>
    <x v="9"/>
    <x v="0"/>
    <n v="350"/>
    <x v="1"/>
  </r>
  <r>
    <d v="2015-10-28T00:00:00"/>
    <s v="Versicherungsgesellschaft"/>
    <s v="Versicherungsprämie"/>
    <s v="Kfz-Versicherung"/>
    <n v="-120"/>
    <s v="EUR"/>
    <x v="3"/>
    <x v="9"/>
    <x v="0"/>
    <n v="120"/>
    <x v="1"/>
  </r>
  <r>
    <d v="2015-10-29T00:00:00"/>
    <s v="Supermarkt"/>
    <s v="Lebensmittel-Einkauf"/>
    <s v="Wochenendeinkauf"/>
    <n v="-60"/>
    <s v="EUR"/>
    <x v="4"/>
    <x v="9"/>
    <x v="0"/>
    <n v="60"/>
    <x v="1"/>
  </r>
  <r>
    <d v="2015-10-30T00:00:00"/>
    <s v="Arbeitgeber"/>
    <s v="Gutschrift"/>
    <s v="Lohn"/>
    <n v="1000"/>
    <s v="EUR"/>
    <x v="0"/>
    <x v="9"/>
    <x v="0"/>
    <n v="1000"/>
    <x v="0"/>
  </r>
  <r>
    <d v="2015-10-31T00:00:00"/>
    <s v="Spotify"/>
    <s v="Abonnement"/>
    <s v="Music-Streaming"/>
    <n v="-10"/>
    <s v="EUR"/>
    <x v="1"/>
    <x v="9"/>
    <x v="0"/>
    <n v="10"/>
    <x v="1"/>
  </r>
  <r>
    <d v="2015-11-01T00:00:00"/>
    <s v="Tankstelle"/>
    <s v="Kraftstoff"/>
    <s v="Auto-Tankfüllung"/>
    <n v="-70"/>
    <s v="EUR"/>
    <x v="2"/>
    <x v="10"/>
    <x v="0"/>
    <n v="70"/>
    <x v="1"/>
  </r>
  <r>
    <d v="2015-11-02T00:00:00"/>
    <s v="Versicherungsgesellschaft"/>
    <s v="Versicherungsprämie"/>
    <s v="Haftpflichtversicherung"/>
    <n v="-80"/>
    <s v="EUR"/>
    <x v="3"/>
    <x v="10"/>
    <x v="0"/>
    <n v="80"/>
    <x v="1"/>
  </r>
  <r>
    <d v="2015-11-03T00:00:00"/>
    <s v="Bäckerei"/>
    <s v="Lebensmittel-Einkauf"/>
    <s v="Brot und Gebäck"/>
    <n v="-25"/>
    <s v="EUR"/>
    <x v="4"/>
    <x v="10"/>
    <x v="0"/>
    <n v="25"/>
    <x v="1"/>
  </r>
  <r>
    <d v="2015-11-04T00:00:00"/>
    <s v="Arbeitgeber"/>
    <s v="Gutschrift"/>
    <s v="Lohn"/>
    <n v="1000"/>
    <s v="EUR"/>
    <x v="0"/>
    <x v="10"/>
    <x v="0"/>
    <n v="1000"/>
    <x v="0"/>
  </r>
  <r>
    <d v="2015-11-05T00:00:00"/>
    <s v="Netflix"/>
    <s v="Abonnement"/>
    <s v="Streaming-Dienst"/>
    <n v="-15"/>
    <s v="EUR"/>
    <x v="1"/>
    <x v="10"/>
    <x v="0"/>
    <n v="15"/>
    <x v="1"/>
  </r>
  <r>
    <d v="2015-11-06T00:00:00"/>
    <s v="Autohändler"/>
    <s v="KFZ-Zahlung"/>
    <s v="Auto-Rate"/>
    <n v="-350"/>
    <s v="EUR"/>
    <x v="2"/>
    <x v="10"/>
    <x v="0"/>
    <n v="350"/>
    <x v="1"/>
  </r>
  <r>
    <d v="2015-11-07T00:00:00"/>
    <s v="Versicherungsgesellschaft"/>
    <s v="Versicherungsprämie"/>
    <s v="Kfz-Versicherung"/>
    <n v="-120"/>
    <s v="EUR"/>
    <x v="3"/>
    <x v="10"/>
    <x v="0"/>
    <n v="120"/>
    <x v="1"/>
  </r>
  <r>
    <d v="2015-11-08T00:00:00"/>
    <s v="Supermarkt"/>
    <s v="Lebensmittel-Einkauf"/>
    <s v="Wochenendeinkauf"/>
    <n v="-70"/>
    <s v="EUR"/>
    <x v="4"/>
    <x v="10"/>
    <x v="0"/>
    <n v="70"/>
    <x v="1"/>
  </r>
  <r>
    <d v="2015-11-09T00:00:00"/>
    <s v="Arbeitgeber"/>
    <s v="Gutschrift"/>
    <s v="Lohn"/>
    <n v="1000"/>
    <s v="EUR"/>
    <x v="0"/>
    <x v="10"/>
    <x v="0"/>
    <n v="1000"/>
    <x v="0"/>
  </r>
  <r>
    <d v="2015-11-10T00:00:00"/>
    <s v="Spotify"/>
    <s v="Abonnement"/>
    <s v="Music-Streaming"/>
    <n v="-10"/>
    <s v="EUR"/>
    <x v="1"/>
    <x v="10"/>
    <x v="0"/>
    <n v="10"/>
    <x v="1"/>
  </r>
  <r>
    <d v="2015-11-11T00:00:00"/>
    <s v="Tankstelle"/>
    <s v="Kraftstoff"/>
    <s v="Auto-Tankfüllung"/>
    <n v="-60"/>
    <s v="EUR"/>
    <x v="2"/>
    <x v="10"/>
    <x v="0"/>
    <n v="60"/>
    <x v="1"/>
  </r>
  <r>
    <d v="2015-11-12T00:00:00"/>
    <s v="Versicherungsgesellschaft"/>
    <s v="Versicherungsprämie"/>
    <s v="Haftpflichtversicherung"/>
    <n v="-80"/>
    <s v="EUR"/>
    <x v="3"/>
    <x v="10"/>
    <x v="0"/>
    <n v="80"/>
    <x v="1"/>
  </r>
  <r>
    <d v="2015-11-13T00:00:00"/>
    <s v="Bäckerei"/>
    <s v="Lebensmittel-Einkauf"/>
    <s v="Brot und Gebäck"/>
    <n v="-30"/>
    <s v="EUR"/>
    <x v="4"/>
    <x v="10"/>
    <x v="0"/>
    <n v="30"/>
    <x v="1"/>
  </r>
  <r>
    <d v="2015-11-14T00:00:00"/>
    <s v="Arbeitgeber"/>
    <s v="Gutschrift"/>
    <s v="Lohn"/>
    <n v="1000"/>
    <s v="EUR"/>
    <x v="0"/>
    <x v="10"/>
    <x v="0"/>
    <n v="1000"/>
    <x v="0"/>
  </r>
  <r>
    <d v="2015-11-15T00:00:00"/>
    <s v="Netflix"/>
    <s v="Abonnement"/>
    <s v="Streaming-Dienst"/>
    <n v="-15"/>
    <s v="EUR"/>
    <x v="1"/>
    <x v="10"/>
    <x v="0"/>
    <n v="15"/>
    <x v="1"/>
  </r>
  <r>
    <d v="2015-11-16T00:00:00"/>
    <s v="Autohändler"/>
    <s v="KFZ-Zahlung"/>
    <s v="Auto-Rate"/>
    <n v="-350"/>
    <s v="EUR"/>
    <x v="2"/>
    <x v="10"/>
    <x v="0"/>
    <n v="350"/>
    <x v="1"/>
  </r>
  <r>
    <d v="2015-11-17T00:00:00"/>
    <s v="Versicherungsgesellschaft"/>
    <s v="Versicherungsprämie"/>
    <s v="Kfz-Versicherung"/>
    <n v="-120"/>
    <s v="EUR"/>
    <x v="3"/>
    <x v="10"/>
    <x v="0"/>
    <n v="120"/>
    <x v="1"/>
  </r>
  <r>
    <d v="2015-11-18T00:00:00"/>
    <s v="Supermarkt"/>
    <s v="Lebensmittel-Einkauf"/>
    <s v="Wochenendeinkauf"/>
    <n v="-80"/>
    <s v="EUR"/>
    <x v="4"/>
    <x v="10"/>
    <x v="0"/>
    <n v="80"/>
    <x v="1"/>
  </r>
  <r>
    <d v="2015-11-19T00:00:00"/>
    <s v="Arbeitgeber"/>
    <s v="Gutschrift"/>
    <s v="Lohn"/>
    <n v="1000"/>
    <s v="EUR"/>
    <x v="0"/>
    <x v="10"/>
    <x v="0"/>
    <n v="1000"/>
    <x v="0"/>
  </r>
  <r>
    <d v="2015-11-20T00:00:00"/>
    <s v="Spotify"/>
    <s v="Abonnement"/>
    <s v="Music-Streaming"/>
    <n v="-10"/>
    <s v="EUR"/>
    <x v="1"/>
    <x v="10"/>
    <x v="0"/>
    <n v="10"/>
    <x v="1"/>
  </r>
  <r>
    <d v="2015-11-21T00:00:00"/>
    <s v="Tankstelle"/>
    <s v="Kraftstoff"/>
    <s v="Auto-Tankfüllung"/>
    <n v="-65"/>
    <s v="EUR"/>
    <x v="2"/>
    <x v="10"/>
    <x v="0"/>
    <n v="65"/>
    <x v="1"/>
  </r>
  <r>
    <d v="2015-11-22T00:00:00"/>
    <s v="Versicherungsgesellschaft"/>
    <s v="Versicherungsprämie"/>
    <s v="Haftpflichtversicherung"/>
    <n v="-80"/>
    <s v="EUR"/>
    <x v="3"/>
    <x v="10"/>
    <x v="0"/>
    <n v="80"/>
    <x v="1"/>
  </r>
  <r>
    <d v="2015-11-23T00:00:00"/>
    <s v="Bäckerei"/>
    <s v="Lebensmittel-Einkauf"/>
    <s v="Brot und Gebäck"/>
    <n v="-35"/>
    <s v="EUR"/>
    <x v="4"/>
    <x v="10"/>
    <x v="0"/>
    <n v="35"/>
    <x v="1"/>
  </r>
  <r>
    <d v="2015-11-24T00:00:00"/>
    <s v="Arbeitgeber"/>
    <s v="Gutschrift"/>
    <s v="Lohn"/>
    <n v="1000"/>
    <s v="EUR"/>
    <x v="0"/>
    <x v="10"/>
    <x v="0"/>
    <n v="1000"/>
    <x v="0"/>
  </r>
  <r>
    <d v="2015-11-25T00:00:00"/>
    <s v="Arbeitgeber"/>
    <s v="Gutschrift"/>
    <s v="Lohn"/>
    <n v="1000"/>
    <s v="EUR"/>
    <x v="0"/>
    <x v="10"/>
    <x v="0"/>
    <n v="1000"/>
    <x v="0"/>
  </r>
  <r>
    <d v="2015-11-26T00:00:00"/>
    <s v="Netflix"/>
    <s v="Abonnement"/>
    <s v="Streaming-Dienst"/>
    <n v="-15"/>
    <s v="EUR"/>
    <x v="1"/>
    <x v="10"/>
    <x v="0"/>
    <n v="15"/>
    <x v="1"/>
  </r>
  <r>
    <d v="2015-11-27T00:00:00"/>
    <s v="Autohändler"/>
    <s v="KFZ-Zahlung"/>
    <s v="Auto-Rate"/>
    <n v="-350"/>
    <s v="EUR"/>
    <x v="2"/>
    <x v="10"/>
    <x v="0"/>
    <n v="350"/>
    <x v="1"/>
  </r>
  <r>
    <d v="2015-11-28T00:00:00"/>
    <s v="Versicherungsgesellschaft"/>
    <s v="Versicherungsprämie"/>
    <s v="Kfz-Versicherung"/>
    <n v="-120"/>
    <s v="EUR"/>
    <x v="3"/>
    <x v="10"/>
    <x v="0"/>
    <n v="120"/>
    <x v="1"/>
  </r>
  <r>
    <d v="2015-11-29T00:00:00"/>
    <s v="Supermarkt"/>
    <s v="Lebensmittel-Einkauf"/>
    <s v="Wochenendeinkauf"/>
    <n v="-50"/>
    <s v="EUR"/>
    <x v="4"/>
    <x v="10"/>
    <x v="0"/>
    <n v="50"/>
    <x v="1"/>
  </r>
  <r>
    <d v="2015-11-30T00:00:00"/>
    <s v="Arbeitgeber"/>
    <s v="Gutschrift"/>
    <s v="Lohn"/>
    <n v="1000"/>
    <s v="EUR"/>
    <x v="0"/>
    <x v="10"/>
    <x v="0"/>
    <n v="1000"/>
    <x v="0"/>
  </r>
  <r>
    <d v="2015-12-01T00:00:00"/>
    <s v="Spotify"/>
    <s v="Abonnement"/>
    <s v="Music-Streaming"/>
    <n v="-10"/>
    <s v="EUR"/>
    <x v="1"/>
    <x v="11"/>
    <x v="0"/>
    <n v="10"/>
    <x v="1"/>
  </r>
  <r>
    <d v="2015-12-02T00:00:00"/>
    <s v="Tankstelle"/>
    <s v="Kraftstoff"/>
    <s v="Auto-Tankfüllung"/>
    <n v="-60"/>
    <s v="EUR"/>
    <x v="2"/>
    <x v="11"/>
    <x v="0"/>
    <n v="60"/>
    <x v="1"/>
  </r>
  <r>
    <d v="2015-12-03T00:00:00"/>
    <s v="Versicherungsgesellschaft"/>
    <s v="Versicherungsprämie"/>
    <s v="Haftpflichtversicherung"/>
    <n v="-80"/>
    <s v="EUR"/>
    <x v="3"/>
    <x v="11"/>
    <x v="0"/>
    <n v="80"/>
    <x v="1"/>
  </r>
  <r>
    <d v="2015-12-04T00:00:00"/>
    <s v="Bäckerei"/>
    <s v="Lebensmittel-Einkauf"/>
    <s v="Brot und Gebäck"/>
    <n v="-20"/>
    <s v="EUR"/>
    <x v="4"/>
    <x v="11"/>
    <x v="0"/>
    <n v="20"/>
    <x v="1"/>
  </r>
  <r>
    <d v="2015-12-05T00:00:00"/>
    <s v="Arbeitgeber"/>
    <s v="Gutschrift"/>
    <s v="Lohn"/>
    <n v="1000"/>
    <s v="EUR"/>
    <x v="0"/>
    <x v="11"/>
    <x v="0"/>
    <n v="1000"/>
    <x v="0"/>
  </r>
  <r>
    <d v="2015-12-06T00:00:00"/>
    <s v="Netflix"/>
    <s v="Abonnement"/>
    <s v="Streaming-Dienst"/>
    <n v="-15"/>
    <s v="EUR"/>
    <x v="1"/>
    <x v="11"/>
    <x v="0"/>
    <n v="15"/>
    <x v="1"/>
  </r>
  <r>
    <d v="2015-12-07T00:00:00"/>
    <s v="Autohändler"/>
    <s v="KFZ-Zahlung"/>
    <s v="Auto-Rate"/>
    <n v="-350"/>
    <s v="EUR"/>
    <x v="2"/>
    <x v="11"/>
    <x v="0"/>
    <n v="350"/>
    <x v="1"/>
  </r>
  <r>
    <d v="2015-12-08T00:00:00"/>
    <s v="Versicherungsgesellschaft"/>
    <s v="Versicherungsprämie"/>
    <s v="Kfz-Versicherung"/>
    <n v="-120"/>
    <s v="EUR"/>
    <x v="3"/>
    <x v="11"/>
    <x v="0"/>
    <n v="120"/>
    <x v="1"/>
  </r>
  <r>
    <d v="2015-12-09T00:00:00"/>
    <s v="Supermarkt"/>
    <s v="Lebensmittel-Einkauf"/>
    <s v="Wochenendeinkauf"/>
    <n v="-60"/>
    <s v="EUR"/>
    <x v="4"/>
    <x v="11"/>
    <x v="0"/>
    <n v="60"/>
    <x v="1"/>
  </r>
  <r>
    <d v="2015-12-10T00:00:00"/>
    <s v="Arbeitgeber"/>
    <s v="Gutschrift"/>
    <s v="Lohn"/>
    <n v="1000"/>
    <s v="EUR"/>
    <x v="0"/>
    <x v="11"/>
    <x v="0"/>
    <n v="1000"/>
    <x v="0"/>
  </r>
  <r>
    <d v="2015-12-11T00:00:00"/>
    <s v="Spotify"/>
    <s v="Abonnement"/>
    <s v="Music-Streaming"/>
    <n v="-10"/>
    <s v="EUR"/>
    <x v="1"/>
    <x v="11"/>
    <x v="0"/>
    <n v="10"/>
    <x v="1"/>
  </r>
  <r>
    <d v="2015-12-12T00:00:00"/>
    <s v="Tankstelle"/>
    <s v="Kraftstoff"/>
    <s v="Auto-Tankfüllung"/>
    <n v="-70"/>
    <s v="EUR"/>
    <x v="2"/>
    <x v="11"/>
    <x v="0"/>
    <n v="70"/>
    <x v="1"/>
  </r>
  <r>
    <d v="2015-12-13T00:00:00"/>
    <s v="Versicherungsgesellschaft"/>
    <s v="Versicherungsprämie"/>
    <s v="Haftpflichtversicherung"/>
    <n v="-80"/>
    <s v="EUR"/>
    <x v="3"/>
    <x v="11"/>
    <x v="0"/>
    <n v="80"/>
    <x v="1"/>
  </r>
  <r>
    <d v="2015-12-14T00:00:00"/>
    <s v="Bäckerei"/>
    <s v="Lebensmittel-Einkauf"/>
    <s v="Brot und Gebäck"/>
    <n v="-25"/>
    <s v="EUR"/>
    <x v="4"/>
    <x v="11"/>
    <x v="0"/>
    <n v="25"/>
    <x v="1"/>
  </r>
  <r>
    <d v="2015-12-15T00:00:00"/>
    <s v="Arbeitgeber"/>
    <s v="Gutschrift"/>
    <s v="Lohn"/>
    <n v="1000"/>
    <s v="EUR"/>
    <x v="0"/>
    <x v="11"/>
    <x v="0"/>
    <n v="1000"/>
    <x v="0"/>
  </r>
  <r>
    <d v="2015-12-16T00:00:00"/>
    <s v="Netflix"/>
    <s v="Abonnement"/>
    <s v="Streaming-Dienst"/>
    <n v="-15"/>
    <s v="EUR"/>
    <x v="1"/>
    <x v="11"/>
    <x v="0"/>
    <n v="15"/>
    <x v="1"/>
  </r>
  <r>
    <d v="2015-12-17T00:00:00"/>
    <s v="Autohändler"/>
    <s v="KFZ-Zahlung"/>
    <s v="Auto-Rate"/>
    <n v="-350"/>
    <s v="EUR"/>
    <x v="2"/>
    <x v="11"/>
    <x v="0"/>
    <n v="350"/>
    <x v="1"/>
  </r>
  <r>
    <d v="2015-12-18T00:00:00"/>
    <s v="Versicherungsgesellschaft"/>
    <s v="Versicherungsprämie"/>
    <s v="Kfz-Versicherung"/>
    <n v="-120"/>
    <s v="EUR"/>
    <x v="3"/>
    <x v="11"/>
    <x v="0"/>
    <n v="120"/>
    <x v="1"/>
  </r>
  <r>
    <d v="2015-12-19T00:00:00"/>
    <s v="Supermarkt"/>
    <s v="Lebensmittel-Einkauf"/>
    <s v="Wochenendeinkauf"/>
    <n v="-70"/>
    <s v="EUR"/>
    <x v="4"/>
    <x v="11"/>
    <x v="0"/>
    <n v="70"/>
    <x v="1"/>
  </r>
  <r>
    <d v="2015-12-20T00:00:00"/>
    <s v="Arbeitgeber"/>
    <s v="Gutschrift"/>
    <s v="Lohn"/>
    <n v="1000"/>
    <s v="EUR"/>
    <x v="0"/>
    <x v="11"/>
    <x v="0"/>
    <n v="1000"/>
    <x v="0"/>
  </r>
  <r>
    <d v="2015-12-21T00:00:00"/>
    <s v="Spotify"/>
    <s v="Abonnement"/>
    <s v="Music-Streaming"/>
    <n v="-10"/>
    <s v="EUR"/>
    <x v="1"/>
    <x v="11"/>
    <x v="0"/>
    <n v="10"/>
    <x v="1"/>
  </r>
  <r>
    <d v="2015-12-22T00:00:00"/>
    <s v="Tankstelle"/>
    <s v="Kraftstoff"/>
    <s v="Auto-Tankfüllung"/>
    <n v="-60"/>
    <s v="EUR"/>
    <x v="2"/>
    <x v="11"/>
    <x v="0"/>
    <n v="60"/>
    <x v="1"/>
  </r>
  <r>
    <d v="2015-12-23T00:00:00"/>
    <s v="Versicherungsgesellschaft"/>
    <s v="Versicherungsprämie"/>
    <s v="Haftpflichtversicherung"/>
    <n v="-80"/>
    <s v="EUR"/>
    <x v="3"/>
    <x v="11"/>
    <x v="0"/>
    <n v="80"/>
    <x v="1"/>
  </r>
  <r>
    <d v="2015-12-24T00:00:00"/>
    <s v="Bäckerei"/>
    <s v="Lebensmittel-Einkauf"/>
    <s v="Brot und Gebäck"/>
    <n v="-30"/>
    <s v="EUR"/>
    <x v="4"/>
    <x v="11"/>
    <x v="0"/>
    <n v="30"/>
    <x v="1"/>
  </r>
  <r>
    <d v="2015-12-25T00:00:00"/>
    <s v="Arbeitgeber"/>
    <s v="Gutschrift"/>
    <s v="Lohn"/>
    <n v="1000"/>
    <s v="EUR"/>
    <x v="0"/>
    <x v="11"/>
    <x v="0"/>
    <n v="1000"/>
    <x v="0"/>
  </r>
  <r>
    <d v="2015-12-26T00:00:00"/>
    <s v="Netflix"/>
    <s v="Abonnement"/>
    <s v="Streaming-Dienst"/>
    <n v="-15"/>
    <s v="EUR"/>
    <x v="1"/>
    <x v="11"/>
    <x v="0"/>
    <n v="15"/>
    <x v="1"/>
  </r>
  <r>
    <d v="2015-12-27T00:00:00"/>
    <s v="Autohändler"/>
    <s v="KFZ-Zahlung"/>
    <s v="Auto-Rate"/>
    <n v="-350"/>
    <s v="EUR"/>
    <x v="2"/>
    <x v="11"/>
    <x v="0"/>
    <n v="350"/>
    <x v="1"/>
  </r>
  <r>
    <d v="2015-12-28T00:00:00"/>
    <s v="Versicherungsgesellschaft"/>
    <s v="Versicherungsprämie"/>
    <s v="Kfz-Versicherung"/>
    <n v="-120"/>
    <s v="EUR"/>
    <x v="3"/>
    <x v="11"/>
    <x v="0"/>
    <n v="120"/>
    <x v="1"/>
  </r>
  <r>
    <d v="2015-12-29T00:00:00"/>
    <s v="Supermarkt"/>
    <s v="Lebensmittel-Einkauf"/>
    <s v="Wochenendeinkauf"/>
    <n v="-80"/>
    <s v="EUR"/>
    <x v="4"/>
    <x v="11"/>
    <x v="0"/>
    <n v="80"/>
    <x v="1"/>
  </r>
  <r>
    <d v="2015-12-30T00:00:00"/>
    <s v="Arbeitgeber"/>
    <s v="Gutschrift"/>
    <s v="Lohn"/>
    <n v="1000"/>
    <s v="EUR"/>
    <x v="0"/>
    <x v="11"/>
    <x v="0"/>
    <n v="1000"/>
    <x v="0"/>
  </r>
  <r>
    <d v="2015-12-31T00:00:00"/>
    <s v="Spotify"/>
    <s v="Abonnement"/>
    <s v="Music-Streaming"/>
    <n v="-10"/>
    <s v="EUR"/>
    <x v="1"/>
    <x v="11"/>
    <x v="0"/>
    <n v="10"/>
    <x v="1"/>
  </r>
  <r>
    <d v="2016-01-01T00:00:00"/>
    <s v="Tankstelle"/>
    <s v="Kraftstoff"/>
    <s v="Auto-Tankfüllung"/>
    <n v="-65"/>
    <s v="EUR"/>
    <x v="2"/>
    <x v="0"/>
    <x v="1"/>
    <n v="65"/>
    <x v="1"/>
  </r>
  <r>
    <d v="2016-01-02T00:00:00"/>
    <s v="Versicherungsgesellschaft"/>
    <s v="Versicherungsprämie"/>
    <s v="Haftpflichtversicherung"/>
    <n v="-80"/>
    <s v="EUR"/>
    <x v="3"/>
    <x v="0"/>
    <x v="1"/>
    <n v="80"/>
    <x v="1"/>
  </r>
  <r>
    <d v="2016-01-03T00:00:00"/>
    <s v="Bäckerei"/>
    <s v="Lebensmittel-Einkauf"/>
    <s v="Brot und Gebäck"/>
    <n v="-35"/>
    <s v="EUR"/>
    <x v="4"/>
    <x v="0"/>
    <x v="1"/>
    <n v="35"/>
    <x v="1"/>
  </r>
  <r>
    <d v="2016-01-04T00:00:00"/>
    <s v="Arbeitgeber"/>
    <s v="Gutschrift"/>
    <s v="Lohn"/>
    <n v="1000"/>
    <s v="EUR"/>
    <x v="0"/>
    <x v="0"/>
    <x v="1"/>
    <n v="1000"/>
    <x v="0"/>
  </r>
  <r>
    <d v="2016-01-05T00:00:00"/>
    <s v="Arbeitgeber"/>
    <s v="Gutschrift"/>
    <s v="Lohn"/>
    <n v="1000"/>
    <s v="EUR"/>
    <x v="0"/>
    <x v="0"/>
    <x v="1"/>
    <n v="1000"/>
    <x v="0"/>
  </r>
  <r>
    <d v="2016-01-06T00:00:00"/>
    <s v="Netflix"/>
    <s v="Abonnement"/>
    <s v="Streaming-Dienst"/>
    <n v="-15"/>
    <s v="EUR"/>
    <x v="1"/>
    <x v="0"/>
    <x v="1"/>
    <n v="15"/>
    <x v="1"/>
  </r>
  <r>
    <d v="2016-01-07T00:00:00"/>
    <s v="Autohändler"/>
    <s v="KFZ-Zahlung"/>
    <s v="Auto-Rate"/>
    <n v="-350"/>
    <s v="EUR"/>
    <x v="2"/>
    <x v="0"/>
    <x v="1"/>
    <n v="350"/>
    <x v="1"/>
  </r>
  <r>
    <d v="2016-01-08T00:00:00"/>
    <s v="Versicherungsgesellschaft"/>
    <s v="Versicherungsprämie"/>
    <s v="Kfz-Versicherung"/>
    <n v="-120"/>
    <s v="EUR"/>
    <x v="3"/>
    <x v="0"/>
    <x v="1"/>
    <n v="120"/>
    <x v="1"/>
  </r>
  <r>
    <d v="2016-01-09T00:00:00"/>
    <s v="Supermarkt"/>
    <s v="Lebensmittel-Einkauf"/>
    <s v="Wochenendeinkauf"/>
    <n v="-50"/>
    <s v="EUR"/>
    <x v="4"/>
    <x v="0"/>
    <x v="1"/>
    <n v="50"/>
    <x v="1"/>
  </r>
  <r>
    <d v="2016-01-10T00:00:00"/>
    <s v="Arbeitgeber"/>
    <s v="Gutschrift"/>
    <s v="Lohn"/>
    <n v="1000"/>
    <s v="EUR"/>
    <x v="0"/>
    <x v="0"/>
    <x v="1"/>
    <n v="1000"/>
    <x v="0"/>
  </r>
  <r>
    <d v="2016-01-11T00:00:00"/>
    <s v="Spotify"/>
    <s v="Abonnement"/>
    <s v="Music-Streaming"/>
    <n v="-10"/>
    <s v="EUR"/>
    <x v="1"/>
    <x v="0"/>
    <x v="1"/>
    <n v="10"/>
    <x v="1"/>
  </r>
  <r>
    <d v="2016-01-12T00:00:00"/>
    <s v="Tankstelle"/>
    <s v="Kraftstoff"/>
    <s v="Auto-Tankfüllung"/>
    <n v="-60"/>
    <s v="EUR"/>
    <x v="2"/>
    <x v="0"/>
    <x v="1"/>
    <n v="60"/>
    <x v="1"/>
  </r>
  <r>
    <d v="2016-01-13T00:00:00"/>
    <s v="Versicherungsgesellschaft"/>
    <s v="Versicherungsprämie"/>
    <s v="Haftpflichtversicherung"/>
    <n v="-80"/>
    <s v="EUR"/>
    <x v="3"/>
    <x v="0"/>
    <x v="1"/>
    <n v="80"/>
    <x v="1"/>
  </r>
  <r>
    <d v="2016-01-14T00:00:00"/>
    <s v="Bäckerei"/>
    <s v="Lebensmittel-Einkauf"/>
    <s v="Brot und Gebäck"/>
    <n v="-20"/>
    <s v="EUR"/>
    <x v="4"/>
    <x v="0"/>
    <x v="1"/>
    <n v="20"/>
    <x v="1"/>
  </r>
  <r>
    <d v="2016-01-15T00:00:00"/>
    <s v="Arbeitgeber"/>
    <s v="Gutschrift"/>
    <s v="Lohn"/>
    <n v="1000"/>
    <s v="EUR"/>
    <x v="0"/>
    <x v="0"/>
    <x v="1"/>
    <n v="1000"/>
    <x v="0"/>
  </r>
  <r>
    <d v="2016-01-16T00:00:00"/>
    <s v="Netflix"/>
    <s v="Abonnement"/>
    <s v="Streaming-Dienst"/>
    <n v="-15"/>
    <s v="EUR"/>
    <x v="1"/>
    <x v="0"/>
    <x v="1"/>
    <n v="15"/>
    <x v="1"/>
  </r>
  <r>
    <d v="2016-01-17T00:00:00"/>
    <s v="Autohändler"/>
    <s v="KFZ-Zahlung"/>
    <s v="Auto-Rate"/>
    <n v="-350"/>
    <s v="EUR"/>
    <x v="2"/>
    <x v="0"/>
    <x v="1"/>
    <n v="350"/>
    <x v="1"/>
  </r>
  <r>
    <d v="2016-01-18T00:00:00"/>
    <s v="Versicherungsgesellschaft"/>
    <s v="Versicherungsprämie"/>
    <s v="Kfz-Versicherung"/>
    <n v="-120"/>
    <s v="EUR"/>
    <x v="3"/>
    <x v="0"/>
    <x v="1"/>
    <n v="120"/>
    <x v="1"/>
  </r>
  <r>
    <d v="2016-01-19T00:00:00"/>
    <s v="Supermarkt"/>
    <s v="Lebensmittel-Einkauf"/>
    <s v="Wochenendeinkauf"/>
    <n v="-60"/>
    <s v="EUR"/>
    <x v="4"/>
    <x v="0"/>
    <x v="1"/>
    <n v="60"/>
    <x v="1"/>
  </r>
  <r>
    <d v="2016-01-20T00:00:00"/>
    <s v="Arbeitgeber"/>
    <s v="Gutschrift"/>
    <s v="Lohn"/>
    <n v="1000"/>
    <s v="EUR"/>
    <x v="0"/>
    <x v="0"/>
    <x v="1"/>
    <n v="1000"/>
    <x v="0"/>
  </r>
  <r>
    <d v="2016-01-21T00:00:00"/>
    <s v="Spotify"/>
    <s v="Abonnement"/>
    <s v="Music-Streaming"/>
    <n v="-10"/>
    <s v="EUR"/>
    <x v="1"/>
    <x v="0"/>
    <x v="1"/>
    <n v="10"/>
    <x v="1"/>
  </r>
  <r>
    <d v="2016-01-22T00:00:00"/>
    <s v="Tankstelle"/>
    <s v="Kraftstoff"/>
    <s v="Auto-Tankfüllung"/>
    <n v="-70"/>
    <s v="EUR"/>
    <x v="2"/>
    <x v="0"/>
    <x v="1"/>
    <n v="70"/>
    <x v="1"/>
  </r>
  <r>
    <d v="2016-01-23T00:00:00"/>
    <s v="Versicherungsgesellschaft"/>
    <s v="Versicherungsprämie"/>
    <s v="Haftpflichtversicherung"/>
    <n v="-80"/>
    <s v="EUR"/>
    <x v="3"/>
    <x v="0"/>
    <x v="1"/>
    <n v="80"/>
    <x v="1"/>
  </r>
  <r>
    <d v="2016-01-24T00:00:00"/>
    <s v="Bäckerei"/>
    <s v="Lebensmittel-Einkauf"/>
    <s v="Brot und Gebäck"/>
    <n v="-25"/>
    <s v="EUR"/>
    <x v="4"/>
    <x v="0"/>
    <x v="1"/>
    <n v="25"/>
    <x v="1"/>
  </r>
  <r>
    <d v="2016-01-25T00:00:00"/>
    <s v="Arbeitgeber"/>
    <s v="Gutschrift"/>
    <s v="Lohn"/>
    <n v="1000"/>
    <s v="EUR"/>
    <x v="0"/>
    <x v="0"/>
    <x v="1"/>
    <n v="1000"/>
    <x v="0"/>
  </r>
  <r>
    <d v="2016-01-26T00:00:00"/>
    <s v="Netflix"/>
    <s v="Abonnement"/>
    <s v="Streaming-Dienst"/>
    <n v="-15"/>
    <s v="EUR"/>
    <x v="1"/>
    <x v="0"/>
    <x v="1"/>
    <n v="15"/>
    <x v="1"/>
  </r>
  <r>
    <d v="2016-01-27T00:00:00"/>
    <s v="Autohändler"/>
    <s v="KFZ-Zahlung"/>
    <s v="Auto-Rate"/>
    <n v="-350"/>
    <s v="EUR"/>
    <x v="2"/>
    <x v="0"/>
    <x v="1"/>
    <n v="350"/>
    <x v="1"/>
  </r>
  <r>
    <d v="2016-01-28T00:00:00"/>
    <s v="Versicherungsgesellschaft"/>
    <s v="Versicherungsprämie"/>
    <s v="Kfz-Versicherung"/>
    <n v="-120"/>
    <s v="EUR"/>
    <x v="3"/>
    <x v="0"/>
    <x v="1"/>
    <n v="120"/>
    <x v="1"/>
  </r>
  <r>
    <d v="2016-01-29T00:00:00"/>
    <s v="Supermarkt"/>
    <s v="Lebensmittel-Einkauf"/>
    <s v="Wochenendeinkauf"/>
    <n v="-70"/>
    <s v="EUR"/>
    <x v="4"/>
    <x v="0"/>
    <x v="1"/>
    <n v="70"/>
    <x v="1"/>
  </r>
  <r>
    <d v="2016-01-30T00:00:00"/>
    <s v="Arbeitgeber"/>
    <s v="Gutschrift"/>
    <s v="Lohn"/>
    <n v="1000"/>
    <s v="EUR"/>
    <x v="0"/>
    <x v="0"/>
    <x v="1"/>
    <n v="1000"/>
    <x v="0"/>
  </r>
  <r>
    <d v="2016-01-31T00:00:00"/>
    <s v="Spotify"/>
    <s v="Abonnement"/>
    <s v="Music-Streaming"/>
    <n v="-10"/>
    <s v="EUR"/>
    <x v="1"/>
    <x v="0"/>
    <x v="1"/>
    <n v="10"/>
    <x v="1"/>
  </r>
  <r>
    <d v="2016-02-01T00:00:00"/>
    <s v="Tankstelle"/>
    <s v="Kraftstoff"/>
    <s v="Auto-Tankfüllung"/>
    <n v="-60"/>
    <s v="EUR"/>
    <x v="2"/>
    <x v="1"/>
    <x v="1"/>
    <n v="60"/>
    <x v="1"/>
  </r>
  <r>
    <d v="2016-02-02T00:00:00"/>
    <s v="Versicherungsgesellschaft"/>
    <s v="Versicherungsprämie"/>
    <s v="Haftpflichtversicherung"/>
    <n v="-80"/>
    <s v="EUR"/>
    <x v="3"/>
    <x v="1"/>
    <x v="1"/>
    <n v="80"/>
    <x v="1"/>
  </r>
  <r>
    <d v="2016-02-03T00:00:00"/>
    <s v="Bäckerei"/>
    <s v="Lebensmittel-Einkauf"/>
    <s v="Brot und Gebäck"/>
    <n v="-30"/>
    <s v="EUR"/>
    <x v="4"/>
    <x v="1"/>
    <x v="1"/>
    <n v="30"/>
    <x v="1"/>
  </r>
  <r>
    <d v="2016-02-04T00:00:00"/>
    <s v="Arbeitgeber"/>
    <s v="Gutschrift"/>
    <s v="Lohn"/>
    <n v="1000"/>
    <s v="EUR"/>
    <x v="0"/>
    <x v="1"/>
    <x v="1"/>
    <n v="1000"/>
    <x v="0"/>
  </r>
  <r>
    <d v="2016-02-05T00:00:00"/>
    <s v="Netflix"/>
    <s v="Abonnement"/>
    <s v="Streaming-Dienst"/>
    <n v="-15"/>
    <s v="EUR"/>
    <x v="1"/>
    <x v="1"/>
    <x v="1"/>
    <n v="15"/>
    <x v="1"/>
  </r>
  <r>
    <d v="2016-02-06T00:00:00"/>
    <s v="Autohändler"/>
    <s v="KFZ-Zahlung"/>
    <s v="Auto-Rate"/>
    <n v="-350"/>
    <s v="EUR"/>
    <x v="2"/>
    <x v="1"/>
    <x v="1"/>
    <n v="350"/>
    <x v="1"/>
  </r>
  <r>
    <d v="2016-02-07T00:00:00"/>
    <s v="Versicherungsgesellschaft"/>
    <s v="Versicherungsprämie"/>
    <s v="Kfz-Versicherung"/>
    <n v="-120"/>
    <s v="EUR"/>
    <x v="3"/>
    <x v="1"/>
    <x v="1"/>
    <n v="120"/>
    <x v="1"/>
  </r>
  <r>
    <d v="2016-02-08T00:00:00"/>
    <s v="Supermarkt"/>
    <s v="Lebensmittel-Einkauf"/>
    <s v="Wochenendeinkauf"/>
    <n v="-80"/>
    <s v="EUR"/>
    <x v="4"/>
    <x v="1"/>
    <x v="1"/>
    <n v="80"/>
    <x v="1"/>
  </r>
  <r>
    <d v="2016-02-09T00:00:00"/>
    <s v="Arbeitgeber"/>
    <s v="Gutschrift"/>
    <s v="Lohn"/>
    <n v="1000"/>
    <s v="EUR"/>
    <x v="0"/>
    <x v="1"/>
    <x v="1"/>
    <n v="1000"/>
    <x v="0"/>
  </r>
  <r>
    <d v="2016-02-10T00:00:00"/>
    <s v="Spotify"/>
    <s v="Abonnement"/>
    <s v="Music-Streaming"/>
    <n v="-10"/>
    <s v="EUR"/>
    <x v="1"/>
    <x v="1"/>
    <x v="1"/>
    <n v="10"/>
    <x v="1"/>
  </r>
  <r>
    <d v="2016-02-11T00:00:00"/>
    <s v="Tankstelle"/>
    <s v="Kraftstoff"/>
    <s v="Auto-Tankfüllung"/>
    <n v="-65"/>
    <s v="EUR"/>
    <x v="2"/>
    <x v="1"/>
    <x v="1"/>
    <n v="65"/>
    <x v="1"/>
  </r>
  <r>
    <d v="2016-02-12T00:00:00"/>
    <s v="Versicherungsgesellschaft"/>
    <s v="Versicherungsprämie"/>
    <s v="Haftpflichtversicherung"/>
    <n v="-80"/>
    <s v="EUR"/>
    <x v="3"/>
    <x v="1"/>
    <x v="1"/>
    <n v="80"/>
    <x v="1"/>
  </r>
  <r>
    <d v="2016-02-13T00:00:00"/>
    <s v="Bäckerei"/>
    <s v="Lebensmittel-Einkauf"/>
    <s v="Brot und Gebäck"/>
    <n v="-35"/>
    <s v="EUR"/>
    <x v="4"/>
    <x v="1"/>
    <x v="1"/>
    <n v="35"/>
    <x v="1"/>
  </r>
  <r>
    <d v="2016-02-14T00:00:00"/>
    <s v="Arbeitgeber"/>
    <s v="Gutschrift"/>
    <s v="Lohn"/>
    <n v="1000"/>
    <s v="EUR"/>
    <x v="0"/>
    <x v="1"/>
    <x v="1"/>
    <n v="1000"/>
    <x v="0"/>
  </r>
  <r>
    <d v="2016-02-15T00:00:00"/>
    <s v="Arbeitgeber"/>
    <s v="Gutschrift"/>
    <s v="Lohn"/>
    <n v="1000"/>
    <s v="EUR"/>
    <x v="0"/>
    <x v="1"/>
    <x v="1"/>
    <n v="1000"/>
    <x v="0"/>
  </r>
  <r>
    <d v="2016-02-16T00:00:00"/>
    <s v="Netflix"/>
    <s v="Abonnement"/>
    <s v="Streaming-Dienst"/>
    <n v="-15"/>
    <s v="EUR"/>
    <x v="1"/>
    <x v="1"/>
    <x v="1"/>
    <n v="15"/>
    <x v="1"/>
  </r>
  <r>
    <d v="2016-02-17T00:00:00"/>
    <s v="Autohändler"/>
    <s v="KFZ-Zahlung"/>
    <s v="Auto-Rate"/>
    <n v="-350"/>
    <s v="EUR"/>
    <x v="2"/>
    <x v="1"/>
    <x v="1"/>
    <n v="350"/>
    <x v="1"/>
  </r>
  <r>
    <d v="2016-02-18T00:00:00"/>
    <s v="Versicherungsgesellschaft"/>
    <s v="Versicherungsprämie"/>
    <s v="Kfz-Versicherung"/>
    <n v="-120"/>
    <s v="EUR"/>
    <x v="3"/>
    <x v="1"/>
    <x v="1"/>
    <n v="120"/>
    <x v="1"/>
  </r>
  <r>
    <d v="2016-02-19T00:00:00"/>
    <s v="Supermarkt"/>
    <s v="Lebensmittel-Einkauf"/>
    <s v="Wochenendeinkauf"/>
    <n v="-50"/>
    <s v="EUR"/>
    <x v="4"/>
    <x v="1"/>
    <x v="1"/>
    <n v="50"/>
    <x v="1"/>
  </r>
  <r>
    <d v="2016-02-20T00:00:00"/>
    <s v="Arbeitgeber"/>
    <s v="Gutschrift"/>
    <s v="Lohn"/>
    <n v="1000"/>
    <s v="EUR"/>
    <x v="0"/>
    <x v="1"/>
    <x v="1"/>
    <n v="1000"/>
    <x v="0"/>
  </r>
  <r>
    <d v="2016-02-21T00:00:00"/>
    <s v="Spotify"/>
    <s v="Abonnement"/>
    <s v="Music-Streaming"/>
    <n v="-10"/>
    <s v="EUR"/>
    <x v="1"/>
    <x v="1"/>
    <x v="1"/>
    <n v="10"/>
    <x v="1"/>
  </r>
  <r>
    <d v="2016-02-22T00:00:00"/>
    <s v="Tankstelle"/>
    <s v="Kraftstoff"/>
    <s v="Auto-Tankfüllung"/>
    <n v="-60"/>
    <s v="EUR"/>
    <x v="2"/>
    <x v="1"/>
    <x v="1"/>
    <n v="60"/>
    <x v="1"/>
  </r>
  <r>
    <d v="2016-02-23T00:00:00"/>
    <s v="Versicherungsgesellschaft"/>
    <s v="Versicherungsprämie"/>
    <s v="Haftpflichtversicherung"/>
    <n v="-80"/>
    <s v="EUR"/>
    <x v="3"/>
    <x v="1"/>
    <x v="1"/>
    <n v="80"/>
    <x v="1"/>
  </r>
  <r>
    <d v="2016-02-24T00:00:00"/>
    <s v="Bäckerei"/>
    <s v="Lebensmittel-Einkauf"/>
    <s v="Brot und Gebäck"/>
    <n v="-20"/>
    <s v="EUR"/>
    <x v="4"/>
    <x v="1"/>
    <x v="1"/>
    <n v="20"/>
    <x v="1"/>
  </r>
  <r>
    <d v="2016-02-25T00:00:00"/>
    <s v="Arbeitgeber"/>
    <s v="Gutschrift"/>
    <s v="Lohn"/>
    <n v="1000"/>
    <s v="EUR"/>
    <x v="0"/>
    <x v="1"/>
    <x v="1"/>
    <n v="1000"/>
    <x v="0"/>
  </r>
  <r>
    <d v="2016-02-26T00:00:00"/>
    <s v="Netflix"/>
    <s v="Abonnement"/>
    <s v="Streaming-Dienst"/>
    <n v="-15"/>
    <s v="EUR"/>
    <x v="1"/>
    <x v="1"/>
    <x v="1"/>
    <n v="15"/>
    <x v="1"/>
  </r>
  <r>
    <d v="2016-02-27T00:00:00"/>
    <s v="Autohändler"/>
    <s v="KFZ-Zahlung"/>
    <s v="Auto-Rate"/>
    <n v="-350"/>
    <s v="EUR"/>
    <x v="2"/>
    <x v="1"/>
    <x v="1"/>
    <n v="350"/>
    <x v="1"/>
  </r>
  <r>
    <d v="2016-02-28T00:00:00"/>
    <s v="Versicherungsgesellschaft"/>
    <s v="Versicherungsprämie"/>
    <s v="Kfz-Versicherung"/>
    <n v="-120"/>
    <s v="EUR"/>
    <x v="3"/>
    <x v="1"/>
    <x v="1"/>
    <n v="120"/>
    <x v="1"/>
  </r>
  <r>
    <d v="2016-02-29T00:00:00"/>
    <s v="Supermarkt"/>
    <s v="Lebensmittel-Einkauf"/>
    <s v="Wochenendeinkauf"/>
    <n v="-60"/>
    <s v="EUR"/>
    <x v="4"/>
    <x v="1"/>
    <x v="1"/>
    <n v="60"/>
    <x v="1"/>
  </r>
  <r>
    <d v="2016-03-01T00:00:00"/>
    <s v="Arbeitgeber"/>
    <s v="Gutschrift"/>
    <s v="Lohn"/>
    <n v="1000"/>
    <s v="EUR"/>
    <x v="0"/>
    <x v="2"/>
    <x v="1"/>
    <n v="1000"/>
    <x v="0"/>
  </r>
  <r>
    <d v="2016-03-02T00:00:00"/>
    <s v="Spotify"/>
    <s v="Abonnement"/>
    <s v="Music-Streaming"/>
    <n v="-10"/>
    <s v="EUR"/>
    <x v="1"/>
    <x v="2"/>
    <x v="1"/>
    <n v="10"/>
    <x v="1"/>
  </r>
  <r>
    <d v="2016-03-03T00:00:00"/>
    <s v="Tankstelle"/>
    <s v="Kraftstoff"/>
    <s v="Auto-Tankfüllung"/>
    <n v="-70"/>
    <s v="EUR"/>
    <x v="2"/>
    <x v="2"/>
    <x v="1"/>
    <n v="70"/>
    <x v="1"/>
  </r>
  <r>
    <d v="2016-03-04T00:00:00"/>
    <s v="Versicherungsgesellschaft"/>
    <s v="Versicherungsprämie"/>
    <s v="Haftpflichtversicherung"/>
    <n v="-80"/>
    <s v="EUR"/>
    <x v="3"/>
    <x v="2"/>
    <x v="1"/>
    <n v="80"/>
    <x v="1"/>
  </r>
  <r>
    <d v="2016-03-05T00:00:00"/>
    <s v="Bäckerei"/>
    <s v="Lebensmittel-Einkauf"/>
    <s v="Brot und Gebäck"/>
    <n v="-25"/>
    <s v="EUR"/>
    <x v="4"/>
    <x v="2"/>
    <x v="1"/>
    <n v="25"/>
    <x v="1"/>
  </r>
  <r>
    <d v="2016-03-06T00:00:00"/>
    <s v="Arbeitgeber"/>
    <s v="Gutschrift"/>
    <s v="Lohn"/>
    <n v="1000"/>
    <s v="EUR"/>
    <x v="0"/>
    <x v="2"/>
    <x v="1"/>
    <n v="1000"/>
    <x v="0"/>
  </r>
  <r>
    <d v="2016-03-07T00:00:00"/>
    <s v="Netflix"/>
    <s v="Abonnement"/>
    <s v="Streaming-Dienst"/>
    <n v="-15"/>
    <s v="EUR"/>
    <x v="1"/>
    <x v="2"/>
    <x v="1"/>
    <n v="15"/>
    <x v="1"/>
  </r>
  <r>
    <d v="2016-03-08T00:00:00"/>
    <s v="Autohändler"/>
    <s v="KFZ-Zahlung"/>
    <s v="Auto-Rate"/>
    <n v="-350"/>
    <s v="EUR"/>
    <x v="2"/>
    <x v="2"/>
    <x v="1"/>
    <n v="350"/>
    <x v="1"/>
  </r>
  <r>
    <d v="2016-03-09T00:00:00"/>
    <s v="Versicherungsgesellschaft"/>
    <s v="Versicherungsprämie"/>
    <s v="Kfz-Versicherung"/>
    <n v="-120"/>
    <s v="EUR"/>
    <x v="3"/>
    <x v="2"/>
    <x v="1"/>
    <n v="120"/>
    <x v="1"/>
  </r>
  <r>
    <d v="2016-03-10T00:00:00"/>
    <s v="Supermarkt"/>
    <s v="Lebensmittel-Einkauf"/>
    <s v="Wochenendeinkauf"/>
    <n v="-70"/>
    <s v="EUR"/>
    <x v="4"/>
    <x v="2"/>
    <x v="1"/>
    <n v="70"/>
    <x v="1"/>
  </r>
  <r>
    <d v="2016-03-11T00:00:00"/>
    <s v="Arbeitgeber"/>
    <s v="Gutschrift"/>
    <s v="Lohn"/>
    <n v="1000"/>
    <s v="EUR"/>
    <x v="0"/>
    <x v="2"/>
    <x v="1"/>
    <n v="1000"/>
    <x v="0"/>
  </r>
  <r>
    <d v="2016-03-12T00:00:00"/>
    <s v="Spotify"/>
    <s v="Abonnement"/>
    <s v="Music-Streaming"/>
    <n v="-10"/>
    <s v="EUR"/>
    <x v="1"/>
    <x v="2"/>
    <x v="1"/>
    <n v="10"/>
    <x v="1"/>
  </r>
  <r>
    <d v="2016-03-13T00:00:00"/>
    <s v="Tankstelle"/>
    <s v="Kraftstoff"/>
    <s v="Auto-Tankfüllung"/>
    <n v="-60"/>
    <s v="EUR"/>
    <x v="2"/>
    <x v="2"/>
    <x v="1"/>
    <n v="60"/>
    <x v="1"/>
  </r>
  <r>
    <d v="2016-03-14T00:00:00"/>
    <s v="Versicherungsgesellschaft"/>
    <s v="Versicherungsprämie"/>
    <s v="Haftpflichtversicherung"/>
    <n v="-80"/>
    <s v="EUR"/>
    <x v="3"/>
    <x v="2"/>
    <x v="1"/>
    <n v="80"/>
    <x v="1"/>
  </r>
  <r>
    <d v="2016-03-15T00:00:00"/>
    <s v="Bäckerei"/>
    <s v="Lebensmittel-Einkauf"/>
    <s v="Brot und Gebäck"/>
    <n v="-30"/>
    <s v="EUR"/>
    <x v="4"/>
    <x v="2"/>
    <x v="1"/>
    <n v="30"/>
    <x v="1"/>
  </r>
  <r>
    <d v="2016-03-16T00:00:00"/>
    <s v="Arbeitgeber"/>
    <s v="Gutschrift"/>
    <s v="Lohn"/>
    <n v="1000"/>
    <s v="EUR"/>
    <x v="0"/>
    <x v="2"/>
    <x v="1"/>
    <n v="1000"/>
    <x v="0"/>
  </r>
  <r>
    <d v="2016-03-17T00:00:00"/>
    <s v="Netflix"/>
    <s v="Abonnement"/>
    <s v="Streaming-Dienst"/>
    <n v="-15"/>
    <s v="EUR"/>
    <x v="1"/>
    <x v="2"/>
    <x v="1"/>
    <n v="15"/>
    <x v="1"/>
  </r>
  <r>
    <d v="2016-03-18T00:00:00"/>
    <s v="Autohändler"/>
    <s v="KFZ-Zahlung"/>
    <s v="Auto-Rate"/>
    <n v="-350"/>
    <s v="EUR"/>
    <x v="2"/>
    <x v="2"/>
    <x v="1"/>
    <n v="350"/>
    <x v="1"/>
  </r>
  <r>
    <d v="2016-03-19T00:00:00"/>
    <s v="Versicherungsgesellschaft"/>
    <s v="Versicherungsprämie"/>
    <s v="Kfz-Versicherung"/>
    <n v="-120"/>
    <s v="EUR"/>
    <x v="3"/>
    <x v="2"/>
    <x v="1"/>
    <n v="120"/>
    <x v="1"/>
  </r>
  <r>
    <d v="2016-03-20T00:00:00"/>
    <s v="Supermarkt"/>
    <s v="Lebensmittel-Einkauf"/>
    <s v="Wochenendeinkauf"/>
    <n v="-80"/>
    <s v="EUR"/>
    <x v="4"/>
    <x v="2"/>
    <x v="1"/>
    <n v="80"/>
    <x v="1"/>
  </r>
  <r>
    <d v="2016-03-21T00:00:00"/>
    <s v="Arbeitgeber"/>
    <s v="Gutschrift"/>
    <s v="Lohn"/>
    <n v="1000"/>
    <s v="EUR"/>
    <x v="0"/>
    <x v="2"/>
    <x v="1"/>
    <n v="1000"/>
    <x v="0"/>
  </r>
  <r>
    <d v="2016-03-22T00:00:00"/>
    <s v="Spotify"/>
    <s v="Abonnement"/>
    <s v="Music-Streaming"/>
    <n v="-10"/>
    <s v="EUR"/>
    <x v="1"/>
    <x v="2"/>
    <x v="1"/>
    <n v="10"/>
    <x v="1"/>
  </r>
  <r>
    <d v="2016-03-23T00:00:00"/>
    <s v="Tankstelle"/>
    <s v="Kraftstoff"/>
    <s v="Auto-Tankfüllung"/>
    <n v="-65"/>
    <s v="EUR"/>
    <x v="2"/>
    <x v="2"/>
    <x v="1"/>
    <n v="65"/>
    <x v="1"/>
  </r>
  <r>
    <d v="2016-03-24T00:00:00"/>
    <s v="Versicherungsgesellschaft"/>
    <s v="Versicherungsprämie"/>
    <s v="Haftpflichtversicherung"/>
    <n v="-80"/>
    <s v="EUR"/>
    <x v="3"/>
    <x v="2"/>
    <x v="1"/>
    <n v="80"/>
    <x v="1"/>
  </r>
  <r>
    <d v="2016-03-25T00:00:00"/>
    <s v="Bäckerei"/>
    <s v="Lebensmittel-Einkauf"/>
    <s v="Brot und Gebäck"/>
    <n v="-35"/>
    <s v="EUR"/>
    <x v="4"/>
    <x v="2"/>
    <x v="1"/>
    <n v="35"/>
    <x v="1"/>
  </r>
  <r>
    <d v="2016-03-26T00:00:00"/>
    <s v="Arbeitgeber"/>
    <s v="Gutschrift"/>
    <s v="Lohn"/>
    <n v="1000"/>
    <s v="EUR"/>
    <x v="0"/>
    <x v="2"/>
    <x v="1"/>
    <n v="1000"/>
    <x v="0"/>
  </r>
  <r>
    <d v="2016-03-27T00:00:00"/>
    <s v="Arbeitgeber"/>
    <s v="Gutschrift"/>
    <s v="Lohn"/>
    <n v="1000"/>
    <s v="EUR"/>
    <x v="0"/>
    <x v="2"/>
    <x v="1"/>
    <n v="1000"/>
    <x v="0"/>
  </r>
  <r>
    <d v="2016-03-28T00:00:00"/>
    <s v="Netflix"/>
    <s v="Abonnement"/>
    <s v="Streaming-Dienst"/>
    <n v="-15"/>
    <s v="EUR"/>
    <x v="1"/>
    <x v="2"/>
    <x v="1"/>
    <n v="15"/>
    <x v="1"/>
  </r>
  <r>
    <d v="2016-03-29T00:00:00"/>
    <s v="Autohändler"/>
    <s v="KFZ-Zahlung"/>
    <s v="Auto-Rate"/>
    <n v="-350"/>
    <s v="EUR"/>
    <x v="2"/>
    <x v="2"/>
    <x v="1"/>
    <n v="350"/>
    <x v="1"/>
  </r>
  <r>
    <d v="2016-03-30T00:00:00"/>
    <s v="Versicherungsgesellschaft"/>
    <s v="Versicherungsprämie"/>
    <s v="Kfz-Versicherung"/>
    <n v="-120"/>
    <s v="EUR"/>
    <x v="3"/>
    <x v="2"/>
    <x v="1"/>
    <n v="120"/>
    <x v="1"/>
  </r>
  <r>
    <d v="2016-03-31T00:00:00"/>
    <s v="Supermarkt"/>
    <s v="Lebensmittel-Einkauf"/>
    <s v="Wochenendeinkauf"/>
    <n v="-50"/>
    <s v="EUR"/>
    <x v="4"/>
    <x v="2"/>
    <x v="1"/>
    <n v="50"/>
    <x v="1"/>
  </r>
  <r>
    <d v="2016-04-01T00:00:00"/>
    <s v="Arbeitgeber"/>
    <s v="Gutschrift"/>
    <s v="Lohn"/>
    <n v="1000"/>
    <s v="EUR"/>
    <x v="0"/>
    <x v="3"/>
    <x v="1"/>
    <n v="1000"/>
    <x v="0"/>
  </r>
  <r>
    <d v="2016-04-02T00:00:00"/>
    <s v="Spotify"/>
    <s v="Abonnement"/>
    <s v="Music-Streaming"/>
    <n v="-10"/>
    <s v="EUR"/>
    <x v="1"/>
    <x v="3"/>
    <x v="1"/>
    <n v="10"/>
    <x v="1"/>
  </r>
  <r>
    <d v="2016-04-03T00:00:00"/>
    <s v="Tankstelle"/>
    <s v="Kraftstoff"/>
    <s v="Auto-Tankfüllung"/>
    <n v="-60"/>
    <s v="EUR"/>
    <x v="2"/>
    <x v="3"/>
    <x v="1"/>
    <n v="60"/>
    <x v="1"/>
  </r>
  <r>
    <d v="2016-04-04T00:00:00"/>
    <s v="Versicherungsgesellschaft"/>
    <s v="Versicherungsprämie"/>
    <s v="Haftpflichtversicherung"/>
    <n v="-80"/>
    <s v="EUR"/>
    <x v="3"/>
    <x v="3"/>
    <x v="1"/>
    <n v="80"/>
    <x v="1"/>
  </r>
  <r>
    <d v="2016-04-05T00:00:00"/>
    <s v="Bäckerei"/>
    <s v="Lebensmittel-Einkauf"/>
    <s v="Brot und Gebäck"/>
    <n v="-20"/>
    <s v="EUR"/>
    <x v="4"/>
    <x v="3"/>
    <x v="1"/>
    <n v="20"/>
    <x v="1"/>
  </r>
  <r>
    <d v="2016-04-06T00:00:00"/>
    <s v="Arbeitgeber"/>
    <s v="Gutschrift"/>
    <s v="Lohn"/>
    <n v="1000"/>
    <s v="EUR"/>
    <x v="0"/>
    <x v="3"/>
    <x v="1"/>
    <n v="1000"/>
    <x v="0"/>
  </r>
  <r>
    <d v="2016-04-07T00:00:00"/>
    <s v="Netflix"/>
    <s v="Abonnement"/>
    <s v="Streaming-Dienst"/>
    <n v="-15"/>
    <s v="EUR"/>
    <x v="1"/>
    <x v="3"/>
    <x v="1"/>
    <n v="15"/>
    <x v="1"/>
  </r>
  <r>
    <d v="2016-04-08T00:00:00"/>
    <s v="Autohändler"/>
    <s v="KFZ-Zahlung"/>
    <s v="Auto-Rate"/>
    <n v="-350"/>
    <s v="EUR"/>
    <x v="2"/>
    <x v="3"/>
    <x v="1"/>
    <n v="350"/>
    <x v="1"/>
  </r>
  <r>
    <d v="2016-04-09T00:00:00"/>
    <s v="Versicherungsgesellschaft"/>
    <s v="Versicherungsprämie"/>
    <s v="Kfz-Versicherung"/>
    <n v="-120"/>
    <s v="EUR"/>
    <x v="3"/>
    <x v="3"/>
    <x v="1"/>
    <n v="120"/>
    <x v="1"/>
  </r>
  <r>
    <d v="2016-04-10T00:00:00"/>
    <s v="Supermarkt"/>
    <s v="Lebensmittel-Einkauf"/>
    <s v="Wochenendeinkauf"/>
    <n v="-60"/>
    <s v="EUR"/>
    <x v="4"/>
    <x v="3"/>
    <x v="1"/>
    <n v="60"/>
    <x v="1"/>
  </r>
  <r>
    <d v="2016-04-11T00:00:00"/>
    <s v="Arbeitgeber"/>
    <s v="Gutschrift"/>
    <s v="Lohn"/>
    <n v="1000"/>
    <s v="EUR"/>
    <x v="0"/>
    <x v="3"/>
    <x v="1"/>
    <n v="1000"/>
    <x v="0"/>
  </r>
  <r>
    <d v="2016-04-12T00:00:00"/>
    <s v="Spotify"/>
    <s v="Abonnement"/>
    <s v="Music-Streaming"/>
    <n v="-10"/>
    <s v="EUR"/>
    <x v="1"/>
    <x v="3"/>
    <x v="1"/>
    <n v="10"/>
    <x v="1"/>
  </r>
  <r>
    <d v="2016-04-13T00:00:00"/>
    <s v="Tankstelle"/>
    <s v="Kraftstoff"/>
    <s v="Auto-Tankfüllung"/>
    <n v="-70"/>
    <s v="EUR"/>
    <x v="2"/>
    <x v="3"/>
    <x v="1"/>
    <n v="70"/>
    <x v="1"/>
  </r>
  <r>
    <d v="2016-04-14T00:00:00"/>
    <s v="Versicherungsgesellschaft"/>
    <s v="Versicherungsprämie"/>
    <s v="Haftpflichtversicherung"/>
    <n v="-80"/>
    <s v="EUR"/>
    <x v="3"/>
    <x v="3"/>
    <x v="1"/>
    <n v="80"/>
    <x v="1"/>
  </r>
  <r>
    <d v="2016-04-15T00:00:00"/>
    <s v="Bäckerei"/>
    <s v="Lebensmittel-Einkauf"/>
    <s v="Brot und Gebäck"/>
    <n v="-25"/>
    <s v="EUR"/>
    <x v="4"/>
    <x v="3"/>
    <x v="1"/>
    <n v="25"/>
    <x v="1"/>
  </r>
  <r>
    <d v="2016-04-16T00:00:00"/>
    <s v="Arbeitgeber"/>
    <s v="Gutschrift"/>
    <s v="Lohn"/>
    <n v="1000"/>
    <s v="EUR"/>
    <x v="0"/>
    <x v="3"/>
    <x v="1"/>
    <n v="1000"/>
    <x v="0"/>
  </r>
  <r>
    <d v="2016-04-17T00:00:00"/>
    <s v="Netflix"/>
    <s v="Abonnement"/>
    <s v="Streaming-Dienst"/>
    <n v="-15"/>
    <s v="EUR"/>
    <x v="1"/>
    <x v="3"/>
    <x v="1"/>
    <n v="15"/>
    <x v="1"/>
  </r>
  <r>
    <d v="2016-04-18T00:00:00"/>
    <s v="Autohändler"/>
    <s v="KFZ-Zahlung"/>
    <s v="Auto-Rate"/>
    <n v="-350"/>
    <s v="EUR"/>
    <x v="2"/>
    <x v="3"/>
    <x v="1"/>
    <n v="350"/>
    <x v="1"/>
  </r>
  <r>
    <d v="2016-04-19T00:00:00"/>
    <s v="Versicherungsgesellschaft"/>
    <s v="Versicherungsprämie"/>
    <s v="Kfz-Versicherung"/>
    <n v="-120"/>
    <s v="EUR"/>
    <x v="3"/>
    <x v="3"/>
    <x v="1"/>
    <n v="120"/>
    <x v="1"/>
  </r>
  <r>
    <d v="2016-04-20T00:00:00"/>
    <s v="Supermarkt"/>
    <s v="Lebensmittel-Einkauf"/>
    <s v="Wochenendeinkauf"/>
    <n v="-70"/>
    <s v="EUR"/>
    <x v="4"/>
    <x v="3"/>
    <x v="1"/>
    <n v="70"/>
    <x v="1"/>
  </r>
  <r>
    <d v="2016-04-21T00:00:00"/>
    <s v="Arbeitgeber"/>
    <s v="Gutschrift"/>
    <s v="Lohn"/>
    <n v="1000"/>
    <s v="EUR"/>
    <x v="0"/>
    <x v="3"/>
    <x v="1"/>
    <n v="1000"/>
    <x v="0"/>
  </r>
  <r>
    <d v="2016-04-22T00:00:00"/>
    <s v="Spotify"/>
    <s v="Abonnement"/>
    <s v="Music-Streaming"/>
    <n v="-10"/>
    <s v="EUR"/>
    <x v="1"/>
    <x v="3"/>
    <x v="1"/>
    <n v="10"/>
    <x v="1"/>
  </r>
  <r>
    <d v="2016-04-23T00:00:00"/>
    <s v="Tankstelle"/>
    <s v="Kraftstoff"/>
    <s v="Auto-Tankfüllung"/>
    <n v="-60"/>
    <s v="EUR"/>
    <x v="2"/>
    <x v="3"/>
    <x v="1"/>
    <n v="60"/>
    <x v="1"/>
  </r>
  <r>
    <d v="2016-04-24T00:00:00"/>
    <s v="Versicherungsgesellschaft"/>
    <s v="Versicherungsprämie"/>
    <s v="Haftpflichtversicherung"/>
    <n v="-80"/>
    <s v="EUR"/>
    <x v="3"/>
    <x v="3"/>
    <x v="1"/>
    <n v="80"/>
    <x v="1"/>
  </r>
  <r>
    <d v="2016-04-25T00:00:00"/>
    <s v="Bäckerei"/>
    <s v="Lebensmittel-Einkauf"/>
    <s v="Brot und Gebäck"/>
    <n v="-30"/>
    <s v="EUR"/>
    <x v="4"/>
    <x v="3"/>
    <x v="1"/>
    <n v="30"/>
    <x v="1"/>
  </r>
  <r>
    <d v="2016-04-26T00:00:00"/>
    <s v="Arbeitgeber"/>
    <s v="Gutschrift"/>
    <s v="Lohn"/>
    <n v="1000"/>
    <s v="EUR"/>
    <x v="0"/>
    <x v="3"/>
    <x v="1"/>
    <n v="1000"/>
    <x v="0"/>
  </r>
  <r>
    <d v="2016-04-27T00:00:00"/>
    <s v="Netflix"/>
    <s v="Abonnement"/>
    <s v="Streaming-Dienst"/>
    <n v="-15"/>
    <s v="EUR"/>
    <x v="1"/>
    <x v="3"/>
    <x v="1"/>
    <n v="15"/>
    <x v="1"/>
  </r>
  <r>
    <d v="2016-04-28T00:00:00"/>
    <s v="Autohändler"/>
    <s v="KFZ-Zahlung"/>
    <s v="Auto-Rate"/>
    <n v="-350"/>
    <s v="EUR"/>
    <x v="2"/>
    <x v="3"/>
    <x v="1"/>
    <n v="350"/>
    <x v="1"/>
  </r>
  <r>
    <d v="2016-04-29T00:00:00"/>
    <s v="Versicherungsgesellschaft"/>
    <s v="Versicherungsprämie"/>
    <s v="Kfz-Versicherung"/>
    <n v="-120"/>
    <s v="EUR"/>
    <x v="3"/>
    <x v="3"/>
    <x v="1"/>
    <n v="120"/>
    <x v="1"/>
  </r>
  <r>
    <d v="2016-04-30T00:00:00"/>
    <s v="Supermarkt"/>
    <s v="Lebensmittel-Einkauf"/>
    <s v="Wochenendeinkauf"/>
    <n v="-80"/>
    <s v="EUR"/>
    <x v="4"/>
    <x v="3"/>
    <x v="1"/>
    <n v="80"/>
    <x v="1"/>
  </r>
  <r>
    <d v="2016-05-01T00:00:00"/>
    <s v="Arbeitgeber"/>
    <s v="Gutschrift"/>
    <s v="Lohn"/>
    <n v="1000"/>
    <s v="EUR"/>
    <x v="0"/>
    <x v="4"/>
    <x v="1"/>
    <n v="1000"/>
    <x v="0"/>
  </r>
  <r>
    <d v="2016-05-02T00:00:00"/>
    <s v="Spotify"/>
    <s v="Abonnement"/>
    <s v="Music-Streaming"/>
    <n v="-10"/>
    <s v="EUR"/>
    <x v="1"/>
    <x v="4"/>
    <x v="1"/>
    <n v="10"/>
    <x v="1"/>
  </r>
  <r>
    <d v="2016-05-03T00:00:00"/>
    <s v="Tankstelle"/>
    <s v="Kraftstoff"/>
    <s v="Auto-Tankfüllung"/>
    <n v="-65"/>
    <s v="EUR"/>
    <x v="2"/>
    <x v="4"/>
    <x v="1"/>
    <n v="65"/>
    <x v="1"/>
  </r>
  <r>
    <d v="2016-05-04T00:00:00"/>
    <s v="Versicherungsgesellschaft"/>
    <s v="Versicherungsprämie"/>
    <s v="Haftpflichtversicherung"/>
    <n v="-80"/>
    <s v="EUR"/>
    <x v="3"/>
    <x v="4"/>
    <x v="1"/>
    <n v="80"/>
    <x v="1"/>
  </r>
  <r>
    <d v="2016-05-05T00:00:00"/>
    <s v="Bäckerei"/>
    <s v="Lebensmittel-Einkauf"/>
    <s v="Brot und Gebäck"/>
    <n v="-35"/>
    <s v="EUR"/>
    <x v="4"/>
    <x v="4"/>
    <x v="1"/>
    <n v="35"/>
    <x v="1"/>
  </r>
  <r>
    <d v="2016-05-06T00:00:00"/>
    <s v="Arbeitgeber"/>
    <s v="Gutschrift"/>
    <s v="Lohn"/>
    <n v="1000"/>
    <s v="EUR"/>
    <x v="0"/>
    <x v="4"/>
    <x v="1"/>
    <n v="1000"/>
    <x v="0"/>
  </r>
  <r>
    <d v="2016-05-07T00:00:00"/>
    <s v="Arbeitgeber"/>
    <s v="Gutschrift"/>
    <s v="Lohn"/>
    <n v="1000"/>
    <s v="EUR"/>
    <x v="0"/>
    <x v="4"/>
    <x v="1"/>
    <n v="1000"/>
    <x v="0"/>
  </r>
  <r>
    <d v="2016-05-08T00:00:00"/>
    <s v="Netflix"/>
    <s v="Abonnement"/>
    <s v="Streaming-Dienst"/>
    <n v="-15"/>
    <s v="EUR"/>
    <x v="1"/>
    <x v="4"/>
    <x v="1"/>
    <n v="15"/>
    <x v="1"/>
  </r>
  <r>
    <d v="2016-05-09T00:00:00"/>
    <s v="Autohändler"/>
    <s v="KFZ-Zahlung"/>
    <s v="Auto-Rate"/>
    <n v="-350"/>
    <s v="EUR"/>
    <x v="2"/>
    <x v="4"/>
    <x v="1"/>
    <n v="350"/>
    <x v="1"/>
  </r>
  <r>
    <d v="2016-05-10T00:00:00"/>
    <s v="Versicherungsgesellschaft"/>
    <s v="Versicherungsprämie"/>
    <s v="Kfz-Versicherung"/>
    <n v="-120"/>
    <s v="EUR"/>
    <x v="3"/>
    <x v="4"/>
    <x v="1"/>
    <n v="120"/>
    <x v="1"/>
  </r>
  <r>
    <d v="2016-05-11T00:00:00"/>
    <s v="Supermarkt"/>
    <s v="Lebensmittel-Einkauf"/>
    <s v="Wochenendeinkauf"/>
    <n v="-50"/>
    <s v="EUR"/>
    <x v="4"/>
    <x v="4"/>
    <x v="1"/>
    <n v="50"/>
    <x v="1"/>
  </r>
  <r>
    <d v="2016-05-12T00:00:00"/>
    <s v="Arbeitgeber"/>
    <s v="Gutschrift"/>
    <s v="Lohn"/>
    <n v="1000"/>
    <s v="EUR"/>
    <x v="0"/>
    <x v="4"/>
    <x v="1"/>
    <n v="1000"/>
    <x v="0"/>
  </r>
  <r>
    <d v="2016-05-13T00:00:00"/>
    <s v="Spotify"/>
    <s v="Abonnement"/>
    <s v="Music-Streaming"/>
    <n v="-10"/>
    <s v="EUR"/>
    <x v="1"/>
    <x v="4"/>
    <x v="1"/>
    <n v="10"/>
    <x v="1"/>
  </r>
  <r>
    <d v="2016-05-14T00:00:00"/>
    <s v="Tankstelle"/>
    <s v="Kraftstoff"/>
    <s v="Auto-Tankfüllung"/>
    <n v="-60"/>
    <s v="EUR"/>
    <x v="2"/>
    <x v="4"/>
    <x v="1"/>
    <n v="60"/>
    <x v="1"/>
  </r>
  <r>
    <d v="2016-05-15T00:00:00"/>
    <s v="Versicherungsgesellschaft"/>
    <s v="Versicherungsprämie"/>
    <s v="Haftpflichtversicherung"/>
    <n v="-80"/>
    <s v="EUR"/>
    <x v="3"/>
    <x v="4"/>
    <x v="1"/>
    <n v="80"/>
    <x v="1"/>
  </r>
  <r>
    <d v="2016-05-16T00:00:00"/>
    <s v="Bäckerei"/>
    <s v="Lebensmittel-Einkauf"/>
    <s v="Brot und Gebäck"/>
    <n v="-20"/>
    <s v="EUR"/>
    <x v="4"/>
    <x v="4"/>
    <x v="1"/>
    <n v="20"/>
    <x v="1"/>
  </r>
  <r>
    <d v="2016-05-17T00:00:00"/>
    <s v="Arbeitgeber"/>
    <s v="Gutschrift"/>
    <s v="Lohn"/>
    <n v="1000"/>
    <s v="EUR"/>
    <x v="0"/>
    <x v="4"/>
    <x v="1"/>
    <n v="1000"/>
    <x v="0"/>
  </r>
  <r>
    <d v="2016-05-18T00:00:00"/>
    <s v="Netflix"/>
    <s v="Abonnement"/>
    <s v="Streaming-Dienst"/>
    <n v="-15"/>
    <s v="EUR"/>
    <x v="1"/>
    <x v="4"/>
    <x v="1"/>
    <n v="15"/>
    <x v="1"/>
  </r>
  <r>
    <d v="2016-05-19T00:00:00"/>
    <s v="Autohändler"/>
    <s v="KFZ-Zahlung"/>
    <s v="Auto-Rate"/>
    <n v="-350"/>
    <s v="EUR"/>
    <x v="2"/>
    <x v="4"/>
    <x v="1"/>
    <n v="350"/>
    <x v="1"/>
  </r>
  <r>
    <d v="2016-05-20T00:00:00"/>
    <s v="Versicherungsgesellschaft"/>
    <s v="Versicherungsprämie"/>
    <s v="Kfz-Versicherung"/>
    <n v="-120"/>
    <s v="EUR"/>
    <x v="3"/>
    <x v="4"/>
    <x v="1"/>
    <n v="120"/>
    <x v="1"/>
  </r>
  <r>
    <d v="2016-05-21T00:00:00"/>
    <s v="Supermarkt"/>
    <s v="Lebensmittel-Einkauf"/>
    <s v="Wochenendeinkauf"/>
    <n v="-60"/>
    <s v="EUR"/>
    <x v="4"/>
    <x v="4"/>
    <x v="1"/>
    <n v="60"/>
    <x v="1"/>
  </r>
  <r>
    <d v="2016-05-22T00:00:00"/>
    <s v="Arbeitgeber"/>
    <s v="Gutschrift"/>
    <s v="Lohn"/>
    <n v="1000"/>
    <s v="EUR"/>
    <x v="0"/>
    <x v="4"/>
    <x v="1"/>
    <n v="1000"/>
    <x v="0"/>
  </r>
  <r>
    <d v="2016-05-23T00:00:00"/>
    <s v="Spotify"/>
    <s v="Abonnement"/>
    <s v="Music-Streaming"/>
    <n v="-10"/>
    <s v="EUR"/>
    <x v="1"/>
    <x v="4"/>
    <x v="1"/>
    <n v="10"/>
    <x v="1"/>
  </r>
  <r>
    <d v="2016-05-24T00:00:00"/>
    <s v="Tankstelle"/>
    <s v="Kraftstoff"/>
    <s v="Auto-Tankfüllung"/>
    <n v="-70"/>
    <s v="EUR"/>
    <x v="2"/>
    <x v="4"/>
    <x v="1"/>
    <n v="70"/>
    <x v="1"/>
  </r>
  <r>
    <d v="2016-05-25T00:00:00"/>
    <s v="Versicherungsgesellschaft"/>
    <s v="Versicherungsprämie"/>
    <s v="Haftpflichtversicherung"/>
    <n v="-80"/>
    <s v="EUR"/>
    <x v="3"/>
    <x v="4"/>
    <x v="1"/>
    <n v="80"/>
    <x v="1"/>
  </r>
  <r>
    <d v="2016-05-26T00:00:00"/>
    <s v="Bäckerei"/>
    <s v="Lebensmittel-Einkauf"/>
    <s v="Brot und Gebäck"/>
    <n v="-25"/>
    <s v="EUR"/>
    <x v="4"/>
    <x v="4"/>
    <x v="1"/>
    <n v="25"/>
    <x v="1"/>
  </r>
  <r>
    <d v="2016-05-27T00:00:00"/>
    <s v="Arbeitgeber"/>
    <s v="Gutschrift"/>
    <s v="Lohn"/>
    <n v="1000"/>
    <s v="EUR"/>
    <x v="0"/>
    <x v="4"/>
    <x v="1"/>
    <n v="1000"/>
    <x v="0"/>
  </r>
  <r>
    <d v="2016-05-28T00:00:00"/>
    <s v="Netflix"/>
    <s v="Abonnement"/>
    <s v="Streaming-Dienst"/>
    <n v="-15"/>
    <s v="EUR"/>
    <x v="1"/>
    <x v="4"/>
    <x v="1"/>
    <n v="15"/>
    <x v="1"/>
  </r>
  <r>
    <d v="2016-05-29T00:00:00"/>
    <s v="Autohändler"/>
    <s v="KFZ-Zahlung"/>
    <s v="Auto-Rate"/>
    <n v="-350"/>
    <s v="EUR"/>
    <x v="2"/>
    <x v="4"/>
    <x v="1"/>
    <n v="350"/>
    <x v="1"/>
  </r>
  <r>
    <d v="2016-05-30T00:00:00"/>
    <s v="Versicherungsgesellschaft"/>
    <s v="Versicherungsprämie"/>
    <s v="Kfz-Versicherung"/>
    <n v="-120"/>
    <s v="EUR"/>
    <x v="3"/>
    <x v="4"/>
    <x v="1"/>
    <n v="120"/>
    <x v="1"/>
  </r>
  <r>
    <d v="2016-05-31T00:00:00"/>
    <s v="Supermarkt"/>
    <s v="Lebensmittel-Einkauf"/>
    <s v="Wochenendeinkauf"/>
    <n v="-70"/>
    <s v="EUR"/>
    <x v="4"/>
    <x v="4"/>
    <x v="1"/>
    <n v="70"/>
    <x v="1"/>
  </r>
  <r>
    <d v="2016-06-01T00:00:00"/>
    <s v="Arbeitgeber"/>
    <s v="Gutschrift"/>
    <s v="Lohn"/>
    <n v="1000"/>
    <s v="EUR"/>
    <x v="0"/>
    <x v="5"/>
    <x v="1"/>
    <n v="1000"/>
    <x v="0"/>
  </r>
  <r>
    <d v="2016-06-02T00:00:00"/>
    <s v="Spotify"/>
    <s v="Abonnement"/>
    <s v="Music-Streaming"/>
    <n v="-10"/>
    <s v="EUR"/>
    <x v="1"/>
    <x v="5"/>
    <x v="1"/>
    <n v="10"/>
    <x v="1"/>
  </r>
  <r>
    <d v="2016-06-03T00:00:00"/>
    <s v="Tankstelle"/>
    <s v="Kraftstoff"/>
    <s v="Auto-Tankfüllung"/>
    <n v="-60"/>
    <s v="EUR"/>
    <x v="2"/>
    <x v="5"/>
    <x v="1"/>
    <n v="60"/>
    <x v="1"/>
  </r>
  <r>
    <d v="2016-06-04T00:00:00"/>
    <s v="Versicherungsgesellschaft"/>
    <s v="Versicherungsprämie"/>
    <s v="Haftpflichtversicherung"/>
    <n v="-80"/>
    <s v="EUR"/>
    <x v="3"/>
    <x v="5"/>
    <x v="1"/>
    <n v="80"/>
    <x v="1"/>
  </r>
  <r>
    <d v="2016-06-05T00:00:00"/>
    <s v="Bäckerei"/>
    <s v="Lebensmittel-Einkauf"/>
    <s v="Brot und Gebäck"/>
    <n v="-30"/>
    <s v="EUR"/>
    <x v="4"/>
    <x v="5"/>
    <x v="1"/>
    <n v="30"/>
    <x v="1"/>
  </r>
  <r>
    <d v="2016-06-06T00:00:00"/>
    <s v="Arbeitgeber"/>
    <s v="Gutschrift"/>
    <s v="Lohn"/>
    <n v="1000"/>
    <s v="EUR"/>
    <x v="0"/>
    <x v="5"/>
    <x v="1"/>
    <n v="1000"/>
    <x v="0"/>
  </r>
  <r>
    <d v="2016-06-07T00:00:00"/>
    <s v="Netflix"/>
    <s v="Abonnement"/>
    <s v="Streaming-Dienst"/>
    <n v="-15"/>
    <s v="EUR"/>
    <x v="1"/>
    <x v="5"/>
    <x v="1"/>
    <n v="15"/>
    <x v="1"/>
  </r>
  <r>
    <d v="2016-06-08T00:00:00"/>
    <s v="Autohändler"/>
    <s v="KFZ-Zahlung"/>
    <s v="Auto-Rate"/>
    <n v="-350"/>
    <s v="EUR"/>
    <x v="2"/>
    <x v="5"/>
    <x v="1"/>
    <n v="350"/>
    <x v="1"/>
  </r>
  <r>
    <d v="2016-06-09T00:00:00"/>
    <s v="Versicherungsgesellschaft"/>
    <s v="Versicherungsprämie"/>
    <s v="Kfz-Versicherung"/>
    <n v="-120"/>
    <s v="EUR"/>
    <x v="3"/>
    <x v="5"/>
    <x v="1"/>
    <n v="120"/>
    <x v="1"/>
  </r>
  <r>
    <d v="2016-06-10T00:00:00"/>
    <s v="Supermarkt"/>
    <s v="Lebensmittel-Einkauf"/>
    <s v="Wochenendeinkauf"/>
    <n v="-80"/>
    <s v="EUR"/>
    <x v="4"/>
    <x v="5"/>
    <x v="1"/>
    <n v="80"/>
    <x v="1"/>
  </r>
  <r>
    <d v="2016-06-11T00:00:00"/>
    <s v="Arbeitgeber"/>
    <s v="Gutschrift"/>
    <s v="Lohn"/>
    <n v="1000"/>
    <s v="EUR"/>
    <x v="0"/>
    <x v="5"/>
    <x v="1"/>
    <n v="1000"/>
    <x v="0"/>
  </r>
  <r>
    <d v="2016-06-12T00:00:00"/>
    <s v="Spotify"/>
    <s v="Abonnement"/>
    <s v="Music-Streaming"/>
    <n v="-10"/>
    <s v="EUR"/>
    <x v="1"/>
    <x v="5"/>
    <x v="1"/>
    <n v="10"/>
    <x v="1"/>
  </r>
  <r>
    <d v="2016-06-13T00:00:00"/>
    <s v="Tankstelle"/>
    <s v="Kraftstoff"/>
    <s v="Auto-Tankfüllung"/>
    <n v="-65"/>
    <s v="EUR"/>
    <x v="2"/>
    <x v="5"/>
    <x v="1"/>
    <n v="65"/>
    <x v="1"/>
  </r>
  <r>
    <d v="2016-06-14T00:00:00"/>
    <s v="Versicherungsgesellschaft"/>
    <s v="Versicherungsprämie"/>
    <s v="Haftpflichtversicherung"/>
    <n v="-80"/>
    <s v="EUR"/>
    <x v="3"/>
    <x v="5"/>
    <x v="1"/>
    <n v="80"/>
    <x v="1"/>
  </r>
  <r>
    <d v="2016-06-15T00:00:00"/>
    <s v="Bäckerei"/>
    <s v="Lebensmittel-Einkauf"/>
    <s v="Brot und Gebäck"/>
    <n v="-35"/>
    <s v="EUR"/>
    <x v="4"/>
    <x v="5"/>
    <x v="1"/>
    <n v="35"/>
    <x v="1"/>
  </r>
  <r>
    <d v="2016-06-16T00:00:00"/>
    <s v="Arbeitgeber"/>
    <s v="Gutschrift"/>
    <s v="Lohn"/>
    <n v="1000"/>
    <s v="EUR"/>
    <x v="0"/>
    <x v="5"/>
    <x v="1"/>
    <n v="1000"/>
    <x v="0"/>
  </r>
  <r>
    <d v="2016-06-17T00:00:00"/>
    <s v="Arbeitgeber"/>
    <s v="Gutschrift"/>
    <s v="Lohn"/>
    <n v="1000"/>
    <s v="EUR"/>
    <x v="0"/>
    <x v="5"/>
    <x v="1"/>
    <n v="1000"/>
    <x v="0"/>
  </r>
  <r>
    <d v="2016-06-18T00:00:00"/>
    <s v="Netflix"/>
    <s v="Abonnement"/>
    <s v="Streaming-Dienst"/>
    <n v="-15"/>
    <s v="EUR"/>
    <x v="1"/>
    <x v="5"/>
    <x v="1"/>
    <n v="15"/>
    <x v="1"/>
  </r>
  <r>
    <d v="2016-06-19T00:00:00"/>
    <s v="Autohändler"/>
    <s v="KFZ-Zahlung"/>
    <s v="Auto-Rate"/>
    <n v="-350"/>
    <s v="EUR"/>
    <x v="2"/>
    <x v="5"/>
    <x v="1"/>
    <n v="350"/>
    <x v="1"/>
  </r>
  <r>
    <d v="2016-06-20T00:00:00"/>
    <s v="Versicherungsgesellschaft"/>
    <s v="Versicherungsprämie"/>
    <s v="Kfz-Versicherung"/>
    <n v="-120"/>
    <s v="EUR"/>
    <x v="3"/>
    <x v="5"/>
    <x v="1"/>
    <n v="120"/>
    <x v="1"/>
  </r>
  <r>
    <d v="2016-06-21T00:00:00"/>
    <s v="Supermarkt"/>
    <s v="Lebensmittel-Einkauf"/>
    <s v="Wochenendeinkauf"/>
    <n v="-50"/>
    <s v="EUR"/>
    <x v="4"/>
    <x v="5"/>
    <x v="1"/>
    <n v="50"/>
    <x v="1"/>
  </r>
  <r>
    <d v="2016-06-22T00:00:00"/>
    <s v="Arbeitgeber"/>
    <s v="Gutschrift"/>
    <s v="Lohn"/>
    <n v="1000"/>
    <s v="EUR"/>
    <x v="0"/>
    <x v="5"/>
    <x v="1"/>
    <n v="1000"/>
    <x v="0"/>
  </r>
  <r>
    <d v="2016-06-23T00:00:00"/>
    <s v="Spotify"/>
    <s v="Abonnement"/>
    <s v="Music-Streaming"/>
    <n v="-10"/>
    <s v="EUR"/>
    <x v="1"/>
    <x v="5"/>
    <x v="1"/>
    <n v="10"/>
    <x v="1"/>
  </r>
  <r>
    <d v="2016-06-24T00:00:00"/>
    <s v="Tankstelle"/>
    <s v="Kraftstoff"/>
    <s v="Auto-Tankfüllung"/>
    <n v="-60"/>
    <s v="EUR"/>
    <x v="2"/>
    <x v="5"/>
    <x v="1"/>
    <n v="60"/>
    <x v="1"/>
  </r>
  <r>
    <d v="2016-06-25T00:00:00"/>
    <s v="Versicherungsgesellschaft"/>
    <s v="Versicherungsprämie"/>
    <s v="Haftpflichtversicherung"/>
    <n v="-80"/>
    <s v="EUR"/>
    <x v="3"/>
    <x v="5"/>
    <x v="1"/>
    <n v="80"/>
    <x v="1"/>
  </r>
  <r>
    <d v="2016-06-26T00:00:00"/>
    <s v="Bäckerei"/>
    <s v="Lebensmittel-Einkauf"/>
    <s v="Brot und Gebäck"/>
    <n v="-20"/>
    <s v="EUR"/>
    <x v="4"/>
    <x v="5"/>
    <x v="1"/>
    <n v="20"/>
    <x v="1"/>
  </r>
  <r>
    <d v="2016-06-27T00:00:00"/>
    <s v="Arbeitgeber"/>
    <s v="Gutschrift"/>
    <s v="Lohn"/>
    <n v="1000"/>
    <s v="EUR"/>
    <x v="0"/>
    <x v="5"/>
    <x v="1"/>
    <n v="1000"/>
    <x v="0"/>
  </r>
  <r>
    <d v="2016-06-28T00:00:00"/>
    <s v="Netflix"/>
    <s v="Abonnement"/>
    <s v="Streaming-Dienst"/>
    <n v="-15"/>
    <s v="EUR"/>
    <x v="1"/>
    <x v="5"/>
    <x v="1"/>
    <n v="15"/>
    <x v="1"/>
  </r>
  <r>
    <d v="2016-06-29T00:00:00"/>
    <s v="Autohändler"/>
    <s v="KFZ-Zahlung"/>
    <s v="Auto-Rate"/>
    <n v="-350"/>
    <s v="EUR"/>
    <x v="2"/>
    <x v="5"/>
    <x v="1"/>
    <n v="350"/>
    <x v="1"/>
  </r>
  <r>
    <d v="2016-06-30T00:00:00"/>
    <s v="Versicherungsgesellschaft"/>
    <s v="Versicherungsprämie"/>
    <s v="Kfz-Versicherung"/>
    <n v="-120"/>
    <s v="EUR"/>
    <x v="3"/>
    <x v="5"/>
    <x v="1"/>
    <n v="120"/>
    <x v="1"/>
  </r>
  <r>
    <d v="2016-07-01T00:00:00"/>
    <s v="Supermarkt"/>
    <s v="Lebensmittel-Einkauf"/>
    <s v="Wochenendeinkauf"/>
    <n v="-60"/>
    <s v="EUR"/>
    <x v="4"/>
    <x v="6"/>
    <x v="1"/>
    <n v="60"/>
    <x v="1"/>
  </r>
  <r>
    <d v="2016-07-02T00:00:00"/>
    <s v="Arbeitgeber"/>
    <s v="Gutschrift"/>
    <s v="Lohn"/>
    <n v="1000"/>
    <s v="EUR"/>
    <x v="0"/>
    <x v="6"/>
    <x v="1"/>
    <n v="1000"/>
    <x v="0"/>
  </r>
  <r>
    <d v="2016-07-03T00:00:00"/>
    <s v="Spotify"/>
    <s v="Abonnement"/>
    <s v="Music-Streaming"/>
    <n v="-10"/>
    <s v="EUR"/>
    <x v="1"/>
    <x v="6"/>
    <x v="1"/>
    <n v="10"/>
    <x v="1"/>
  </r>
  <r>
    <d v="2016-07-04T00:00:00"/>
    <s v="Tankstelle"/>
    <s v="Kraftstoff"/>
    <s v="Auto-Tankfüllung"/>
    <n v="-70"/>
    <s v="EUR"/>
    <x v="2"/>
    <x v="6"/>
    <x v="1"/>
    <n v="70"/>
    <x v="1"/>
  </r>
  <r>
    <d v="2016-07-05T00:00:00"/>
    <s v="Versicherungsgesellschaft"/>
    <s v="Versicherungsprämie"/>
    <s v="Haftpflichtversicherung"/>
    <n v="-80"/>
    <s v="EUR"/>
    <x v="3"/>
    <x v="6"/>
    <x v="1"/>
    <n v="80"/>
    <x v="1"/>
  </r>
  <r>
    <d v="2016-07-06T00:00:00"/>
    <s v="Bäckerei"/>
    <s v="Lebensmittel-Einkauf"/>
    <s v="Brot und Gebäck"/>
    <n v="-25"/>
    <s v="EUR"/>
    <x v="4"/>
    <x v="6"/>
    <x v="1"/>
    <n v="25"/>
    <x v="1"/>
  </r>
  <r>
    <d v="2016-07-07T00:00:00"/>
    <s v="Arbeitgeber"/>
    <s v="Gutschrift"/>
    <s v="Lohn"/>
    <n v="1000"/>
    <s v="EUR"/>
    <x v="0"/>
    <x v="6"/>
    <x v="1"/>
    <n v="1000"/>
    <x v="0"/>
  </r>
  <r>
    <d v="2016-07-08T00:00:00"/>
    <s v="Netflix"/>
    <s v="Abonnement"/>
    <s v="Streaming-Dienst"/>
    <n v="-15"/>
    <s v="EUR"/>
    <x v="1"/>
    <x v="6"/>
    <x v="1"/>
    <n v="15"/>
    <x v="1"/>
  </r>
  <r>
    <d v="2016-07-09T00:00:00"/>
    <s v="Autohändler"/>
    <s v="KFZ-Zahlung"/>
    <s v="Auto-Rate"/>
    <n v="-350"/>
    <s v="EUR"/>
    <x v="2"/>
    <x v="6"/>
    <x v="1"/>
    <n v="350"/>
    <x v="1"/>
  </r>
  <r>
    <d v="2016-07-10T00:00:00"/>
    <s v="Versicherungsgesellschaft"/>
    <s v="Versicherungsprämie"/>
    <s v="Kfz-Versicherung"/>
    <n v="-120"/>
    <s v="EUR"/>
    <x v="3"/>
    <x v="6"/>
    <x v="1"/>
    <n v="120"/>
    <x v="1"/>
  </r>
  <r>
    <d v="2016-07-11T00:00:00"/>
    <s v="Supermarkt"/>
    <s v="Lebensmittel-Einkauf"/>
    <s v="Wochenendeinkauf"/>
    <n v="-70"/>
    <s v="EUR"/>
    <x v="4"/>
    <x v="6"/>
    <x v="1"/>
    <n v="70"/>
    <x v="1"/>
  </r>
  <r>
    <d v="2016-07-12T00:00:00"/>
    <s v="Arbeitgeber"/>
    <s v="Gutschrift"/>
    <s v="Lohn"/>
    <n v="1000"/>
    <s v="EUR"/>
    <x v="0"/>
    <x v="6"/>
    <x v="1"/>
    <n v="1000"/>
    <x v="0"/>
  </r>
  <r>
    <d v="2016-07-13T00:00:00"/>
    <s v="Spotify"/>
    <s v="Abonnement"/>
    <s v="Music-Streaming"/>
    <n v="-10"/>
    <s v="EUR"/>
    <x v="1"/>
    <x v="6"/>
    <x v="1"/>
    <n v="10"/>
    <x v="1"/>
  </r>
  <r>
    <d v="2016-07-14T00:00:00"/>
    <s v="Tankstelle"/>
    <s v="Kraftstoff"/>
    <s v="Auto-Tankfüllung"/>
    <n v="-60"/>
    <s v="EUR"/>
    <x v="2"/>
    <x v="6"/>
    <x v="1"/>
    <n v="60"/>
    <x v="1"/>
  </r>
  <r>
    <d v="2016-07-15T00:00:00"/>
    <s v="Versicherungsgesellschaft"/>
    <s v="Versicherungsprämie"/>
    <s v="Haftpflichtversicherung"/>
    <n v="-80"/>
    <s v="EUR"/>
    <x v="3"/>
    <x v="6"/>
    <x v="1"/>
    <n v="80"/>
    <x v="1"/>
  </r>
  <r>
    <d v="2016-07-16T00:00:00"/>
    <s v="Bäckerei"/>
    <s v="Lebensmittel-Einkauf"/>
    <s v="Brot und Gebäck"/>
    <n v="-30"/>
    <s v="EUR"/>
    <x v="4"/>
    <x v="6"/>
    <x v="1"/>
    <n v="30"/>
    <x v="1"/>
  </r>
  <r>
    <d v="2016-07-17T00:00:00"/>
    <s v="Arbeitgeber"/>
    <s v="Gutschrift"/>
    <s v="Lohn"/>
    <n v="1000"/>
    <s v="EUR"/>
    <x v="0"/>
    <x v="6"/>
    <x v="1"/>
    <n v="1000"/>
    <x v="0"/>
  </r>
  <r>
    <d v="2016-07-18T00:00:00"/>
    <s v="Netflix"/>
    <s v="Abonnement"/>
    <s v="Streaming-Dienst"/>
    <n v="-15"/>
    <s v="EUR"/>
    <x v="1"/>
    <x v="6"/>
    <x v="1"/>
    <n v="15"/>
    <x v="1"/>
  </r>
  <r>
    <d v="2016-07-19T00:00:00"/>
    <s v="Autohändler"/>
    <s v="KFZ-Zahlung"/>
    <s v="Auto-Rate"/>
    <n v="-350"/>
    <s v="EUR"/>
    <x v="2"/>
    <x v="6"/>
    <x v="1"/>
    <n v="350"/>
    <x v="1"/>
  </r>
  <r>
    <d v="2016-07-20T00:00:00"/>
    <s v="Versicherungsgesellschaft"/>
    <s v="Versicherungsprämie"/>
    <s v="Kfz-Versicherung"/>
    <n v="-120"/>
    <s v="EUR"/>
    <x v="3"/>
    <x v="6"/>
    <x v="1"/>
    <n v="120"/>
    <x v="1"/>
  </r>
  <r>
    <d v="2016-07-21T00:00:00"/>
    <s v="Supermarkt"/>
    <s v="Lebensmittel-Einkauf"/>
    <s v="Wochenendeinkauf"/>
    <n v="-80"/>
    <s v="EUR"/>
    <x v="4"/>
    <x v="6"/>
    <x v="1"/>
    <n v="80"/>
    <x v="1"/>
  </r>
  <r>
    <d v="2016-07-22T00:00:00"/>
    <s v="Arbeitgeber"/>
    <s v="Gutschrift"/>
    <s v="Lohn"/>
    <n v="1000"/>
    <s v="EUR"/>
    <x v="0"/>
    <x v="6"/>
    <x v="1"/>
    <n v="1000"/>
    <x v="0"/>
  </r>
  <r>
    <d v="2016-07-23T00:00:00"/>
    <s v="Spotify"/>
    <s v="Abonnement"/>
    <s v="Music-Streaming"/>
    <n v="-10"/>
    <s v="EUR"/>
    <x v="1"/>
    <x v="6"/>
    <x v="1"/>
    <n v="10"/>
    <x v="1"/>
  </r>
  <r>
    <d v="2016-07-24T00:00:00"/>
    <s v="Tankstelle"/>
    <s v="Kraftstoff"/>
    <s v="Auto-Tankfüllung"/>
    <n v="-65"/>
    <s v="EUR"/>
    <x v="2"/>
    <x v="6"/>
    <x v="1"/>
    <n v="65"/>
    <x v="1"/>
  </r>
  <r>
    <d v="2016-07-25T00:00:00"/>
    <s v="Versicherungsgesellschaft"/>
    <s v="Versicherungsprämie"/>
    <s v="Haftpflichtversicherung"/>
    <n v="-80"/>
    <s v="EUR"/>
    <x v="3"/>
    <x v="6"/>
    <x v="1"/>
    <n v="80"/>
    <x v="1"/>
  </r>
  <r>
    <d v="2016-07-26T00:00:00"/>
    <s v="Bäckerei"/>
    <s v="Lebensmittel-Einkauf"/>
    <s v="Brot und Gebäck"/>
    <n v="-35"/>
    <s v="EUR"/>
    <x v="4"/>
    <x v="6"/>
    <x v="1"/>
    <n v="35"/>
    <x v="1"/>
  </r>
  <r>
    <d v="2016-07-27T00:00:00"/>
    <s v="Arbeitgeber"/>
    <s v="Gutschrift"/>
    <s v="Lohn"/>
    <n v="1000"/>
    <s v="EUR"/>
    <x v="0"/>
    <x v="6"/>
    <x v="1"/>
    <n v="1000"/>
    <x v="0"/>
  </r>
  <r>
    <d v="2016-07-28T00:00:00"/>
    <s v="Arbeitgeber"/>
    <s v="Gutschrift"/>
    <s v="Lohn"/>
    <n v="1000"/>
    <s v="EUR"/>
    <x v="0"/>
    <x v="6"/>
    <x v="1"/>
    <n v="1000"/>
    <x v="0"/>
  </r>
  <r>
    <d v="2016-07-29T00:00:00"/>
    <s v="Netflix"/>
    <s v="Abonnement"/>
    <s v="Streaming-Dienst"/>
    <n v="-15"/>
    <s v="EUR"/>
    <x v="1"/>
    <x v="6"/>
    <x v="1"/>
    <n v="15"/>
    <x v="1"/>
  </r>
  <r>
    <d v="2016-07-30T00:00:00"/>
    <s v="Autohändler"/>
    <s v="KFZ-Zahlung"/>
    <s v="Auto-Rate"/>
    <n v="-350"/>
    <s v="EUR"/>
    <x v="2"/>
    <x v="6"/>
    <x v="1"/>
    <n v="350"/>
    <x v="1"/>
  </r>
  <r>
    <d v="2016-07-31T00:00:00"/>
    <s v="Versicherungsgesellschaft"/>
    <s v="Versicherungsprämie"/>
    <s v="Kfz-Versicherung"/>
    <n v="-120"/>
    <s v="EUR"/>
    <x v="3"/>
    <x v="6"/>
    <x v="1"/>
    <n v="120"/>
    <x v="1"/>
  </r>
  <r>
    <d v="2016-08-01T00:00:00"/>
    <s v="Supermarkt"/>
    <s v="Lebensmittel-Einkauf"/>
    <s v="Wochenendeinkauf"/>
    <n v="-50"/>
    <s v="EUR"/>
    <x v="4"/>
    <x v="7"/>
    <x v="1"/>
    <n v="50"/>
    <x v="1"/>
  </r>
  <r>
    <d v="2016-08-02T00:00:00"/>
    <s v="Arbeitgeber"/>
    <s v="Gutschrift"/>
    <s v="Lohn"/>
    <n v="1000"/>
    <s v="EUR"/>
    <x v="0"/>
    <x v="7"/>
    <x v="1"/>
    <n v="1000"/>
    <x v="0"/>
  </r>
  <r>
    <d v="2016-08-03T00:00:00"/>
    <s v="Spotify"/>
    <s v="Abonnement"/>
    <s v="Music-Streaming"/>
    <n v="-10"/>
    <s v="EUR"/>
    <x v="1"/>
    <x v="7"/>
    <x v="1"/>
    <n v="10"/>
    <x v="1"/>
  </r>
  <r>
    <d v="2016-08-04T00:00:00"/>
    <s v="Tankstelle"/>
    <s v="Kraftstoff"/>
    <s v="Auto-Tankfüllung"/>
    <n v="-60"/>
    <s v="EUR"/>
    <x v="2"/>
    <x v="7"/>
    <x v="1"/>
    <n v="60"/>
    <x v="1"/>
  </r>
  <r>
    <d v="2016-08-05T00:00:00"/>
    <s v="Versicherungsgesellschaft"/>
    <s v="Versicherungsprämie"/>
    <s v="Haftpflichtversicherung"/>
    <n v="-80"/>
    <s v="EUR"/>
    <x v="3"/>
    <x v="7"/>
    <x v="1"/>
    <n v="80"/>
    <x v="1"/>
  </r>
  <r>
    <d v="2016-08-06T00:00:00"/>
    <s v="Bäckerei"/>
    <s v="Lebensmittel-Einkauf"/>
    <s v="Brot und Gebäck"/>
    <n v="-20"/>
    <s v="EUR"/>
    <x v="4"/>
    <x v="7"/>
    <x v="1"/>
    <n v="20"/>
    <x v="1"/>
  </r>
  <r>
    <d v="2016-08-07T00:00:00"/>
    <s v="Arbeitgeber"/>
    <s v="Gutschrift"/>
    <s v="Lohn"/>
    <n v="1000"/>
    <s v="EUR"/>
    <x v="0"/>
    <x v="7"/>
    <x v="1"/>
    <n v="1000"/>
    <x v="0"/>
  </r>
  <r>
    <d v="2016-08-08T00:00:00"/>
    <s v="Netflix"/>
    <s v="Abonnement"/>
    <s v="Streaming-Dienst"/>
    <n v="-15"/>
    <s v="EUR"/>
    <x v="1"/>
    <x v="7"/>
    <x v="1"/>
    <n v="15"/>
    <x v="1"/>
  </r>
  <r>
    <d v="2016-08-09T00:00:00"/>
    <s v="Autohändler"/>
    <s v="KFZ-Zahlung"/>
    <s v="Auto-Rate"/>
    <n v="-350"/>
    <s v="EUR"/>
    <x v="2"/>
    <x v="7"/>
    <x v="1"/>
    <n v="350"/>
    <x v="1"/>
  </r>
  <r>
    <d v="2016-08-10T00:00:00"/>
    <s v="Versicherungsgesellschaft"/>
    <s v="Versicherungsprämie"/>
    <s v="Kfz-Versicherung"/>
    <n v="-120"/>
    <s v="EUR"/>
    <x v="3"/>
    <x v="7"/>
    <x v="1"/>
    <n v="120"/>
    <x v="1"/>
  </r>
  <r>
    <d v="2016-08-11T00:00:00"/>
    <s v="Supermarkt"/>
    <s v="Lebensmittel-Einkauf"/>
    <s v="Wochenendeinkauf"/>
    <n v="-60"/>
    <s v="EUR"/>
    <x v="4"/>
    <x v="7"/>
    <x v="1"/>
    <n v="60"/>
    <x v="1"/>
  </r>
  <r>
    <d v="2016-08-12T00:00:00"/>
    <s v="Arbeitgeber"/>
    <s v="Gutschrift"/>
    <s v="Lohn"/>
    <n v="1000"/>
    <s v="EUR"/>
    <x v="0"/>
    <x v="7"/>
    <x v="1"/>
    <n v="1000"/>
    <x v="0"/>
  </r>
  <r>
    <d v="2016-08-13T00:00:00"/>
    <s v="Spotify"/>
    <s v="Abonnement"/>
    <s v="Music-Streaming"/>
    <n v="-10"/>
    <s v="EUR"/>
    <x v="1"/>
    <x v="7"/>
    <x v="1"/>
    <n v="10"/>
    <x v="1"/>
  </r>
  <r>
    <d v="2016-08-14T00:00:00"/>
    <s v="Tankstelle"/>
    <s v="Kraftstoff"/>
    <s v="Auto-Tankfüllung"/>
    <n v="-70"/>
    <s v="EUR"/>
    <x v="2"/>
    <x v="7"/>
    <x v="1"/>
    <n v="70"/>
    <x v="1"/>
  </r>
  <r>
    <d v="2016-08-15T00:00:00"/>
    <s v="Versicherungsgesellschaft"/>
    <s v="Versicherungsprämie"/>
    <s v="Haftpflichtversicherung"/>
    <n v="-80"/>
    <s v="EUR"/>
    <x v="3"/>
    <x v="7"/>
    <x v="1"/>
    <n v="80"/>
    <x v="1"/>
  </r>
  <r>
    <d v="2016-08-16T00:00:00"/>
    <s v="Bäckerei"/>
    <s v="Lebensmittel-Einkauf"/>
    <s v="Brot und Gebäck"/>
    <n v="-25"/>
    <s v="EUR"/>
    <x v="4"/>
    <x v="7"/>
    <x v="1"/>
    <n v="25"/>
    <x v="1"/>
  </r>
  <r>
    <d v="2016-08-17T00:00:00"/>
    <s v="Arbeitgeber"/>
    <s v="Gutschrift"/>
    <s v="Lohn"/>
    <n v="1000"/>
    <s v="EUR"/>
    <x v="0"/>
    <x v="7"/>
    <x v="1"/>
    <n v="1000"/>
    <x v="0"/>
  </r>
  <r>
    <d v="2016-08-18T00:00:00"/>
    <s v="Netflix"/>
    <s v="Abonnement"/>
    <s v="Streaming-Dienst"/>
    <n v="-15"/>
    <s v="EUR"/>
    <x v="1"/>
    <x v="7"/>
    <x v="1"/>
    <n v="15"/>
    <x v="1"/>
  </r>
  <r>
    <d v="2016-08-19T00:00:00"/>
    <s v="Autohändler"/>
    <s v="KFZ-Zahlung"/>
    <s v="Auto-Rate"/>
    <n v="-350"/>
    <s v="EUR"/>
    <x v="2"/>
    <x v="7"/>
    <x v="1"/>
    <n v="350"/>
    <x v="1"/>
  </r>
  <r>
    <d v="2016-08-20T00:00:00"/>
    <s v="Versicherungsgesellschaft"/>
    <s v="Versicherungsprämie"/>
    <s v="Kfz-Versicherung"/>
    <n v="-120"/>
    <s v="EUR"/>
    <x v="3"/>
    <x v="7"/>
    <x v="1"/>
    <n v="120"/>
    <x v="1"/>
  </r>
  <r>
    <d v="2016-08-21T00:00:00"/>
    <s v="Supermarkt"/>
    <s v="Lebensmittel-Einkauf"/>
    <s v="Wochenendeinkauf"/>
    <n v="-70"/>
    <s v="EUR"/>
    <x v="4"/>
    <x v="7"/>
    <x v="1"/>
    <n v="70"/>
    <x v="1"/>
  </r>
  <r>
    <d v="2016-08-22T00:00:00"/>
    <s v="Arbeitgeber"/>
    <s v="Gutschrift"/>
    <s v="Lohn"/>
    <n v="1000"/>
    <s v="EUR"/>
    <x v="0"/>
    <x v="7"/>
    <x v="1"/>
    <n v="1000"/>
    <x v="0"/>
  </r>
  <r>
    <d v="2016-08-23T00:00:00"/>
    <s v="Spotify"/>
    <s v="Abonnement"/>
    <s v="Music-Streaming"/>
    <n v="-10"/>
    <s v="EUR"/>
    <x v="1"/>
    <x v="7"/>
    <x v="1"/>
    <n v="10"/>
    <x v="1"/>
  </r>
  <r>
    <d v="2016-08-24T00:00:00"/>
    <s v="Tankstelle"/>
    <s v="Kraftstoff"/>
    <s v="Auto-Tankfüllung"/>
    <n v="-60"/>
    <s v="EUR"/>
    <x v="2"/>
    <x v="7"/>
    <x v="1"/>
    <n v="60"/>
    <x v="1"/>
  </r>
  <r>
    <d v="2016-08-25T00:00:00"/>
    <s v="Versicherungsgesellschaft"/>
    <s v="Versicherungsprämie"/>
    <s v="Haftpflichtversicherung"/>
    <n v="-80"/>
    <s v="EUR"/>
    <x v="3"/>
    <x v="7"/>
    <x v="1"/>
    <n v="80"/>
    <x v="1"/>
  </r>
  <r>
    <d v="2016-08-26T00:00:00"/>
    <s v="Bäckerei"/>
    <s v="Lebensmittel-Einkauf"/>
    <s v="Brot und Gebäck"/>
    <n v="-30"/>
    <s v="EUR"/>
    <x v="4"/>
    <x v="7"/>
    <x v="1"/>
    <n v="30"/>
    <x v="1"/>
  </r>
  <r>
    <d v="2016-08-27T00:00:00"/>
    <s v="Arbeitgeber"/>
    <s v="Gutschrift"/>
    <s v="Lohn"/>
    <n v="1000"/>
    <s v="EUR"/>
    <x v="0"/>
    <x v="7"/>
    <x v="1"/>
    <n v="1000"/>
    <x v="0"/>
  </r>
  <r>
    <d v="2016-08-28T00:00:00"/>
    <s v="Netflix"/>
    <s v="Abonnement"/>
    <s v="Streaming-Dienst"/>
    <n v="-15"/>
    <s v="EUR"/>
    <x v="1"/>
    <x v="7"/>
    <x v="1"/>
    <n v="15"/>
    <x v="1"/>
  </r>
  <r>
    <d v="2016-08-29T00:00:00"/>
    <s v="Autohändler"/>
    <s v="KFZ-Zahlung"/>
    <s v="Auto-Rate"/>
    <n v="-350"/>
    <s v="EUR"/>
    <x v="2"/>
    <x v="7"/>
    <x v="1"/>
    <n v="350"/>
    <x v="1"/>
  </r>
  <r>
    <d v="2016-08-30T00:00:00"/>
    <s v="Versicherungsgesellschaft"/>
    <s v="Versicherungsprämie"/>
    <s v="Kfz-Versicherung"/>
    <n v="-120"/>
    <s v="EUR"/>
    <x v="3"/>
    <x v="7"/>
    <x v="1"/>
    <n v="120"/>
    <x v="1"/>
  </r>
  <r>
    <d v="2016-08-31T00:00:00"/>
    <s v="Supermarkt"/>
    <s v="Lebensmittel-Einkauf"/>
    <s v="Wochenendeinkauf"/>
    <n v="-80"/>
    <s v="EUR"/>
    <x v="4"/>
    <x v="7"/>
    <x v="1"/>
    <n v="80"/>
    <x v="1"/>
  </r>
  <r>
    <d v="2016-09-01T00:00:00"/>
    <s v="Arbeitgeber"/>
    <s v="Gutschrift"/>
    <s v="Lohn"/>
    <n v="1000"/>
    <s v="EUR"/>
    <x v="0"/>
    <x v="8"/>
    <x v="1"/>
    <n v="1000"/>
    <x v="0"/>
  </r>
  <r>
    <d v="2016-09-02T00:00:00"/>
    <s v="Spotify"/>
    <s v="Abonnement"/>
    <s v="Music-Streaming"/>
    <n v="-10"/>
    <s v="EUR"/>
    <x v="1"/>
    <x v="8"/>
    <x v="1"/>
    <n v="10"/>
    <x v="1"/>
  </r>
  <r>
    <d v="2016-09-03T00:00:00"/>
    <s v="Tankstelle"/>
    <s v="Kraftstoff"/>
    <s v="Auto-Tankfüllung"/>
    <n v="-65"/>
    <s v="EUR"/>
    <x v="2"/>
    <x v="8"/>
    <x v="1"/>
    <n v="65"/>
    <x v="1"/>
  </r>
  <r>
    <d v="2016-09-04T00:00:00"/>
    <s v="Versicherungsgesellschaft"/>
    <s v="Versicherungsprämie"/>
    <s v="Haftpflichtversicherung"/>
    <n v="-80"/>
    <s v="EUR"/>
    <x v="3"/>
    <x v="8"/>
    <x v="1"/>
    <n v="80"/>
    <x v="1"/>
  </r>
  <r>
    <d v="2016-09-05T00:00:00"/>
    <s v="Bäckerei"/>
    <s v="Lebensmittel-Einkauf"/>
    <s v="Brot und Gebäck"/>
    <n v="-35"/>
    <s v="EUR"/>
    <x v="4"/>
    <x v="8"/>
    <x v="1"/>
    <n v="35"/>
    <x v="1"/>
  </r>
  <r>
    <d v="2016-09-06T00:00:00"/>
    <s v="Arbeitgeber"/>
    <s v="Gutschrift"/>
    <s v="Lohn"/>
    <n v="1000"/>
    <s v="EUR"/>
    <x v="0"/>
    <x v="8"/>
    <x v="1"/>
    <n v="1000"/>
    <x v="0"/>
  </r>
  <r>
    <d v="2016-09-07T00:00:00"/>
    <s v="Arbeitgeber"/>
    <s v="Gutschrift"/>
    <s v="Lohn"/>
    <n v="1000"/>
    <s v="EUR"/>
    <x v="0"/>
    <x v="8"/>
    <x v="1"/>
    <n v="1000"/>
    <x v="0"/>
  </r>
  <r>
    <d v="2016-09-08T00:00:00"/>
    <s v="Netflix"/>
    <s v="Abonnement"/>
    <s v="Streaming-Dienst"/>
    <n v="-15"/>
    <s v="EUR"/>
    <x v="1"/>
    <x v="8"/>
    <x v="1"/>
    <n v="15"/>
    <x v="1"/>
  </r>
  <r>
    <d v="2016-09-09T00:00:00"/>
    <s v="Autohändler"/>
    <s v="KFZ-Zahlung"/>
    <s v="Auto-Rate"/>
    <n v="-350"/>
    <s v="EUR"/>
    <x v="2"/>
    <x v="8"/>
    <x v="1"/>
    <n v="350"/>
    <x v="1"/>
  </r>
  <r>
    <d v="2016-09-10T00:00:00"/>
    <s v="Versicherungsgesellschaft"/>
    <s v="Versicherungsprämie"/>
    <s v="Kfz-Versicherung"/>
    <n v="-120"/>
    <s v="EUR"/>
    <x v="3"/>
    <x v="8"/>
    <x v="1"/>
    <n v="120"/>
    <x v="1"/>
  </r>
  <r>
    <d v="2016-09-11T00:00:00"/>
    <s v="Supermarkt"/>
    <s v="Lebensmittel-Einkauf"/>
    <s v="Wochenendeinkauf"/>
    <n v="-50"/>
    <s v="EUR"/>
    <x v="4"/>
    <x v="8"/>
    <x v="1"/>
    <n v="50"/>
    <x v="1"/>
  </r>
  <r>
    <d v="2016-09-12T00:00:00"/>
    <s v="Arbeitgeber"/>
    <s v="Gutschrift"/>
    <s v="Lohn"/>
    <n v="1000"/>
    <s v="EUR"/>
    <x v="0"/>
    <x v="8"/>
    <x v="1"/>
    <n v="1000"/>
    <x v="0"/>
  </r>
  <r>
    <d v="2016-09-13T00:00:00"/>
    <s v="Spotify"/>
    <s v="Abonnement"/>
    <s v="Music-Streaming"/>
    <n v="-10"/>
    <s v="EUR"/>
    <x v="1"/>
    <x v="8"/>
    <x v="1"/>
    <n v="10"/>
    <x v="1"/>
  </r>
  <r>
    <d v="2016-09-14T00:00:00"/>
    <s v="Tankstelle"/>
    <s v="Kraftstoff"/>
    <s v="Auto-Tankfüllung"/>
    <n v="-60"/>
    <s v="EUR"/>
    <x v="2"/>
    <x v="8"/>
    <x v="1"/>
    <n v="60"/>
    <x v="1"/>
  </r>
  <r>
    <d v="2016-09-15T00:00:00"/>
    <s v="Versicherungsgesellschaft"/>
    <s v="Versicherungsprämie"/>
    <s v="Haftpflichtversicherung"/>
    <n v="-80"/>
    <s v="EUR"/>
    <x v="3"/>
    <x v="8"/>
    <x v="1"/>
    <n v="80"/>
    <x v="1"/>
  </r>
  <r>
    <d v="2016-09-16T00:00:00"/>
    <s v="Bäckerei"/>
    <s v="Lebensmittel-Einkauf"/>
    <s v="Brot und Gebäck"/>
    <n v="-20"/>
    <s v="EUR"/>
    <x v="4"/>
    <x v="8"/>
    <x v="1"/>
    <n v="20"/>
    <x v="1"/>
  </r>
  <r>
    <d v="2016-09-17T00:00:00"/>
    <s v="Arbeitgeber"/>
    <s v="Gutschrift"/>
    <s v="Lohn"/>
    <n v="1000"/>
    <s v="EUR"/>
    <x v="0"/>
    <x v="8"/>
    <x v="1"/>
    <n v="1000"/>
    <x v="0"/>
  </r>
  <r>
    <d v="2016-09-18T00:00:00"/>
    <s v="Netflix"/>
    <s v="Abonnement"/>
    <s v="Streaming-Dienst"/>
    <n v="-15"/>
    <s v="EUR"/>
    <x v="1"/>
    <x v="8"/>
    <x v="1"/>
    <n v="15"/>
    <x v="1"/>
  </r>
  <r>
    <d v="2016-09-19T00:00:00"/>
    <s v="Autohändler"/>
    <s v="KFZ-Zahlung"/>
    <s v="Auto-Rate"/>
    <n v="-350"/>
    <s v="EUR"/>
    <x v="2"/>
    <x v="8"/>
    <x v="1"/>
    <n v="350"/>
    <x v="1"/>
  </r>
  <r>
    <d v="2016-09-20T00:00:00"/>
    <s v="Versicherungsgesellschaft"/>
    <s v="Versicherungsprämie"/>
    <s v="Kfz-Versicherung"/>
    <n v="-120"/>
    <s v="EUR"/>
    <x v="3"/>
    <x v="8"/>
    <x v="1"/>
    <n v="120"/>
    <x v="1"/>
  </r>
  <r>
    <d v="2016-09-21T00:00:00"/>
    <s v="Supermarkt"/>
    <s v="Lebensmittel-Einkauf"/>
    <s v="Wochenendeinkauf"/>
    <n v="-60"/>
    <s v="EUR"/>
    <x v="4"/>
    <x v="8"/>
    <x v="1"/>
    <n v="60"/>
    <x v="1"/>
  </r>
  <r>
    <d v="2016-09-22T00:00:00"/>
    <s v="Arbeitgeber"/>
    <s v="Gutschrift"/>
    <s v="Lohn"/>
    <n v="1000"/>
    <s v="EUR"/>
    <x v="0"/>
    <x v="8"/>
    <x v="1"/>
    <n v="1000"/>
    <x v="0"/>
  </r>
  <r>
    <d v="2016-09-23T00:00:00"/>
    <s v="Spotify"/>
    <s v="Abonnement"/>
    <s v="Music-Streaming"/>
    <n v="-10"/>
    <s v="EUR"/>
    <x v="1"/>
    <x v="8"/>
    <x v="1"/>
    <n v="10"/>
    <x v="1"/>
  </r>
  <r>
    <d v="2016-09-24T00:00:00"/>
    <s v="Tankstelle"/>
    <s v="Kraftstoff"/>
    <s v="Auto-Tankfüllung"/>
    <n v="-70"/>
    <s v="EUR"/>
    <x v="2"/>
    <x v="8"/>
    <x v="1"/>
    <n v="70"/>
    <x v="1"/>
  </r>
  <r>
    <d v="2016-09-25T00:00:00"/>
    <s v="Versicherungsgesellschaft"/>
    <s v="Versicherungsprämie"/>
    <s v="Haftpflichtversicherung"/>
    <n v="-80"/>
    <s v="EUR"/>
    <x v="3"/>
    <x v="8"/>
    <x v="1"/>
    <n v="80"/>
    <x v="1"/>
  </r>
  <r>
    <d v="2016-09-26T00:00:00"/>
    <s v="Bäckerei"/>
    <s v="Lebensmittel-Einkauf"/>
    <s v="Brot und Gebäck"/>
    <n v="-25"/>
    <s v="EUR"/>
    <x v="4"/>
    <x v="8"/>
    <x v="1"/>
    <n v="25"/>
    <x v="1"/>
  </r>
  <r>
    <d v="2016-09-27T00:00:00"/>
    <s v="Arbeitgeber"/>
    <s v="Gutschrift"/>
    <s v="Lohn"/>
    <n v="1000"/>
    <s v="EUR"/>
    <x v="0"/>
    <x v="8"/>
    <x v="1"/>
    <n v="1000"/>
    <x v="0"/>
  </r>
  <r>
    <d v="2016-09-28T00:00:00"/>
    <s v="Netflix"/>
    <s v="Abonnement"/>
    <s v="Streaming-Dienst"/>
    <n v="-15"/>
    <s v="EUR"/>
    <x v="1"/>
    <x v="8"/>
    <x v="1"/>
    <n v="15"/>
    <x v="1"/>
  </r>
  <r>
    <d v="2016-09-29T00:00:00"/>
    <s v="Autohändler"/>
    <s v="KFZ-Zahlung"/>
    <s v="Auto-Rate"/>
    <n v="-350"/>
    <s v="EUR"/>
    <x v="2"/>
    <x v="8"/>
    <x v="1"/>
    <n v="350"/>
    <x v="1"/>
  </r>
  <r>
    <d v="2016-09-30T00:00:00"/>
    <s v="Versicherungsgesellschaft"/>
    <s v="Versicherungsprämie"/>
    <s v="Kfz-Versicherung"/>
    <n v="-120"/>
    <s v="EUR"/>
    <x v="3"/>
    <x v="8"/>
    <x v="1"/>
    <n v="120"/>
    <x v="1"/>
  </r>
  <r>
    <d v="2016-10-01T00:00:00"/>
    <s v="Supermarkt"/>
    <s v="Lebensmittel-Einkauf"/>
    <s v="Wochenendeinkauf"/>
    <n v="-70"/>
    <s v="EUR"/>
    <x v="4"/>
    <x v="9"/>
    <x v="1"/>
    <n v="70"/>
    <x v="1"/>
  </r>
  <r>
    <d v="2016-10-02T00:00:00"/>
    <s v="Arbeitgeber"/>
    <s v="Gutschrift"/>
    <s v="Lohn"/>
    <n v="1000"/>
    <s v="EUR"/>
    <x v="0"/>
    <x v="9"/>
    <x v="1"/>
    <n v="1000"/>
    <x v="0"/>
  </r>
  <r>
    <d v="2016-10-03T00:00:00"/>
    <s v="Spotify"/>
    <s v="Abonnement"/>
    <s v="Music-Streaming"/>
    <n v="-10"/>
    <s v="EUR"/>
    <x v="1"/>
    <x v="9"/>
    <x v="1"/>
    <n v="10"/>
    <x v="1"/>
  </r>
  <r>
    <d v="2016-10-04T00:00:00"/>
    <s v="Tankstelle"/>
    <s v="Kraftstoff"/>
    <s v="Auto-Tankfüllung"/>
    <n v="-60"/>
    <s v="EUR"/>
    <x v="2"/>
    <x v="9"/>
    <x v="1"/>
    <n v="60"/>
    <x v="1"/>
  </r>
  <r>
    <d v="2016-10-05T00:00:00"/>
    <s v="Versicherungsgesellschaft"/>
    <s v="Versicherungsprämie"/>
    <s v="Haftpflichtversicherung"/>
    <n v="-80"/>
    <s v="EUR"/>
    <x v="3"/>
    <x v="9"/>
    <x v="1"/>
    <n v="80"/>
    <x v="1"/>
  </r>
  <r>
    <d v="2016-10-06T00:00:00"/>
    <s v="Bäckerei"/>
    <s v="Lebensmittel-Einkauf"/>
    <s v="Brot und Gebäck"/>
    <n v="-30"/>
    <s v="EUR"/>
    <x v="4"/>
    <x v="9"/>
    <x v="1"/>
    <n v="30"/>
    <x v="1"/>
  </r>
  <r>
    <d v="2016-10-07T00:00:00"/>
    <s v="Arbeitgeber"/>
    <s v="Gutschrift"/>
    <s v="Lohn"/>
    <n v="1000"/>
    <s v="EUR"/>
    <x v="0"/>
    <x v="9"/>
    <x v="1"/>
    <n v="1000"/>
    <x v="0"/>
  </r>
  <r>
    <d v="2016-10-08T00:00:00"/>
    <s v="Netflix"/>
    <s v="Abonnement"/>
    <s v="Streaming-Dienst"/>
    <n v="-15"/>
    <s v="EUR"/>
    <x v="1"/>
    <x v="9"/>
    <x v="1"/>
    <n v="15"/>
    <x v="1"/>
  </r>
  <r>
    <d v="2016-10-09T00:00:00"/>
    <s v="Autohändler"/>
    <s v="KFZ-Zahlung"/>
    <s v="Auto-Rate"/>
    <n v="-350"/>
    <s v="EUR"/>
    <x v="2"/>
    <x v="9"/>
    <x v="1"/>
    <n v="350"/>
    <x v="1"/>
  </r>
  <r>
    <d v="2016-10-10T00:00:00"/>
    <s v="Versicherungsgesellschaft"/>
    <s v="Versicherungsprämie"/>
    <s v="Kfz-Versicherung"/>
    <n v="-120"/>
    <s v="EUR"/>
    <x v="3"/>
    <x v="9"/>
    <x v="1"/>
    <n v="120"/>
    <x v="1"/>
  </r>
  <r>
    <d v="2016-10-11T00:00:00"/>
    <s v="Supermarkt"/>
    <s v="Lebensmittel-Einkauf"/>
    <s v="Wochenendeinkauf"/>
    <n v="-80"/>
    <s v="EUR"/>
    <x v="4"/>
    <x v="9"/>
    <x v="1"/>
    <n v="80"/>
    <x v="1"/>
  </r>
  <r>
    <d v="2016-10-12T00:00:00"/>
    <s v="Arbeitgeber"/>
    <s v="Gutschrift"/>
    <s v="Lohn"/>
    <n v="1000"/>
    <s v="EUR"/>
    <x v="0"/>
    <x v="9"/>
    <x v="1"/>
    <n v="1000"/>
    <x v="0"/>
  </r>
  <r>
    <d v="2016-10-13T00:00:00"/>
    <s v="Spotify"/>
    <s v="Abonnement"/>
    <s v="Music-Streaming"/>
    <n v="-10"/>
    <s v="EUR"/>
    <x v="1"/>
    <x v="9"/>
    <x v="1"/>
    <n v="10"/>
    <x v="1"/>
  </r>
  <r>
    <d v="2016-10-14T00:00:00"/>
    <s v="Tankstelle"/>
    <s v="Kraftstoff"/>
    <s v="Auto-Tankfüllung"/>
    <n v="-65"/>
    <s v="EUR"/>
    <x v="2"/>
    <x v="9"/>
    <x v="1"/>
    <n v="65"/>
    <x v="1"/>
  </r>
  <r>
    <d v="2016-10-15T00:00:00"/>
    <s v="Versicherungsgesellschaft"/>
    <s v="Versicherungsprämie"/>
    <s v="Haftpflichtversicherung"/>
    <n v="-80"/>
    <s v="EUR"/>
    <x v="3"/>
    <x v="9"/>
    <x v="1"/>
    <n v="80"/>
    <x v="1"/>
  </r>
  <r>
    <d v="2016-10-16T00:00:00"/>
    <s v="Bäckerei"/>
    <s v="Lebensmittel-Einkauf"/>
    <s v="Brot und Gebäck"/>
    <n v="-35"/>
    <s v="EUR"/>
    <x v="4"/>
    <x v="9"/>
    <x v="1"/>
    <n v="35"/>
    <x v="1"/>
  </r>
  <r>
    <d v="2016-10-17T00:00:00"/>
    <s v="Arbeitgeber"/>
    <s v="Gutschrift"/>
    <s v="Lohn"/>
    <n v="1000"/>
    <s v="EUR"/>
    <x v="0"/>
    <x v="9"/>
    <x v="1"/>
    <n v="1000"/>
    <x v="0"/>
  </r>
  <r>
    <d v="2016-10-18T00:00:00"/>
    <s v="Arbeitgeber"/>
    <s v="Gutschrift"/>
    <s v="Lohn"/>
    <n v="1000"/>
    <s v="EUR"/>
    <x v="0"/>
    <x v="9"/>
    <x v="1"/>
    <n v="1000"/>
    <x v="0"/>
  </r>
  <r>
    <d v="2016-10-19T00:00:00"/>
    <s v="Netflix"/>
    <s v="Abonnement"/>
    <s v="Streaming-Dienst"/>
    <n v="-15"/>
    <s v="EUR"/>
    <x v="1"/>
    <x v="9"/>
    <x v="1"/>
    <n v="15"/>
    <x v="1"/>
  </r>
  <r>
    <d v="2016-10-20T00:00:00"/>
    <s v="Autohändler"/>
    <s v="KFZ-Zahlung"/>
    <s v="Auto-Rate"/>
    <n v="-350"/>
    <s v="EUR"/>
    <x v="2"/>
    <x v="9"/>
    <x v="1"/>
    <n v="350"/>
    <x v="1"/>
  </r>
  <r>
    <d v="2016-10-21T00:00:00"/>
    <s v="Versicherungsgesellschaft"/>
    <s v="Versicherungsprämie"/>
    <s v="Kfz-Versicherung"/>
    <n v="-120"/>
    <s v="EUR"/>
    <x v="3"/>
    <x v="9"/>
    <x v="1"/>
    <n v="120"/>
    <x v="1"/>
  </r>
  <r>
    <d v="2016-10-22T00:00:00"/>
    <s v="Supermarkt"/>
    <s v="Lebensmittel-Einkauf"/>
    <s v="Wochenendeinkauf"/>
    <n v="-50"/>
    <s v="EUR"/>
    <x v="4"/>
    <x v="9"/>
    <x v="1"/>
    <n v="50"/>
    <x v="1"/>
  </r>
  <r>
    <d v="2016-10-23T00:00:00"/>
    <s v="Arbeitgeber"/>
    <s v="Gutschrift"/>
    <s v="Lohn"/>
    <n v="1000"/>
    <s v="EUR"/>
    <x v="0"/>
    <x v="9"/>
    <x v="1"/>
    <n v="1000"/>
    <x v="0"/>
  </r>
  <r>
    <d v="2016-10-24T00:00:00"/>
    <s v="Spotify"/>
    <s v="Abonnement"/>
    <s v="Music-Streaming"/>
    <n v="-10"/>
    <s v="EUR"/>
    <x v="1"/>
    <x v="9"/>
    <x v="1"/>
    <n v="10"/>
    <x v="1"/>
  </r>
  <r>
    <d v="2016-10-25T00:00:00"/>
    <s v="Tankstelle"/>
    <s v="Kraftstoff"/>
    <s v="Auto-Tankfüllung"/>
    <n v="-60"/>
    <s v="EUR"/>
    <x v="2"/>
    <x v="9"/>
    <x v="1"/>
    <n v="60"/>
    <x v="1"/>
  </r>
  <r>
    <d v="2016-10-26T00:00:00"/>
    <s v="Versicherungsgesellschaft"/>
    <s v="Versicherungsprämie"/>
    <s v="Haftpflichtversicherung"/>
    <n v="-80"/>
    <s v="EUR"/>
    <x v="3"/>
    <x v="9"/>
    <x v="1"/>
    <n v="80"/>
    <x v="1"/>
  </r>
  <r>
    <d v="2016-10-27T00:00:00"/>
    <s v="Bäckerei"/>
    <s v="Lebensmittel-Einkauf"/>
    <s v="Brot und Gebäck"/>
    <n v="-20"/>
    <s v="EUR"/>
    <x v="4"/>
    <x v="9"/>
    <x v="1"/>
    <n v="20"/>
    <x v="1"/>
  </r>
  <r>
    <d v="2016-10-28T00:00:00"/>
    <s v="Arbeitgeber"/>
    <s v="Gutschrift"/>
    <s v="Lohn"/>
    <n v="1000"/>
    <s v="EUR"/>
    <x v="0"/>
    <x v="9"/>
    <x v="1"/>
    <n v="1000"/>
    <x v="0"/>
  </r>
  <r>
    <d v="2016-10-29T00:00:00"/>
    <s v="Netflix"/>
    <s v="Abonnement"/>
    <s v="Streaming-Dienst"/>
    <n v="-15"/>
    <s v="EUR"/>
    <x v="1"/>
    <x v="9"/>
    <x v="1"/>
    <n v="15"/>
    <x v="1"/>
  </r>
  <r>
    <d v="2016-10-30T00:00:00"/>
    <s v="Autohändler"/>
    <s v="KFZ-Zahlung"/>
    <s v="Auto-Rate"/>
    <n v="-350"/>
    <s v="EUR"/>
    <x v="2"/>
    <x v="9"/>
    <x v="1"/>
    <n v="350"/>
    <x v="1"/>
  </r>
  <r>
    <d v="2016-10-31T00:00:00"/>
    <s v="Versicherungsgesellschaft"/>
    <s v="Versicherungsprämie"/>
    <s v="Kfz-Versicherung"/>
    <n v="-120"/>
    <s v="EUR"/>
    <x v="3"/>
    <x v="9"/>
    <x v="1"/>
    <n v="120"/>
    <x v="1"/>
  </r>
  <r>
    <d v="2016-11-01T00:00:00"/>
    <s v="Supermarkt"/>
    <s v="Lebensmittel-Einkauf"/>
    <s v="Wochenendeinkauf"/>
    <n v="-60"/>
    <s v="EUR"/>
    <x v="4"/>
    <x v="10"/>
    <x v="1"/>
    <n v="60"/>
    <x v="1"/>
  </r>
  <r>
    <d v="2016-11-02T00:00:00"/>
    <s v="Arbeitgeber"/>
    <s v="Gutschrift"/>
    <s v="Lohn"/>
    <n v="1000"/>
    <s v="EUR"/>
    <x v="0"/>
    <x v="10"/>
    <x v="1"/>
    <n v="1000"/>
    <x v="0"/>
  </r>
  <r>
    <d v="2016-11-03T00:00:00"/>
    <s v="Spotify"/>
    <s v="Abonnement"/>
    <s v="Music-Streaming"/>
    <n v="-10"/>
    <s v="EUR"/>
    <x v="1"/>
    <x v="10"/>
    <x v="1"/>
    <n v="10"/>
    <x v="1"/>
  </r>
  <r>
    <d v="2016-11-04T00:00:00"/>
    <s v="Tankstelle"/>
    <s v="Kraftstoff"/>
    <s v="Auto-Tankfüllung"/>
    <n v="-70"/>
    <s v="EUR"/>
    <x v="2"/>
    <x v="10"/>
    <x v="1"/>
    <n v="70"/>
    <x v="1"/>
  </r>
  <r>
    <d v="2016-11-05T00:00:00"/>
    <s v="Versicherungsgesellschaft"/>
    <s v="Versicherungsprämie"/>
    <s v="Haftpflichtversicherung"/>
    <n v="-80"/>
    <s v="EUR"/>
    <x v="3"/>
    <x v="10"/>
    <x v="1"/>
    <n v="80"/>
    <x v="1"/>
  </r>
  <r>
    <d v="2016-11-06T00:00:00"/>
    <s v="Bäckerei"/>
    <s v="Lebensmittel-Einkauf"/>
    <s v="Brot und Gebäck"/>
    <n v="-25"/>
    <s v="EUR"/>
    <x v="4"/>
    <x v="10"/>
    <x v="1"/>
    <n v="25"/>
    <x v="1"/>
  </r>
  <r>
    <d v="2016-11-07T00:00:00"/>
    <s v="Arbeitgeber"/>
    <s v="Gutschrift"/>
    <s v="Lohn"/>
    <n v="1000"/>
    <s v="EUR"/>
    <x v="0"/>
    <x v="10"/>
    <x v="1"/>
    <n v="1000"/>
    <x v="0"/>
  </r>
  <r>
    <d v="2016-11-08T00:00:00"/>
    <s v="Netflix"/>
    <s v="Abonnement"/>
    <s v="Streaming-Dienst"/>
    <n v="-15"/>
    <s v="EUR"/>
    <x v="1"/>
    <x v="10"/>
    <x v="1"/>
    <n v="15"/>
    <x v="1"/>
  </r>
  <r>
    <d v="2016-11-09T00:00:00"/>
    <s v="Autohändler"/>
    <s v="KFZ-Zahlung"/>
    <s v="Auto-Rate"/>
    <n v="-350"/>
    <s v="EUR"/>
    <x v="2"/>
    <x v="10"/>
    <x v="1"/>
    <n v="350"/>
    <x v="1"/>
  </r>
  <r>
    <d v="2016-11-10T00:00:00"/>
    <s v="Versicherungsgesellschaft"/>
    <s v="Versicherungsprämie"/>
    <s v="Kfz-Versicherung"/>
    <n v="-120"/>
    <s v="EUR"/>
    <x v="3"/>
    <x v="10"/>
    <x v="1"/>
    <n v="120"/>
    <x v="1"/>
  </r>
  <r>
    <d v="2016-11-11T00:00:00"/>
    <s v="Supermarkt"/>
    <s v="Lebensmittel-Einkauf"/>
    <s v="Wochenendeinkauf"/>
    <n v="-70"/>
    <s v="EUR"/>
    <x v="4"/>
    <x v="10"/>
    <x v="1"/>
    <n v="70"/>
    <x v="1"/>
  </r>
  <r>
    <d v="2016-11-12T00:00:00"/>
    <s v="Arbeitgeber"/>
    <s v="Gutschrift"/>
    <s v="Lohn"/>
    <n v="1000"/>
    <s v="EUR"/>
    <x v="0"/>
    <x v="10"/>
    <x v="1"/>
    <n v="1000"/>
    <x v="0"/>
  </r>
  <r>
    <d v="2016-11-13T00:00:00"/>
    <s v="Spotify"/>
    <s v="Abonnement"/>
    <s v="Music-Streaming"/>
    <n v="-10"/>
    <s v="EUR"/>
    <x v="1"/>
    <x v="10"/>
    <x v="1"/>
    <n v="10"/>
    <x v="1"/>
  </r>
  <r>
    <d v="2016-11-14T00:00:00"/>
    <s v="Tankstelle"/>
    <s v="Kraftstoff"/>
    <s v="Auto-Tankfüllung"/>
    <n v="-60"/>
    <s v="EUR"/>
    <x v="2"/>
    <x v="10"/>
    <x v="1"/>
    <n v="60"/>
    <x v="1"/>
  </r>
  <r>
    <d v="2016-11-15T00:00:00"/>
    <s v="Versicherungsgesellschaft"/>
    <s v="Versicherungsprämie"/>
    <s v="Haftpflichtversicherung"/>
    <n v="-80"/>
    <s v="EUR"/>
    <x v="3"/>
    <x v="10"/>
    <x v="1"/>
    <n v="80"/>
    <x v="1"/>
  </r>
  <r>
    <d v="2016-11-16T00:00:00"/>
    <s v="Bäckerei"/>
    <s v="Lebensmittel-Einkauf"/>
    <s v="Brot und Gebäck"/>
    <n v="-30"/>
    <s v="EUR"/>
    <x v="4"/>
    <x v="10"/>
    <x v="1"/>
    <n v="30"/>
    <x v="1"/>
  </r>
  <r>
    <d v="2016-11-17T00:00:00"/>
    <s v="Arbeitgeber"/>
    <s v="Gutschrift"/>
    <s v="Lohn"/>
    <n v="1000"/>
    <s v="EUR"/>
    <x v="0"/>
    <x v="10"/>
    <x v="1"/>
    <n v="1000"/>
    <x v="0"/>
  </r>
  <r>
    <d v="2016-11-18T00:00:00"/>
    <s v="Netflix"/>
    <s v="Abonnement"/>
    <s v="Streaming-Dienst"/>
    <n v="-15"/>
    <s v="EUR"/>
    <x v="1"/>
    <x v="10"/>
    <x v="1"/>
    <n v="15"/>
    <x v="1"/>
  </r>
  <r>
    <d v="2016-11-19T00:00:00"/>
    <s v="Autohändler"/>
    <s v="KFZ-Zahlung"/>
    <s v="Auto-Rate"/>
    <n v="-350"/>
    <s v="EUR"/>
    <x v="2"/>
    <x v="10"/>
    <x v="1"/>
    <n v="350"/>
    <x v="1"/>
  </r>
  <r>
    <d v="2016-11-20T00:00:00"/>
    <s v="Versicherungsgesellschaft"/>
    <s v="Versicherungsprämie"/>
    <s v="Kfz-Versicherung"/>
    <n v="-120"/>
    <s v="EUR"/>
    <x v="3"/>
    <x v="10"/>
    <x v="1"/>
    <n v="120"/>
    <x v="1"/>
  </r>
  <r>
    <d v="2016-11-21T00:00:00"/>
    <s v="Supermarkt"/>
    <s v="Lebensmittel-Einkauf"/>
    <s v="Wochenendeinkauf"/>
    <n v="-80"/>
    <s v="EUR"/>
    <x v="4"/>
    <x v="10"/>
    <x v="1"/>
    <n v="80"/>
    <x v="1"/>
  </r>
  <r>
    <d v="2016-11-22T00:00:00"/>
    <s v="Arbeitgeber"/>
    <s v="Gutschrift"/>
    <s v="Lohn"/>
    <n v="1000"/>
    <s v="EUR"/>
    <x v="0"/>
    <x v="10"/>
    <x v="1"/>
    <n v="1000"/>
    <x v="0"/>
  </r>
  <r>
    <d v="2016-11-23T00:00:00"/>
    <s v="Spotify"/>
    <s v="Abonnement"/>
    <s v="Music-Streaming"/>
    <n v="-10"/>
    <s v="EUR"/>
    <x v="1"/>
    <x v="10"/>
    <x v="1"/>
    <n v="10"/>
    <x v="1"/>
  </r>
  <r>
    <d v="2016-11-24T00:00:00"/>
    <s v="Tankstelle"/>
    <s v="Kraftstoff"/>
    <s v="Auto-Tankfüllung"/>
    <n v="-65"/>
    <s v="EUR"/>
    <x v="2"/>
    <x v="10"/>
    <x v="1"/>
    <n v="65"/>
    <x v="1"/>
  </r>
  <r>
    <d v="2016-11-25T00:00:00"/>
    <s v="Versicherungsgesellschaft"/>
    <s v="Versicherungsprämie"/>
    <s v="Haftpflichtversicherung"/>
    <n v="-80"/>
    <s v="EUR"/>
    <x v="3"/>
    <x v="10"/>
    <x v="1"/>
    <n v="80"/>
    <x v="1"/>
  </r>
  <r>
    <d v="2016-11-26T00:00:00"/>
    <s v="Bäckerei"/>
    <s v="Lebensmittel-Einkauf"/>
    <s v="Brot und Gebäck"/>
    <n v="-35"/>
    <s v="EUR"/>
    <x v="4"/>
    <x v="10"/>
    <x v="1"/>
    <n v="35"/>
    <x v="1"/>
  </r>
  <r>
    <d v="2016-11-27T00:00:00"/>
    <s v="Arbeitgeber"/>
    <s v="Gutschrift"/>
    <s v="Lohn"/>
    <n v="1000"/>
    <s v="EUR"/>
    <x v="0"/>
    <x v="10"/>
    <x v="1"/>
    <n v="1000"/>
    <x v="0"/>
  </r>
  <r>
    <d v="2016-11-28T00:00:00"/>
    <s v="Arbeitgeber"/>
    <s v="Gutschrift"/>
    <s v="Lohn"/>
    <n v="1000"/>
    <s v="EUR"/>
    <x v="0"/>
    <x v="10"/>
    <x v="1"/>
    <n v="1000"/>
    <x v="0"/>
  </r>
  <r>
    <d v="2016-11-29T00:00:00"/>
    <s v="Netflix"/>
    <s v="Abonnement"/>
    <s v="Streaming-Dienst"/>
    <n v="-15"/>
    <s v="EUR"/>
    <x v="1"/>
    <x v="10"/>
    <x v="1"/>
    <n v="15"/>
    <x v="1"/>
  </r>
  <r>
    <d v="2016-11-30T00:00:00"/>
    <s v="Autohändler"/>
    <s v="KFZ-Zahlung"/>
    <s v="Auto-Rate"/>
    <n v="-350"/>
    <s v="EUR"/>
    <x v="2"/>
    <x v="10"/>
    <x v="1"/>
    <n v="350"/>
    <x v="1"/>
  </r>
  <r>
    <d v="2016-12-01T00:00:00"/>
    <s v="Versicherungsgesellschaft"/>
    <s v="Versicherungsprämie"/>
    <s v="Kfz-Versicherung"/>
    <n v="-120"/>
    <s v="EUR"/>
    <x v="3"/>
    <x v="11"/>
    <x v="1"/>
    <n v="120"/>
    <x v="1"/>
  </r>
  <r>
    <d v="2016-12-02T00:00:00"/>
    <s v="Supermarkt"/>
    <s v="Lebensmittel-Einkauf"/>
    <s v="Wochenendeinkauf"/>
    <n v="-50"/>
    <s v="EUR"/>
    <x v="4"/>
    <x v="11"/>
    <x v="1"/>
    <n v="50"/>
    <x v="1"/>
  </r>
  <r>
    <d v="2016-12-03T00:00:00"/>
    <s v="Arbeitgeber"/>
    <s v="Gutschrift"/>
    <s v="Lohn"/>
    <n v="1000"/>
    <s v="EUR"/>
    <x v="0"/>
    <x v="11"/>
    <x v="1"/>
    <n v="1000"/>
    <x v="0"/>
  </r>
  <r>
    <d v="2016-12-04T00:00:00"/>
    <s v="Spotify"/>
    <s v="Abonnement"/>
    <s v="Music-Streaming"/>
    <n v="-10"/>
    <s v="EUR"/>
    <x v="1"/>
    <x v="11"/>
    <x v="1"/>
    <n v="10"/>
    <x v="1"/>
  </r>
  <r>
    <d v="2016-12-05T00:00:00"/>
    <s v="Tankstelle"/>
    <s v="Kraftstoff"/>
    <s v="Auto-Tankfüllung"/>
    <n v="-60"/>
    <s v="EUR"/>
    <x v="2"/>
    <x v="11"/>
    <x v="1"/>
    <n v="60"/>
    <x v="1"/>
  </r>
  <r>
    <d v="2016-12-06T00:00:00"/>
    <s v="Versicherungsgesellschaft"/>
    <s v="Versicherungsprämie"/>
    <s v="Haftpflichtversicherung"/>
    <n v="-80"/>
    <s v="EUR"/>
    <x v="3"/>
    <x v="11"/>
    <x v="1"/>
    <n v="80"/>
    <x v="1"/>
  </r>
  <r>
    <d v="2016-12-07T00:00:00"/>
    <s v="Bäckerei"/>
    <s v="Lebensmittel-Einkauf"/>
    <s v="Brot und Gebäck"/>
    <n v="-20"/>
    <s v="EUR"/>
    <x v="4"/>
    <x v="11"/>
    <x v="1"/>
    <n v="20"/>
    <x v="1"/>
  </r>
  <r>
    <d v="2016-12-08T00:00:00"/>
    <s v="Arbeitgeber"/>
    <s v="Gutschrift"/>
    <s v="Lohn"/>
    <n v="1000"/>
    <s v="EUR"/>
    <x v="0"/>
    <x v="11"/>
    <x v="1"/>
    <n v="1000"/>
    <x v="0"/>
  </r>
  <r>
    <d v="2016-12-09T00:00:00"/>
    <s v="Netflix"/>
    <s v="Abonnement"/>
    <s v="Streaming-Dienst"/>
    <n v="-15"/>
    <s v="EUR"/>
    <x v="1"/>
    <x v="11"/>
    <x v="1"/>
    <n v="15"/>
    <x v="1"/>
  </r>
  <r>
    <d v="2016-12-10T00:00:00"/>
    <s v="Autohändler"/>
    <s v="KFZ-Zahlung"/>
    <s v="Auto-Rate"/>
    <n v="-350"/>
    <s v="EUR"/>
    <x v="2"/>
    <x v="11"/>
    <x v="1"/>
    <n v="350"/>
    <x v="1"/>
  </r>
  <r>
    <d v="2016-12-11T00:00:00"/>
    <s v="Versicherungsgesellschaft"/>
    <s v="Versicherungsprämie"/>
    <s v="Kfz-Versicherung"/>
    <n v="-120"/>
    <s v="EUR"/>
    <x v="3"/>
    <x v="11"/>
    <x v="1"/>
    <n v="120"/>
    <x v="1"/>
  </r>
  <r>
    <d v="2016-12-12T00:00:00"/>
    <s v="Supermarkt"/>
    <s v="Lebensmittel-Einkauf"/>
    <s v="Wochenendeinkauf"/>
    <n v="-60"/>
    <s v="EUR"/>
    <x v="4"/>
    <x v="11"/>
    <x v="1"/>
    <n v="60"/>
    <x v="1"/>
  </r>
  <r>
    <d v="2016-12-13T00:00:00"/>
    <s v="Arbeitgeber"/>
    <s v="Gutschrift"/>
    <s v="Lohn"/>
    <n v="1000"/>
    <s v="EUR"/>
    <x v="0"/>
    <x v="11"/>
    <x v="1"/>
    <n v="1000"/>
    <x v="0"/>
  </r>
  <r>
    <d v="2016-12-14T00:00:00"/>
    <s v="Spotify"/>
    <s v="Abonnement"/>
    <s v="Music-Streaming"/>
    <n v="-10"/>
    <s v="EUR"/>
    <x v="1"/>
    <x v="11"/>
    <x v="1"/>
    <n v="10"/>
    <x v="1"/>
  </r>
  <r>
    <d v="2016-12-15T00:00:00"/>
    <s v="Tankstelle"/>
    <s v="Kraftstoff"/>
    <s v="Auto-Tankfüllung"/>
    <n v="-70"/>
    <s v="EUR"/>
    <x v="2"/>
    <x v="11"/>
    <x v="1"/>
    <n v="70"/>
    <x v="1"/>
  </r>
  <r>
    <d v="2016-12-16T00:00:00"/>
    <s v="Versicherungsgesellschaft"/>
    <s v="Versicherungsprämie"/>
    <s v="Haftpflichtversicherung"/>
    <n v="-80"/>
    <s v="EUR"/>
    <x v="3"/>
    <x v="11"/>
    <x v="1"/>
    <n v="80"/>
    <x v="1"/>
  </r>
  <r>
    <d v="2016-12-17T00:00:00"/>
    <s v="Bäckerei"/>
    <s v="Lebensmittel-Einkauf"/>
    <s v="Brot und Gebäck"/>
    <n v="-25"/>
    <s v="EUR"/>
    <x v="4"/>
    <x v="11"/>
    <x v="1"/>
    <n v="25"/>
    <x v="1"/>
  </r>
  <r>
    <d v="2016-12-18T00:00:00"/>
    <s v="Arbeitgeber"/>
    <s v="Gutschrift"/>
    <s v="Lohn"/>
    <n v="1000"/>
    <s v="EUR"/>
    <x v="0"/>
    <x v="11"/>
    <x v="1"/>
    <n v="1000"/>
    <x v="0"/>
  </r>
  <r>
    <d v="2016-12-19T00:00:00"/>
    <s v="Netflix"/>
    <s v="Abonnement"/>
    <s v="Streaming-Dienst"/>
    <n v="-15"/>
    <s v="EUR"/>
    <x v="1"/>
    <x v="11"/>
    <x v="1"/>
    <n v="15"/>
    <x v="1"/>
  </r>
  <r>
    <d v="2016-12-20T00:00:00"/>
    <s v="Autohändler"/>
    <s v="KFZ-Zahlung"/>
    <s v="Auto-Rate"/>
    <n v="-350"/>
    <s v="EUR"/>
    <x v="2"/>
    <x v="11"/>
    <x v="1"/>
    <n v="350"/>
    <x v="1"/>
  </r>
  <r>
    <d v="2016-12-21T00:00:00"/>
    <s v="Versicherungsgesellschaft"/>
    <s v="Versicherungsprämie"/>
    <s v="Kfz-Versicherung"/>
    <n v="-120"/>
    <s v="EUR"/>
    <x v="3"/>
    <x v="11"/>
    <x v="1"/>
    <n v="120"/>
    <x v="1"/>
  </r>
  <r>
    <d v="2016-12-22T00:00:00"/>
    <s v="Supermarkt"/>
    <s v="Lebensmittel-Einkauf"/>
    <s v="Wochenendeinkauf"/>
    <n v="-70"/>
    <s v="EUR"/>
    <x v="4"/>
    <x v="11"/>
    <x v="1"/>
    <n v="70"/>
    <x v="1"/>
  </r>
  <r>
    <d v="2016-12-23T00:00:00"/>
    <s v="Arbeitgeber"/>
    <s v="Gutschrift"/>
    <s v="Lohn"/>
    <n v="1000"/>
    <s v="EUR"/>
    <x v="0"/>
    <x v="11"/>
    <x v="1"/>
    <n v="1000"/>
    <x v="0"/>
  </r>
  <r>
    <d v="2016-12-24T00:00:00"/>
    <s v="Spotify"/>
    <s v="Abonnement"/>
    <s v="Music-Streaming"/>
    <n v="-10"/>
    <s v="EUR"/>
    <x v="1"/>
    <x v="11"/>
    <x v="1"/>
    <n v="10"/>
    <x v="1"/>
  </r>
  <r>
    <d v="2016-12-25T00:00:00"/>
    <s v="Tankstelle"/>
    <s v="Kraftstoff"/>
    <s v="Auto-Tankfüllung"/>
    <n v="-60"/>
    <s v="EUR"/>
    <x v="2"/>
    <x v="11"/>
    <x v="1"/>
    <n v="60"/>
    <x v="1"/>
  </r>
  <r>
    <d v="2016-12-26T00:00:00"/>
    <s v="Versicherungsgesellschaft"/>
    <s v="Versicherungsprämie"/>
    <s v="Haftpflichtversicherung"/>
    <n v="-80"/>
    <s v="EUR"/>
    <x v="3"/>
    <x v="11"/>
    <x v="1"/>
    <n v="80"/>
    <x v="1"/>
  </r>
  <r>
    <d v="2016-12-27T00:00:00"/>
    <s v="Bäckerei"/>
    <s v="Lebensmittel-Einkauf"/>
    <s v="Brot und Gebäck"/>
    <n v="-30"/>
    <s v="EUR"/>
    <x v="4"/>
    <x v="11"/>
    <x v="1"/>
    <n v="30"/>
    <x v="1"/>
  </r>
  <r>
    <d v="2016-12-28T00:00:00"/>
    <s v="Arbeitgeber"/>
    <s v="Gutschrift"/>
    <s v="Lohn"/>
    <n v="1000"/>
    <s v="EUR"/>
    <x v="0"/>
    <x v="11"/>
    <x v="1"/>
    <n v="1000"/>
    <x v="0"/>
  </r>
  <r>
    <d v="2016-12-29T00:00:00"/>
    <s v="Netflix"/>
    <s v="Abonnement"/>
    <s v="Streaming-Dienst"/>
    <n v="-15"/>
    <s v="EUR"/>
    <x v="1"/>
    <x v="11"/>
    <x v="1"/>
    <n v="15"/>
    <x v="1"/>
  </r>
  <r>
    <d v="2016-12-30T00:00:00"/>
    <s v="Autohändler"/>
    <s v="KFZ-Zahlung"/>
    <s v="Auto-Rate"/>
    <n v="-350"/>
    <s v="EUR"/>
    <x v="2"/>
    <x v="11"/>
    <x v="1"/>
    <n v="350"/>
    <x v="1"/>
  </r>
  <r>
    <d v="2016-12-31T00:00:00"/>
    <s v="Versicherungsgesellschaft"/>
    <s v="Versicherungsprämie"/>
    <s v="Kfz-Versicherung"/>
    <n v="-120"/>
    <s v="EUR"/>
    <x v="3"/>
    <x v="11"/>
    <x v="1"/>
    <n v="120"/>
    <x v="1"/>
  </r>
  <r>
    <d v="2017-01-01T00:00:00"/>
    <s v="Supermarkt"/>
    <s v="Lebensmittel-Einkauf"/>
    <s v="Wochenendeinkauf"/>
    <n v="-80"/>
    <s v="EUR"/>
    <x v="4"/>
    <x v="0"/>
    <x v="2"/>
    <n v="80"/>
    <x v="1"/>
  </r>
  <r>
    <d v="2017-01-02T00:00:00"/>
    <s v="Arbeitgeber"/>
    <s v="Gutschrift"/>
    <s v="Lohn"/>
    <n v="1000"/>
    <s v="EUR"/>
    <x v="0"/>
    <x v="0"/>
    <x v="2"/>
    <n v="1000"/>
    <x v="0"/>
  </r>
  <r>
    <d v="2017-01-03T00:00:00"/>
    <s v="Spotify"/>
    <s v="Abonnement"/>
    <s v="Music-Streaming"/>
    <n v="-10"/>
    <s v="EUR"/>
    <x v="1"/>
    <x v="0"/>
    <x v="2"/>
    <n v="10"/>
    <x v="1"/>
  </r>
  <r>
    <d v="2017-01-04T00:00:00"/>
    <s v="Tankstelle"/>
    <s v="Kraftstoff"/>
    <s v="Auto-Tankfüllung"/>
    <n v="-65"/>
    <s v="EUR"/>
    <x v="2"/>
    <x v="0"/>
    <x v="2"/>
    <n v="65"/>
    <x v="1"/>
  </r>
  <r>
    <d v="2017-01-05T00:00:00"/>
    <s v="Versicherungsgesellschaft"/>
    <s v="Versicherungsprämie"/>
    <s v="Haftpflichtversicherung"/>
    <n v="-80"/>
    <s v="EUR"/>
    <x v="3"/>
    <x v="0"/>
    <x v="2"/>
    <n v="80"/>
    <x v="1"/>
  </r>
  <r>
    <d v="2017-01-06T00:00:00"/>
    <s v="Bäckerei"/>
    <s v="Lebensmittel-Einkauf"/>
    <s v="Brot und Gebäck"/>
    <n v="-35"/>
    <s v="EUR"/>
    <x v="4"/>
    <x v="0"/>
    <x v="2"/>
    <n v="35"/>
    <x v="1"/>
  </r>
  <r>
    <d v="2017-01-07T00:00:00"/>
    <s v="Arbeitgeber"/>
    <s v="Gutschrift"/>
    <s v="Lohn"/>
    <n v="1000"/>
    <s v="EUR"/>
    <x v="0"/>
    <x v="0"/>
    <x v="2"/>
    <n v="1000"/>
    <x v="0"/>
  </r>
  <r>
    <d v="2017-01-08T00:00:00"/>
    <s v="Arbeitgeber"/>
    <s v="Gutschrift"/>
    <s v="Lohn"/>
    <n v="1000"/>
    <s v="EUR"/>
    <x v="0"/>
    <x v="0"/>
    <x v="2"/>
    <n v="1000"/>
    <x v="0"/>
  </r>
  <r>
    <d v="2017-01-09T00:00:00"/>
    <s v="Netflix"/>
    <s v="Abonnement"/>
    <s v="Streaming-Dienst"/>
    <n v="-15"/>
    <s v="EUR"/>
    <x v="1"/>
    <x v="0"/>
    <x v="2"/>
    <n v="15"/>
    <x v="1"/>
  </r>
  <r>
    <d v="2017-01-10T00:00:00"/>
    <s v="Autohändler"/>
    <s v="KFZ-Zahlung"/>
    <s v="Auto-Rate"/>
    <n v="-350"/>
    <s v="EUR"/>
    <x v="2"/>
    <x v="0"/>
    <x v="2"/>
    <n v="350"/>
    <x v="1"/>
  </r>
  <r>
    <d v="2017-01-11T00:00:00"/>
    <s v="Versicherungsgesellschaft"/>
    <s v="Versicherungsprämie"/>
    <s v="Kfz-Versicherung"/>
    <n v="-120"/>
    <s v="EUR"/>
    <x v="3"/>
    <x v="0"/>
    <x v="2"/>
    <n v="120"/>
    <x v="1"/>
  </r>
  <r>
    <d v="2017-01-12T00:00:00"/>
    <s v="Supermarkt"/>
    <s v="Lebensmittel-Einkauf"/>
    <s v="Wochenendeinkauf"/>
    <n v="-50"/>
    <s v="EUR"/>
    <x v="4"/>
    <x v="0"/>
    <x v="2"/>
    <n v="50"/>
    <x v="1"/>
  </r>
  <r>
    <d v="2017-01-13T00:00:00"/>
    <s v="Arbeitgeber"/>
    <s v="Gutschrift"/>
    <s v="Lohn"/>
    <n v="1000"/>
    <s v="EUR"/>
    <x v="0"/>
    <x v="0"/>
    <x v="2"/>
    <n v="1000"/>
    <x v="0"/>
  </r>
  <r>
    <d v="2017-01-14T00:00:00"/>
    <s v="Spotify"/>
    <s v="Abonnement"/>
    <s v="Music-Streaming"/>
    <n v="-10"/>
    <s v="EUR"/>
    <x v="1"/>
    <x v="0"/>
    <x v="2"/>
    <n v="10"/>
    <x v="1"/>
  </r>
  <r>
    <d v="2017-01-15T00:00:00"/>
    <s v="Tankstelle"/>
    <s v="Kraftstoff"/>
    <s v="Auto-Tankfüllung"/>
    <n v="-60"/>
    <s v="EUR"/>
    <x v="2"/>
    <x v="0"/>
    <x v="2"/>
    <n v="60"/>
    <x v="1"/>
  </r>
  <r>
    <d v="2017-01-16T00:00:00"/>
    <s v="Versicherungsgesellschaft"/>
    <s v="Versicherungsprämie"/>
    <s v="Haftpflichtversicherung"/>
    <n v="-80"/>
    <s v="EUR"/>
    <x v="3"/>
    <x v="0"/>
    <x v="2"/>
    <n v="80"/>
    <x v="1"/>
  </r>
  <r>
    <d v="2017-01-17T00:00:00"/>
    <s v="Bäckerei"/>
    <s v="Lebensmittel-Einkauf"/>
    <s v="Brot und Gebäck"/>
    <n v="-20"/>
    <s v="EUR"/>
    <x v="4"/>
    <x v="0"/>
    <x v="2"/>
    <n v="20"/>
    <x v="1"/>
  </r>
  <r>
    <d v="2017-01-18T00:00:00"/>
    <s v="Arbeitgeber"/>
    <s v="Gutschrift"/>
    <s v="Lohn"/>
    <n v="1000"/>
    <s v="EUR"/>
    <x v="0"/>
    <x v="0"/>
    <x v="2"/>
    <n v="1000"/>
    <x v="0"/>
  </r>
  <r>
    <d v="2017-01-19T00:00:00"/>
    <s v="Netflix"/>
    <s v="Abonnement"/>
    <s v="Streaming-Dienst"/>
    <n v="-15"/>
    <s v="EUR"/>
    <x v="1"/>
    <x v="0"/>
    <x v="2"/>
    <n v="15"/>
    <x v="1"/>
  </r>
  <r>
    <d v="2017-01-20T00:00:00"/>
    <s v="Autohändler"/>
    <s v="KFZ-Zahlung"/>
    <s v="Auto-Rate"/>
    <n v="-350"/>
    <s v="EUR"/>
    <x v="2"/>
    <x v="0"/>
    <x v="2"/>
    <n v="350"/>
    <x v="1"/>
  </r>
  <r>
    <d v="2017-01-21T00:00:00"/>
    <s v="Versicherungsgesellschaft"/>
    <s v="Versicherungsprämie"/>
    <s v="Kfz-Versicherung"/>
    <n v="-120"/>
    <s v="EUR"/>
    <x v="3"/>
    <x v="0"/>
    <x v="2"/>
    <n v="120"/>
    <x v="1"/>
  </r>
  <r>
    <d v="2017-01-22T00:00:00"/>
    <s v="Supermarkt"/>
    <s v="Lebensmittel-Einkauf"/>
    <s v="Wochenendeinkauf"/>
    <n v="-60"/>
    <s v="EUR"/>
    <x v="4"/>
    <x v="0"/>
    <x v="2"/>
    <n v="60"/>
    <x v="1"/>
  </r>
  <r>
    <d v="2017-01-23T00:00:00"/>
    <s v="Arbeitgeber"/>
    <s v="Gutschrift"/>
    <s v="Lohn"/>
    <n v="1000"/>
    <s v="EUR"/>
    <x v="0"/>
    <x v="0"/>
    <x v="2"/>
    <n v="1000"/>
    <x v="0"/>
  </r>
  <r>
    <d v="2017-01-24T00:00:00"/>
    <s v="Spotify"/>
    <s v="Abonnement"/>
    <s v="Music-Streaming"/>
    <n v="-10"/>
    <s v="EUR"/>
    <x v="1"/>
    <x v="0"/>
    <x v="2"/>
    <n v="10"/>
    <x v="1"/>
  </r>
  <r>
    <d v="2017-01-25T00:00:00"/>
    <s v="Tankstelle"/>
    <s v="Kraftstoff"/>
    <s v="Auto-Tankfüllung"/>
    <n v="-70"/>
    <s v="EUR"/>
    <x v="2"/>
    <x v="0"/>
    <x v="2"/>
    <n v="70"/>
    <x v="1"/>
  </r>
  <r>
    <d v="2017-01-26T00:00:00"/>
    <s v="Versicherungsgesellschaft"/>
    <s v="Versicherungsprämie"/>
    <s v="Haftpflichtversicherung"/>
    <n v="-80"/>
    <s v="EUR"/>
    <x v="3"/>
    <x v="0"/>
    <x v="2"/>
    <n v="80"/>
    <x v="1"/>
  </r>
  <r>
    <d v="2017-01-27T00:00:00"/>
    <s v="Bäckerei"/>
    <s v="Lebensmittel-Einkauf"/>
    <s v="Brot und Gebäck"/>
    <n v="-25"/>
    <s v="EUR"/>
    <x v="4"/>
    <x v="0"/>
    <x v="2"/>
    <n v="25"/>
    <x v="1"/>
  </r>
  <r>
    <d v="2017-01-28T00:00:00"/>
    <s v="Arbeitgeber"/>
    <s v="Gutschrift"/>
    <s v="Lohn"/>
    <n v="1000"/>
    <s v="EUR"/>
    <x v="0"/>
    <x v="0"/>
    <x v="2"/>
    <n v="1000"/>
    <x v="0"/>
  </r>
  <r>
    <d v="2017-01-29T00:00:00"/>
    <s v="Netflix"/>
    <s v="Abonnement"/>
    <s v="Streaming-Dienst"/>
    <n v="-15"/>
    <s v="EUR"/>
    <x v="1"/>
    <x v="0"/>
    <x v="2"/>
    <n v="15"/>
    <x v="1"/>
  </r>
  <r>
    <d v="2017-01-30T00:00:00"/>
    <s v="Autohändler"/>
    <s v="KFZ-Zahlung"/>
    <s v="Auto-Rate"/>
    <n v="-350"/>
    <s v="EUR"/>
    <x v="2"/>
    <x v="0"/>
    <x v="2"/>
    <n v="350"/>
    <x v="1"/>
  </r>
  <r>
    <d v="2017-01-31T00:00:00"/>
    <s v="Versicherungsgesellschaft"/>
    <s v="Versicherungsprämie"/>
    <s v="Kfz-Versicherung"/>
    <n v="-120"/>
    <s v="EUR"/>
    <x v="3"/>
    <x v="0"/>
    <x v="2"/>
    <n v="120"/>
    <x v="1"/>
  </r>
  <r>
    <d v="2017-02-01T00:00:00"/>
    <s v="Supermarkt"/>
    <s v="Lebensmittel-Einkauf"/>
    <s v="Wochenendeinkauf"/>
    <n v="-70"/>
    <s v="EUR"/>
    <x v="4"/>
    <x v="1"/>
    <x v="2"/>
    <n v="70"/>
    <x v="1"/>
  </r>
  <r>
    <d v="2017-02-02T00:00:00"/>
    <s v="Arbeitgeber"/>
    <s v="Gutschrift"/>
    <s v="Lohn"/>
    <n v="1000"/>
    <s v="EUR"/>
    <x v="0"/>
    <x v="1"/>
    <x v="2"/>
    <n v="1000"/>
    <x v="0"/>
  </r>
  <r>
    <d v="2017-02-03T00:00:00"/>
    <s v="Spotify"/>
    <s v="Abonnement"/>
    <s v="Music-Streaming"/>
    <n v="-10"/>
    <s v="EUR"/>
    <x v="1"/>
    <x v="1"/>
    <x v="2"/>
    <n v="10"/>
    <x v="1"/>
  </r>
  <r>
    <d v="2017-02-04T00:00:00"/>
    <s v="Tankstelle"/>
    <s v="Kraftstoff"/>
    <s v="Auto-Tankfüllung"/>
    <n v="-60"/>
    <s v="EUR"/>
    <x v="2"/>
    <x v="1"/>
    <x v="2"/>
    <n v="60"/>
    <x v="1"/>
  </r>
  <r>
    <d v="2017-02-05T00:00:00"/>
    <s v="Versicherungsgesellschaft"/>
    <s v="Versicherungsprämie"/>
    <s v="Haftpflichtversicherung"/>
    <n v="-80"/>
    <s v="EUR"/>
    <x v="3"/>
    <x v="1"/>
    <x v="2"/>
    <n v="80"/>
    <x v="1"/>
  </r>
  <r>
    <d v="2017-02-06T00:00:00"/>
    <s v="Bäckerei"/>
    <s v="Lebensmittel-Einkauf"/>
    <s v="Brot und Gebäck"/>
    <n v="-30"/>
    <s v="EUR"/>
    <x v="4"/>
    <x v="1"/>
    <x v="2"/>
    <n v="30"/>
    <x v="1"/>
  </r>
  <r>
    <d v="2017-02-07T00:00:00"/>
    <s v="Arbeitgeber"/>
    <s v="Gutschrift"/>
    <s v="Lohn"/>
    <n v="1000"/>
    <s v="EUR"/>
    <x v="0"/>
    <x v="1"/>
    <x v="2"/>
    <n v="1000"/>
    <x v="0"/>
  </r>
  <r>
    <d v="2017-02-08T00:00:00"/>
    <s v="Netflix"/>
    <s v="Abonnement"/>
    <s v="Streaming-Dienst"/>
    <n v="-15"/>
    <s v="EUR"/>
    <x v="1"/>
    <x v="1"/>
    <x v="2"/>
    <n v="15"/>
    <x v="1"/>
  </r>
  <r>
    <d v="2017-02-09T00:00:00"/>
    <s v="Autohändler"/>
    <s v="KFZ-Zahlung"/>
    <s v="Auto-Rate"/>
    <n v="-350"/>
    <s v="EUR"/>
    <x v="2"/>
    <x v="1"/>
    <x v="2"/>
    <n v="350"/>
    <x v="1"/>
  </r>
  <r>
    <d v="2017-02-10T00:00:00"/>
    <s v="Versicherungsgesellschaft"/>
    <s v="Versicherungsprämie"/>
    <s v="Kfz-Versicherung"/>
    <n v="-120"/>
    <s v="EUR"/>
    <x v="3"/>
    <x v="1"/>
    <x v="2"/>
    <n v="120"/>
    <x v="1"/>
  </r>
  <r>
    <d v="2017-02-11T00:00:00"/>
    <s v="Supermarkt"/>
    <s v="Lebensmittel-Einkauf"/>
    <s v="Wochenendeinkauf"/>
    <n v="-80"/>
    <s v="EUR"/>
    <x v="4"/>
    <x v="1"/>
    <x v="2"/>
    <n v="80"/>
    <x v="1"/>
  </r>
  <r>
    <d v="2017-02-12T00:00:00"/>
    <s v="Arbeitgeber"/>
    <s v="Gutschrift"/>
    <s v="Lohn"/>
    <n v="1000"/>
    <s v="EUR"/>
    <x v="0"/>
    <x v="1"/>
    <x v="2"/>
    <n v="1000"/>
    <x v="0"/>
  </r>
  <r>
    <d v="2017-02-13T00:00:00"/>
    <s v="Spotify"/>
    <s v="Abonnement"/>
    <s v="Music-Streaming"/>
    <n v="-10"/>
    <s v="EUR"/>
    <x v="1"/>
    <x v="1"/>
    <x v="2"/>
    <n v="10"/>
    <x v="1"/>
  </r>
  <r>
    <d v="2017-02-14T00:00:00"/>
    <s v="Tankstelle"/>
    <s v="Kraftstoff"/>
    <s v="Auto-Tankfüllung"/>
    <n v="-65"/>
    <s v="EUR"/>
    <x v="2"/>
    <x v="1"/>
    <x v="2"/>
    <n v="65"/>
    <x v="1"/>
  </r>
  <r>
    <d v="2017-02-15T00:00:00"/>
    <s v="Versicherungsgesellschaft"/>
    <s v="Versicherungsprämie"/>
    <s v="Haftpflichtversicherung"/>
    <n v="-80"/>
    <s v="EUR"/>
    <x v="3"/>
    <x v="1"/>
    <x v="2"/>
    <n v="80"/>
    <x v="1"/>
  </r>
  <r>
    <d v="2017-02-16T00:00:00"/>
    <s v="Bäckerei"/>
    <s v="Lebensmittel-Einkauf"/>
    <s v="Brot und Gebäck"/>
    <n v="-35"/>
    <s v="EUR"/>
    <x v="4"/>
    <x v="1"/>
    <x v="2"/>
    <n v="35"/>
    <x v="1"/>
  </r>
  <r>
    <d v="2017-02-17T00:00:00"/>
    <s v="Arbeitgeber"/>
    <s v="Gutschrift"/>
    <s v="Lohn"/>
    <n v="1000"/>
    <s v="EUR"/>
    <x v="0"/>
    <x v="1"/>
    <x v="2"/>
    <n v="1000"/>
    <x v="0"/>
  </r>
  <r>
    <d v="2017-02-18T00:00:00"/>
    <s v="Arbeitgeber"/>
    <s v="Gutschrift"/>
    <s v="Lohn"/>
    <n v="1000"/>
    <s v="EUR"/>
    <x v="0"/>
    <x v="1"/>
    <x v="2"/>
    <n v="1000"/>
    <x v="0"/>
  </r>
  <r>
    <d v="2017-02-19T00:00:00"/>
    <s v="Netflix"/>
    <s v="Abonnement"/>
    <s v="Streaming-Dienst"/>
    <n v="-15"/>
    <s v="EUR"/>
    <x v="1"/>
    <x v="1"/>
    <x v="2"/>
    <n v="15"/>
    <x v="1"/>
  </r>
  <r>
    <d v="2017-02-20T00:00:00"/>
    <s v="Autohändler"/>
    <s v="KFZ-Zahlung"/>
    <s v="Auto-Rate"/>
    <n v="-350"/>
    <s v="EUR"/>
    <x v="2"/>
    <x v="1"/>
    <x v="2"/>
    <n v="350"/>
    <x v="1"/>
  </r>
  <r>
    <d v="2017-02-21T00:00:00"/>
    <s v="Versicherungsgesellschaft"/>
    <s v="Versicherungsprämie"/>
    <s v="Kfz-Versicherung"/>
    <n v="-120"/>
    <s v="EUR"/>
    <x v="3"/>
    <x v="1"/>
    <x v="2"/>
    <n v="120"/>
    <x v="1"/>
  </r>
  <r>
    <d v="2017-02-22T00:00:00"/>
    <s v="Supermarkt"/>
    <s v="Lebensmittel-Einkauf"/>
    <s v="Wochenendeinkauf"/>
    <n v="-50"/>
    <s v="EUR"/>
    <x v="4"/>
    <x v="1"/>
    <x v="2"/>
    <n v="50"/>
    <x v="1"/>
  </r>
  <r>
    <d v="2017-02-23T00:00:00"/>
    <s v="Arbeitgeber"/>
    <s v="Gutschrift"/>
    <s v="Lohn"/>
    <n v="1000"/>
    <s v="EUR"/>
    <x v="0"/>
    <x v="1"/>
    <x v="2"/>
    <n v="1000"/>
    <x v="0"/>
  </r>
  <r>
    <d v="2017-02-24T00:00:00"/>
    <s v="Spotify"/>
    <s v="Abonnement"/>
    <s v="Music-Streaming"/>
    <n v="-10"/>
    <s v="EUR"/>
    <x v="1"/>
    <x v="1"/>
    <x v="2"/>
    <n v="10"/>
    <x v="1"/>
  </r>
  <r>
    <d v="2017-02-25T00:00:00"/>
    <s v="Tankstelle"/>
    <s v="Kraftstoff"/>
    <s v="Auto-Tankfüllung"/>
    <n v="-60"/>
    <s v="EUR"/>
    <x v="2"/>
    <x v="1"/>
    <x v="2"/>
    <n v="60"/>
    <x v="1"/>
  </r>
  <r>
    <d v="2017-02-26T00:00:00"/>
    <s v="Versicherungsgesellschaft"/>
    <s v="Versicherungsprämie"/>
    <s v="Haftpflichtversicherung"/>
    <n v="-80"/>
    <s v="EUR"/>
    <x v="3"/>
    <x v="1"/>
    <x v="2"/>
    <n v="80"/>
    <x v="1"/>
  </r>
  <r>
    <d v="2017-02-27T00:00:00"/>
    <s v="Bäckerei"/>
    <s v="Lebensmittel-Einkauf"/>
    <s v="Brot und Gebäck"/>
    <n v="-20"/>
    <s v="EUR"/>
    <x v="4"/>
    <x v="1"/>
    <x v="2"/>
    <n v="20"/>
    <x v="1"/>
  </r>
  <r>
    <d v="2017-02-28T00:00:00"/>
    <s v="Arbeitgeber"/>
    <s v="Gutschrift"/>
    <s v="Lohn"/>
    <n v="1000"/>
    <s v="EUR"/>
    <x v="0"/>
    <x v="1"/>
    <x v="2"/>
    <n v="1000"/>
    <x v="0"/>
  </r>
  <r>
    <d v="2017-03-01T00:00:00"/>
    <s v="Netflix"/>
    <s v="Abonnement"/>
    <s v="Streaming-Dienst"/>
    <n v="-15"/>
    <s v="EUR"/>
    <x v="1"/>
    <x v="2"/>
    <x v="2"/>
    <n v="15"/>
    <x v="1"/>
  </r>
  <r>
    <d v="2017-03-02T00:00:00"/>
    <s v="Autohändler"/>
    <s v="KFZ-Zahlung"/>
    <s v="Auto-Rate"/>
    <n v="-350"/>
    <s v="EUR"/>
    <x v="2"/>
    <x v="2"/>
    <x v="2"/>
    <n v="350"/>
    <x v="1"/>
  </r>
  <r>
    <d v="2017-03-03T00:00:00"/>
    <s v="Versicherungsgesellschaft"/>
    <s v="Versicherungsprämie"/>
    <s v="Kfz-Versicherung"/>
    <n v="-120"/>
    <s v="EUR"/>
    <x v="3"/>
    <x v="2"/>
    <x v="2"/>
    <n v="120"/>
    <x v="1"/>
  </r>
  <r>
    <d v="2017-03-04T00:00:00"/>
    <s v="Supermarkt"/>
    <s v="Lebensmittel-Einkauf"/>
    <s v="Wochenendeinkauf"/>
    <n v="-60"/>
    <s v="EUR"/>
    <x v="4"/>
    <x v="2"/>
    <x v="2"/>
    <n v="60"/>
    <x v="1"/>
  </r>
  <r>
    <d v="2017-03-05T00:00:00"/>
    <s v="Arbeitgeber"/>
    <s v="Gutschrift"/>
    <s v="Lohn"/>
    <n v="1000"/>
    <s v="EUR"/>
    <x v="0"/>
    <x v="2"/>
    <x v="2"/>
    <n v="1000"/>
    <x v="0"/>
  </r>
  <r>
    <d v="2017-03-06T00:00:00"/>
    <s v="Spotify"/>
    <s v="Abonnement"/>
    <s v="Music-Streaming"/>
    <n v="-10"/>
    <s v="EUR"/>
    <x v="1"/>
    <x v="2"/>
    <x v="2"/>
    <n v="10"/>
    <x v="1"/>
  </r>
  <r>
    <d v="2017-03-07T00:00:00"/>
    <s v="Tankstelle"/>
    <s v="Kraftstoff"/>
    <s v="Auto-Tankfüllung"/>
    <n v="-70"/>
    <s v="EUR"/>
    <x v="2"/>
    <x v="2"/>
    <x v="2"/>
    <n v="70"/>
    <x v="1"/>
  </r>
  <r>
    <d v="2017-03-08T00:00:00"/>
    <s v="Versicherungsgesellschaft"/>
    <s v="Versicherungsprämie"/>
    <s v="Haftpflichtversicherung"/>
    <n v="-80"/>
    <s v="EUR"/>
    <x v="3"/>
    <x v="2"/>
    <x v="2"/>
    <n v="80"/>
    <x v="1"/>
  </r>
  <r>
    <d v="2017-03-09T00:00:00"/>
    <s v="Bäckerei"/>
    <s v="Lebensmittel-Einkauf"/>
    <s v="Brot und Gebäck"/>
    <n v="-25"/>
    <s v="EUR"/>
    <x v="4"/>
    <x v="2"/>
    <x v="2"/>
    <n v="25"/>
    <x v="1"/>
  </r>
  <r>
    <d v="2017-03-10T00:00:00"/>
    <s v="Arbeitgeber"/>
    <s v="Gutschrift"/>
    <s v="Lohn"/>
    <n v="1000"/>
    <s v="EUR"/>
    <x v="0"/>
    <x v="2"/>
    <x v="2"/>
    <n v="1000"/>
    <x v="0"/>
  </r>
  <r>
    <d v="2017-03-11T00:00:00"/>
    <s v="Netflix"/>
    <s v="Abonnement"/>
    <s v="Streaming-Dienst"/>
    <n v="-15"/>
    <s v="EUR"/>
    <x v="1"/>
    <x v="2"/>
    <x v="2"/>
    <n v="15"/>
    <x v="1"/>
  </r>
  <r>
    <d v="2017-03-12T00:00:00"/>
    <s v="Autohändler"/>
    <s v="KFZ-Zahlung"/>
    <s v="Auto-Rate"/>
    <n v="-350"/>
    <s v="EUR"/>
    <x v="2"/>
    <x v="2"/>
    <x v="2"/>
    <n v="350"/>
    <x v="1"/>
  </r>
  <r>
    <d v="2017-03-13T00:00:00"/>
    <s v="Versicherungsgesellschaft"/>
    <s v="Versicherungsprämie"/>
    <s v="Kfz-Versicherung"/>
    <n v="-120"/>
    <s v="EUR"/>
    <x v="3"/>
    <x v="2"/>
    <x v="2"/>
    <n v="120"/>
    <x v="1"/>
  </r>
  <r>
    <d v="2017-03-14T00:00:00"/>
    <s v="Supermarkt"/>
    <s v="Lebensmittel-Einkauf"/>
    <s v="Wochenendeinkauf"/>
    <n v="-70"/>
    <s v="EUR"/>
    <x v="4"/>
    <x v="2"/>
    <x v="2"/>
    <n v="70"/>
    <x v="1"/>
  </r>
  <r>
    <d v="2017-03-15T00:00:00"/>
    <s v="Arbeitgeber"/>
    <s v="Gutschrift"/>
    <s v="Lohn"/>
    <n v="1000"/>
    <s v="EUR"/>
    <x v="0"/>
    <x v="2"/>
    <x v="2"/>
    <n v="1000"/>
    <x v="0"/>
  </r>
  <r>
    <d v="2017-03-16T00:00:00"/>
    <s v="Spotify"/>
    <s v="Abonnement"/>
    <s v="Music-Streaming"/>
    <n v="-10"/>
    <s v="EUR"/>
    <x v="1"/>
    <x v="2"/>
    <x v="2"/>
    <n v="10"/>
    <x v="1"/>
  </r>
  <r>
    <d v="2017-03-17T00:00:00"/>
    <s v="Tankstelle"/>
    <s v="Kraftstoff"/>
    <s v="Auto-Tankfüllung"/>
    <n v="-60"/>
    <s v="EUR"/>
    <x v="2"/>
    <x v="2"/>
    <x v="2"/>
    <n v="60"/>
    <x v="1"/>
  </r>
  <r>
    <d v="2017-03-18T00:00:00"/>
    <s v="Versicherungsgesellschaft"/>
    <s v="Versicherungsprämie"/>
    <s v="Haftpflichtversicherung"/>
    <n v="-80"/>
    <s v="EUR"/>
    <x v="3"/>
    <x v="2"/>
    <x v="2"/>
    <n v="80"/>
    <x v="1"/>
  </r>
  <r>
    <d v="2017-03-19T00:00:00"/>
    <s v="Bäckerei"/>
    <s v="Lebensmittel-Einkauf"/>
    <s v="Brot und Gebäck"/>
    <n v="-30"/>
    <s v="EUR"/>
    <x v="4"/>
    <x v="2"/>
    <x v="2"/>
    <n v="30"/>
    <x v="1"/>
  </r>
  <r>
    <d v="2017-03-20T00:00:00"/>
    <s v="Arbeitgeber"/>
    <s v="Gutschrift"/>
    <s v="Lohn"/>
    <n v="1000"/>
    <s v="EUR"/>
    <x v="0"/>
    <x v="2"/>
    <x v="2"/>
    <n v="1000"/>
    <x v="0"/>
  </r>
  <r>
    <d v="2017-03-21T00:00:00"/>
    <s v="Netflix"/>
    <s v="Abonnement"/>
    <s v="Streaming-Dienst"/>
    <n v="-15"/>
    <s v="EUR"/>
    <x v="1"/>
    <x v="2"/>
    <x v="2"/>
    <n v="15"/>
    <x v="1"/>
  </r>
  <r>
    <d v="2017-03-22T00:00:00"/>
    <s v="Autohändler"/>
    <s v="KFZ-Zahlung"/>
    <s v="Auto-Rate"/>
    <n v="-350"/>
    <s v="EUR"/>
    <x v="2"/>
    <x v="2"/>
    <x v="2"/>
    <n v="350"/>
    <x v="1"/>
  </r>
  <r>
    <d v="2017-03-23T00:00:00"/>
    <s v="Versicherungsgesellschaft"/>
    <s v="Versicherungsprämie"/>
    <s v="Kfz-Versicherung"/>
    <n v="-120"/>
    <s v="EUR"/>
    <x v="3"/>
    <x v="2"/>
    <x v="2"/>
    <n v="120"/>
    <x v="1"/>
  </r>
  <r>
    <d v="2017-03-24T00:00:00"/>
    <s v="Supermarkt"/>
    <s v="Lebensmittel-Einkauf"/>
    <s v="Wochenendeinkauf"/>
    <n v="-80"/>
    <s v="EUR"/>
    <x v="4"/>
    <x v="2"/>
    <x v="2"/>
    <n v="80"/>
    <x v="1"/>
  </r>
  <r>
    <d v="2017-03-25T00:00:00"/>
    <s v="Arbeitgeber"/>
    <s v="Gutschrift"/>
    <s v="Lohn"/>
    <n v="1000"/>
    <s v="EUR"/>
    <x v="0"/>
    <x v="2"/>
    <x v="2"/>
    <n v="1000"/>
    <x v="0"/>
  </r>
  <r>
    <d v="2017-03-26T00:00:00"/>
    <s v="Spotify"/>
    <s v="Abonnement"/>
    <s v="Music-Streaming"/>
    <n v="-10"/>
    <s v="EUR"/>
    <x v="1"/>
    <x v="2"/>
    <x v="2"/>
    <n v="10"/>
    <x v="1"/>
  </r>
  <r>
    <d v="2017-03-27T00:00:00"/>
    <s v="Tankstelle"/>
    <s v="Kraftstoff"/>
    <s v="Auto-Tankfüllung"/>
    <n v="-65"/>
    <s v="EUR"/>
    <x v="2"/>
    <x v="2"/>
    <x v="2"/>
    <n v="65"/>
    <x v="1"/>
  </r>
  <r>
    <d v="2017-03-28T00:00:00"/>
    <s v="Versicherungsgesellschaft"/>
    <s v="Versicherungsprämie"/>
    <s v="Haftpflichtversicherung"/>
    <n v="-80"/>
    <s v="EUR"/>
    <x v="3"/>
    <x v="2"/>
    <x v="2"/>
    <n v="80"/>
    <x v="1"/>
  </r>
  <r>
    <d v="2017-03-29T00:00:00"/>
    <s v="Bäckerei"/>
    <s v="Lebensmittel-Einkauf"/>
    <s v="Brot und Gebäck"/>
    <n v="-35"/>
    <s v="EUR"/>
    <x v="4"/>
    <x v="2"/>
    <x v="2"/>
    <n v="35"/>
    <x v="1"/>
  </r>
  <r>
    <d v="2017-03-30T00:00:00"/>
    <s v="Arbeitgeber"/>
    <s v="Gutschrift"/>
    <s v="Lohn"/>
    <n v="1000"/>
    <s v="EUR"/>
    <x v="0"/>
    <x v="2"/>
    <x v="2"/>
    <n v="1000"/>
    <x v="0"/>
  </r>
  <r>
    <d v="2017-03-31T00:00:00"/>
    <s v="Arbeitgeber"/>
    <s v="Gutschrift"/>
    <s v="Lohn"/>
    <n v="1000"/>
    <s v="EUR"/>
    <x v="0"/>
    <x v="2"/>
    <x v="2"/>
    <n v="1000"/>
    <x v="0"/>
  </r>
  <r>
    <d v="2017-04-01T00:00:00"/>
    <s v="Netflix"/>
    <s v="Abonnement"/>
    <s v="Streaming-Dienst"/>
    <n v="-15"/>
    <s v="EUR"/>
    <x v="1"/>
    <x v="3"/>
    <x v="2"/>
    <n v="15"/>
    <x v="1"/>
  </r>
  <r>
    <d v="2017-04-02T00:00:00"/>
    <s v="Autohändler"/>
    <s v="KFZ-Zahlung"/>
    <s v="Auto-Rate"/>
    <n v="-350"/>
    <s v="EUR"/>
    <x v="2"/>
    <x v="3"/>
    <x v="2"/>
    <n v="350"/>
    <x v="1"/>
  </r>
  <r>
    <d v="2017-04-03T00:00:00"/>
    <s v="Versicherungsgesellschaft"/>
    <s v="Versicherungsprämie"/>
    <s v="Kfz-Versicherung"/>
    <n v="-120"/>
    <s v="EUR"/>
    <x v="3"/>
    <x v="3"/>
    <x v="2"/>
    <n v="120"/>
    <x v="1"/>
  </r>
  <r>
    <d v="2017-04-04T00:00:00"/>
    <s v="Supermarkt"/>
    <s v="Lebensmittel-Einkauf"/>
    <s v="Wochenendeinkauf"/>
    <n v="-50"/>
    <s v="EUR"/>
    <x v="4"/>
    <x v="3"/>
    <x v="2"/>
    <n v="50"/>
    <x v="1"/>
  </r>
  <r>
    <d v="2017-04-05T00:00:00"/>
    <s v="Arbeitgeber"/>
    <s v="Gutschrift"/>
    <s v="Lohn"/>
    <n v="1000"/>
    <s v="EUR"/>
    <x v="0"/>
    <x v="3"/>
    <x v="2"/>
    <n v="1000"/>
    <x v="0"/>
  </r>
  <r>
    <d v="2017-04-06T00:00:00"/>
    <s v="Spotify"/>
    <s v="Abonnement"/>
    <s v="Music-Streaming"/>
    <n v="-10"/>
    <s v="EUR"/>
    <x v="1"/>
    <x v="3"/>
    <x v="2"/>
    <n v="10"/>
    <x v="1"/>
  </r>
  <r>
    <d v="2017-04-07T00:00:00"/>
    <s v="Tankstelle"/>
    <s v="Kraftstoff"/>
    <s v="Auto-Tankfüllung"/>
    <n v="-60"/>
    <s v="EUR"/>
    <x v="2"/>
    <x v="3"/>
    <x v="2"/>
    <n v="60"/>
    <x v="1"/>
  </r>
  <r>
    <d v="2017-04-08T00:00:00"/>
    <s v="Versicherungsgesellschaft"/>
    <s v="Versicherungsprämie"/>
    <s v="Haftpflichtversicherung"/>
    <n v="-80"/>
    <s v="EUR"/>
    <x v="3"/>
    <x v="3"/>
    <x v="2"/>
    <n v="80"/>
    <x v="1"/>
  </r>
  <r>
    <d v="2017-04-09T00:00:00"/>
    <s v="Bäckerei"/>
    <s v="Lebensmittel-Einkauf"/>
    <s v="Brot und Gebäck"/>
    <n v="-20"/>
    <s v="EUR"/>
    <x v="4"/>
    <x v="3"/>
    <x v="2"/>
    <n v="20"/>
    <x v="1"/>
  </r>
  <r>
    <d v="2017-04-10T00:00:00"/>
    <s v="Arbeitgeber"/>
    <s v="Gutschrift"/>
    <s v="Lohn"/>
    <n v="1000"/>
    <s v="EUR"/>
    <x v="0"/>
    <x v="3"/>
    <x v="2"/>
    <n v="1000"/>
    <x v="0"/>
  </r>
  <r>
    <d v="2017-04-11T00:00:00"/>
    <s v="Netflix"/>
    <s v="Abonnement"/>
    <s v="Streaming-Dienst"/>
    <n v="-15"/>
    <s v="EUR"/>
    <x v="1"/>
    <x v="3"/>
    <x v="2"/>
    <n v="15"/>
    <x v="1"/>
  </r>
  <r>
    <d v="2017-04-12T00:00:00"/>
    <s v="Autohändler"/>
    <s v="KFZ-Zahlung"/>
    <s v="Auto-Rate"/>
    <n v="-350"/>
    <s v="EUR"/>
    <x v="2"/>
    <x v="3"/>
    <x v="2"/>
    <n v="350"/>
    <x v="1"/>
  </r>
  <r>
    <d v="2017-04-13T00:00:00"/>
    <s v="Versicherungsgesellschaft"/>
    <s v="Versicherungsprämie"/>
    <s v="Kfz-Versicherung"/>
    <n v="-120"/>
    <s v="EUR"/>
    <x v="3"/>
    <x v="3"/>
    <x v="2"/>
    <n v="120"/>
    <x v="1"/>
  </r>
  <r>
    <d v="2017-04-14T00:00:00"/>
    <s v="Supermarkt"/>
    <s v="Lebensmittel-Einkauf"/>
    <s v="Wochenendeinkauf"/>
    <n v="-60"/>
    <s v="EUR"/>
    <x v="4"/>
    <x v="3"/>
    <x v="2"/>
    <n v="60"/>
    <x v="1"/>
  </r>
  <r>
    <d v="2017-04-15T00:00:00"/>
    <s v="Arbeitgeber"/>
    <s v="Gutschrift"/>
    <s v="Lohn"/>
    <n v="1000"/>
    <s v="EUR"/>
    <x v="0"/>
    <x v="3"/>
    <x v="2"/>
    <n v="1000"/>
    <x v="0"/>
  </r>
  <r>
    <d v="2017-04-16T00:00:00"/>
    <s v="Spotify"/>
    <s v="Abonnement"/>
    <s v="Music-Streaming"/>
    <n v="-10"/>
    <s v="EUR"/>
    <x v="1"/>
    <x v="3"/>
    <x v="2"/>
    <n v="10"/>
    <x v="1"/>
  </r>
  <r>
    <d v="2017-04-17T00:00:00"/>
    <s v="Tankstelle"/>
    <s v="Kraftstoff"/>
    <s v="Auto-Tankfüllung"/>
    <n v="-70"/>
    <s v="EUR"/>
    <x v="2"/>
    <x v="3"/>
    <x v="2"/>
    <n v="70"/>
    <x v="1"/>
  </r>
  <r>
    <d v="2017-04-18T00:00:00"/>
    <s v="Versicherungsgesellschaft"/>
    <s v="Versicherungsprämie"/>
    <s v="Haftpflichtversicherung"/>
    <n v="-80"/>
    <s v="EUR"/>
    <x v="3"/>
    <x v="3"/>
    <x v="2"/>
    <n v="80"/>
    <x v="1"/>
  </r>
  <r>
    <d v="2017-04-19T00:00:00"/>
    <s v="Bäckerei"/>
    <s v="Lebensmittel-Einkauf"/>
    <s v="Brot und Gebäck"/>
    <n v="-25"/>
    <s v="EUR"/>
    <x v="4"/>
    <x v="3"/>
    <x v="2"/>
    <n v="25"/>
    <x v="1"/>
  </r>
  <r>
    <d v="2017-04-20T00:00:00"/>
    <s v="Arbeitgeber"/>
    <s v="Gutschrift"/>
    <s v="Lohn"/>
    <n v="1000"/>
    <s v="EUR"/>
    <x v="0"/>
    <x v="3"/>
    <x v="2"/>
    <n v="1000"/>
    <x v="0"/>
  </r>
  <r>
    <d v="2017-04-21T00:00:00"/>
    <s v="Netflix"/>
    <s v="Abonnement"/>
    <s v="Streaming-Dienst"/>
    <n v="-15"/>
    <s v="EUR"/>
    <x v="1"/>
    <x v="3"/>
    <x v="2"/>
    <n v="15"/>
    <x v="1"/>
  </r>
  <r>
    <d v="2017-04-22T00:00:00"/>
    <s v="Autohändler"/>
    <s v="KFZ-Zahlung"/>
    <s v="Auto-Rate"/>
    <n v="-350"/>
    <s v="EUR"/>
    <x v="2"/>
    <x v="3"/>
    <x v="2"/>
    <n v="350"/>
    <x v="1"/>
  </r>
  <r>
    <d v="2017-04-23T00:00:00"/>
    <s v="Versicherungsgesellschaft"/>
    <s v="Versicherungsprämie"/>
    <s v="Kfz-Versicherung"/>
    <n v="-120"/>
    <s v="EUR"/>
    <x v="3"/>
    <x v="3"/>
    <x v="2"/>
    <n v="120"/>
    <x v="1"/>
  </r>
  <r>
    <d v="2017-04-24T00:00:00"/>
    <s v="Supermarkt"/>
    <s v="Lebensmittel-Einkauf"/>
    <s v="Wochenendeinkauf"/>
    <n v="-70"/>
    <s v="EUR"/>
    <x v="4"/>
    <x v="3"/>
    <x v="2"/>
    <n v="70"/>
    <x v="1"/>
  </r>
  <r>
    <d v="2017-04-25T00:00:00"/>
    <s v="Arbeitgeber"/>
    <s v="Gutschrift"/>
    <s v="Lohn"/>
    <n v="1000"/>
    <s v="EUR"/>
    <x v="0"/>
    <x v="3"/>
    <x v="2"/>
    <n v="1000"/>
    <x v="0"/>
  </r>
  <r>
    <d v="2017-04-26T00:00:00"/>
    <s v="Spotify"/>
    <s v="Abonnement"/>
    <s v="Music-Streaming"/>
    <n v="-10"/>
    <s v="EUR"/>
    <x v="1"/>
    <x v="3"/>
    <x v="2"/>
    <n v="10"/>
    <x v="1"/>
  </r>
  <r>
    <d v="2017-04-27T00:00:00"/>
    <s v="Tankstelle"/>
    <s v="Kraftstoff"/>
    <s v="Auto-Tankfüllung"/>
    <n v="-60"/>
    <s v="EUR"/>
    <x v="2"/>
    <x v="3"/>
    <x v="2"/>
    <n v="60"/>
    <x v="1"/>
  </r>
  <r>
    <d v="2017-04-28T00:00:00"/>
    <s v="Versicherungsgesellschaft"/>
    <s v="Versicherungsprämie"/>
    <s v="Haftpflichtversicherung"/>
    <n v="-80"/>
    <s v="EUR"/>
    <x v="3"/>
    <x v="3"/>
    <x v="2"/>
    <n v="80"/>
    <x v="1"/>
  </r>
  <r>
    <d v="2017-04-29T00:00:00"/>
    <s v="Bäckerei"/>
    <s v="Lebensmittel-Einkauf"/>
    <s v="Brot und Gebäck"/>
    <n v="-30"/>
    <s v="EUR"/>
    <x v="4"/>
    <x v="3"/>
    <x v="2"/>
    <n v="30"/>
    <x v="1"/>
  </r>
  <r>
    <d v="2017-04-30T00:00:00"/>
    <s v="Arbeitgeber"/>
    <s v="Gutschrift"/>
    <s v="Lohn"/>
    <n v="1000"/>
    <s v="EUR"/>
    <x v="0"/>
    <x v="3"/>
    <x v="2"/>
    <n v="1000"/>
    <x v="0"/>
  </r>
  <r>
    <d v="2017-05-01T00:00:00"/>
    <s v="Netflix"/>
    <s v="Abonnement"/>
    <s v="Streaming-Dienst"/>
    <n v="-15"/>
    <s v="EUR"/>
    <x v="1"/>
    <x v="4"/>
    <x v="2"/>
    <n v="15"/>
    <x v="1"/>
  </r>
  <r>
    <d v="2017-05-02T00:00:00"/>
    <s v="Autohändler"/>
    <s v="KFZ-Zahlung"/>
    <s v="Auto-Rate"/>
    <n v="-350"/>
    <s v="EUR"/>
    <x v="2"/>
    <x v="4"/>
    <x v="2"/>
    <n v="350"/>
    <x v="1"/>
  </r>
  <r>
    <d v="2017-05-03T00:00:00"/>
    <s v="Versicherungsgesellschaft"/>
    <s v="Versicherungsprämie"/>
    <s v="Kfz-Versicherung"/>
    <n v="-120"/>
    <s v="EUR"/>
    <x v="3"/>
    <x v="4"/>
    <x v="2"/>
    <n v="120"/>
    <x v="1"/>
  </r>
  <r>
    <d v="2017-05-04T00:00:00"/>
    <s v="Supermarkt"/>
    <s v="Lebensmittel-Einkauf"/>
    <s v="Wochenendeinkauf"/>
    <n v="-80"/>
    <s v="EUR"/>
    <x v="4"/>
    <x v="4"/>
    <x v="2"/>
    <n v="80"/>
    <x v="1"/>
  </r>
  <r>
    <d v="2017-05-05T00:00:00"/>
    <s v="Arbeitgeber"/>
    <s v="Gutschrift"/>
    <s v="Lohn"/>
    <n v="1000"/>
    <s v="EUR"/>
    <x v="0"/>
    <x v="4"/>
    <x v="2"/>
    <n v="1000"/>
    <x v="0"/>
  </r>
  <r>
    <d v="2017-05-06T00:00:00"/>
    <s v="Spotify"/>
    <s v="Abonnement"/>
    <s v="Music-Streaming"/>
    <n v="-10"/>
    <s v="EUR"/>
    <x v="1"/>
    <x v="4"/>
    <x v="2"/>
    <n v="10"/>
    <x v="1"/>
  </r>
  <r>
    <d v="2017-05-07T00:00:00"/>
    <s v="Tankstelle"/>
    <s v="Kraftstoff"/>
    <s v="Auto-Tankfüllung"/>
    <n v="-65"/>
    <s v="EUR"/>
    <x v="2"/>
    <x v="4"/>
    <x v="2"/>
    <n v="65"/>
    <x v="1"/>
  </r>
  <r>
    <d v="2017-05-08T00:00:00"/>
    <s v="Versicherungsgesellschaft"/>
    <s v="Versicherungsprämie"/>
    <s v="Haftpflichtversicherung"/>
    <n v="-80"/>
    <s v="EUR"/>
    <x v="3"/>
    <x v="4"/>
    <x v="2"/>
    <n v="80"/>
    <x v="1"/>
  </r>
  <r>
    <d v="2017-05-09T00:00:00"/>
    <s v="Bäckerei"/>
    <s v="Lebensmittel-Einkauf"/>
    <s v="Brot und Gebäck"/>
    <n v="-35"/>
    <s v="EUR"/>
    <x v="4"/>
    <x v="4"/>
    <x v="2"/>
    <n v="35"/>
    <x v="1"/>
  </r>
  <r>
    <d v="2017-05-10T00:00:00"/>
    <s v="Arbeitgeber"/>
    <s v="Gutschrift"/>
    <s v="Lohn"/>
    <n v="1000"/>
    <s v="EUR"/>
    <x v="0"/>
    <x v="4"/>
    <x v="2"/>
    <n v="1000"/>
    <x v="0"/>
  </r>
  <r>
    <d v="2017-05-11T00:00:00"/>
    <s v="Arbeitgeber"/>
    <s v="Gutschrift"/>
    <s v="Lohn"/>
    <n v="1000"/>
    <s v="EUR"/>
    <x v="0"/>
    <x v="4"/>
    <x v="2"/>
    <n v="1000"/>
    <x v="0"/>
  </r>
  <r>
    <d v="2017-05-12T00:00:00"/>
    <s v="Netflix"/>
    <s v="Abonnement"/>
    <s v="Streaming-Dienst"/>
    <n v="-15"/>
    <s v="EUR"/>
    <x v="1"/>
    <x v="4"/>
    <x v="2"/>
    <n v="15"/>
    <x v="1"/>
  </r>
  <r>
    <d v="2017-05-13T00:00:00"/>
    <s v="Autohändler"/>
    <s v="KFZ-Zahlung"/>
    <s v="Auto-Rate"/>
    <n v="-350"/>
    <s v="EUR"/>
    <x v="2"/>
    <x v="4"/>
    <x v="2"/>
    <n v="350"/>
    <x v="1"/>
  </r>
  <r>
    <d v="2017-05-14T00:00:00"/>
    <s v="Versicherungsgesellschaft"/>
    <s v="Versicherungsprämie"/>
    <s v="Kfz-Versicherung"/>
    <n v="-120"/>
    <s v="EUR"/>
    <x v="3"/>
    <x v="4"/>
    <x v="2"/>
    <n v="120"/>
    <x v="1"/>
  </r>
  <r>
    <d v="2017-05-15T00:00:00"/>
    <s v="Supermarkt"/>
    <s v="Lebensmittel-Einkauf"/>
    <s v="Wochenendeinkauf"/>
    <n v="-50"/>
    <s v="EUR"/>
    <x v="4"/>
    <x v="4"/>
    <x v="2"/>
    <n v="50"/>
    <x v="1"/>
  </r>
  <r>
    <d v="2017-05-16T00:00:00"/>
    <s v="Arbeitgeber"/>
    <s v="Gutschrift"/>
    <s v="Lohn"/>
    <n v="1000"/>
    <s v="EUR"/>
    <x v="0"/>
    <x v="4"/>
    <x v="2"/>
    <n v="1000"/>
    <x v="0"/>
  </r>
  <r>
    <d v="2017-05-17T00:00:00"/>
    <s v="Spotify"/>
    <s v="Abonnement"/>
    <s v="Music-Streaming"/>
    <n v="-10"/>
    <s v="EUR"/>
    <x v="1"/>
    <x v="4"/>
    <x v="2"/>
    <n v="10"/>
    <x v="1"/>
  </r>
  <r>
    <d v="2017-05-18T00:00:00"/>
    <s v="Tankstelle"/>
    <s v="Kraftstoff"/>
    <s v="Auto-Tankfüllung"/>
    <n v="-60"/>
    <s v="EUR"/>
    <x v="2"/>
    <x v="4"/>
    <x v="2"/>
    <n v="60"/>
    <x v="1"/>
  </r>
  <r>
    <d v="2017-05-19T00:00:00"/>
    <s v="Versicherungsgesellschaft"/>
    <s v="Versicherungsprämie"/>
    <s v="Haftpflichtversicherung"/>
    <n v="-80"/>
    <s v="EUR"/>
    <x v="3"/>
    <x v="4"/>
    <x v="2"/>
    <n v="80"/>
    <x v="1"/>
  </r>
  <r>
    <d v="2017-05-20T00:00:00"/>
    <s v="Bäckerei"/>
    <s v="Lebensmittel-Einkauf"/>
    <s v="Brot und Gebäck"/>
    <n v="-20"/>
    <s v="EUR"/>
    <x v="4"/>
    <x v="4"/>
    <x v="2"/>
    <n v="20"/>
    <x v="1"/>
  </r>
  <r>
    <d v="2017-05-21T00:00:00"/>
    <s v="Arbeitgeber"/>
    <s v="Gutschrift"/>
    <s v="Lohn"/>
    <n v="1000"/>
    <s v="EUR"/>
    <x v="0"/>
    <x v="4"/>
    <x v="2"/>
    <n v="1000"/>
    <x v="0"/>
  </r>
  <r>
    <d v="2017-05-22T00:00:00"/>
    <s v="Netflix"/>
    <s v="Abonnement"/>
    <s v="Streaming-Dienst"/>
    <n v="-15"/>
    <s v="EUR"/>
    <x v="1"/>
    <x v="4"/>
    <x v="2"/>
    <n v="15"/>
    <x v="1"/>
  </r>
  <r>
    <d v="2017-05-23T00:00:00"/>
    <s v="Autohändler"/>
    <s v="KFZ-Zahlung"/>
    <s v="Auto-Rate"/>
    <n v="-350"/>
    <s v="EUR"/>
    <x v="2"/>
    <x v="4"/>
    <x v="2"/>
    <n v="350"/>
    <x v="1"/>
  </r>
  <r>
    <d v="2017-05-24T00:00:00"/>
    <s v="Versicherungsgesellschaft"/>
    <s v="Versicherungsprämie"/>
    <s v="Kfz-Versicherung"/>
    <n v="-120"/>
    <s v="EUR"/>
    <x v="3"/>
    <x v="4"/>
    <x v="2"/>
    <n v="120"/>
    <x v="1"/>
  </r>
  <r>
    <d v="2017-05-25T00:00:00"/>
    <s v="Supermarkt"/>
    <s v="Lebensmittel-Einkauf"/>
    <s v="Wochenendeinkauf"/>
    <n v="-60"/>
    <s v="EUR"/>
    <x v="4"/>
    <x v="4"/>
    <x v="2"/>
    <n v="60"/>
    <x v="1"/>
  </r>
  <r>
    <d v="2017-05-26T00:00:00"/>
    <s v="Arbeitgeber"/>
    <s v="Gutschrift"/>
    <s v="Lohn"/>
    <n v="1000"/>
    <s v="EUR"/>
    <x v="0"/>
    <x v="4"/>
    <x v="2"/>
    <n v="1000"/>
    <x v="0"/>
  </r>
  <r>
    <d v="2017-05-27T00:00:00"/>
    <s v="Spotify"/>
    <s v="Abonnement"/>
    <s v="Music-Streaming"/>
    <n v="-10"/>
    <s v="EUR"/>
    <x v="1"/>
    <x v="4"/>
    <x v="2"/>
    <n v="10"/>
    <x v="1"/>
  </r>
  <r>
    <d v="2017-05-28T00:00:00"/>
    <s v="Tankstelle"/>
    <s v="Kraftstoff"/>
    <s v="Auto-Tankfüllung"/>
    <n v="-70"/>
    <s v="EUR"/>
    <x v="2"/>
    <x v="4"/>
    <x v="2"/>
    <n v="70"/>
    <x v="1"/>
  </r>
  <r>
    <d v="2017-05-29T00:00:00"/>
    <s v="Versicherungsgesellschaft"/>
    <s v="Versicherungsprämie"/>
    <s v="Haftpflichtversicherung"/>
    <n v="-80"/>
    <s v="EUR"/>
    <x v="3"/>
    <x v="4"/>
    <x v="2"/>
    <n v="80"/>
    <x v="1"/>
  </r>
  <r>
    <d v="2017-05-30T00:00:00"/>
    <s v="Bäckerei"/>
    <s v="Lebensmittel-Einkauf"/>
    <s v="Brot und Gebäck"/>
    <n v="-25"/>
    <s v="EUR"/>
    <x v="4"/>
    <x v="4"/>
    <x v="2"/>
    <n v="25"/>
    <x v="1"/>
  </r>
  <r>
    <d v="2017-05-31T00:00:00"/>
    <s v="Arbeitgeber"/>
    <s v="Gutschrift"/>
    <s v="Lohn"/>
    <n v="1000"/>
    <s v="EUR"/>
    <x v="0"/>
    <x v="4"/>
    <x v="2"/>
    <n v="1000"/>
    <x v="0"/>
  </r>
  <r>
    <d v="2017-06-01T00:00:00"/>
    <s v="Netflix"/>
    <s v="Abonnement"/>
    <s v="Streaming-Dienst"/>
    <n v="-15"/>
    <s v="EUR"/>
    <x v="1"/>
    <x v="5"/>
    <x v="2"/>
    <n v="15"/>
    <x v="1"/>
  </r>
  <r>
    <d v="2017-06-02T00:00:00"/>
    <s v="Autohändler"/>
    <s v="KFZ-Zahlung"/>
    <s v="Auto-Rate"/>
    <n v="-350"/>
    <s v="EUR"/>
    <x v="2"/>
    <x v="5"/>
    <x v="2"/>
    <n v="350"/>
    <x v="1"/>
  </r>
  <r>
    <d v="2017-06-03T00:00:00"/>
    <s v="Versicherungsgesellschaft"/>
    <s v="Versicherungsprämie"/>
    <s v="Kfz-Versicherung"/>
    <n v="-120"/>
    <s v="EUR"/>
    <x v="3"/>
    <x v="5"/>
    <x v="2"/>
    <n v="120"/>
    <x v="1"/>
  </r>
  <r>
    <d v="2017-06-04T00:00:00"/>
    <s v="Supermarkt"/>
    <s v="Lebensmittel-Einkauf"/>
    <s v="Wochenendeinkauf"/>
    <n v="-70"/>
    <s v="EUR"/>
    <x v="4"/>
    <x v="5"/>
    <x v="2"/>
    <n v="70"/>
    <x v="1"/>
  </r>
  <r>
    <d v="2017-06-05T00:00:00"/>
    <s v="Arbeitgeber"/>
    <s v="Gutschrift"/>
    <s v="Lohn"/>
    <n v="1000"/>
    <s v="EUR"/>
    <x v="0"/>
    <x v="5"/>
    <x v="2"/>
    <n v="1000"/>
    <x v="0"/>
  </r>
  <r>
    <d v="2017-06-06T00:00:00"/>
    <s v="Spotify"/>
    <s v="Abonnement"/>
    <s v="Music-Streaming"/>
    <n v="-10"/>
    <s v="EUR"/>
    <x v="1"/>
    <x v="5"/>
    <x v="2"/>
    <n v="10"/>
    <x v="1"/>
  </r>
  <r>
    <d v="2017-06-07T00:00:00"/>
    <s v="Tankstelle"/>
    <s v="Kraftstoff"/>
    <s v="Auto-Tankfüllung"/>
    <n v="-60"/>
    <s v="EUR"/>
    <x v="2"/>
    <x v="5"/>
    <x v="2"/>
    <n v="60"/>
    <x v="1"/>
  </r>
  <r>
    <d v="2017-06-08T00:00:00"/>
    <s v="Versicherungsgesellschaft"/>
    <s v="Versicherungsprämie"/>
    <s v="Haftpflichtversicherung"/>
    <n v="-80"/>
    <s v="EUR"/>
    <x v="3"/>
    <x v="5"/>
    <x v="2"/>
    <n v="80"/>
    <x v="1"/>
  </r>
  <r>
    <d v="2017-06-09T00:00:00"/>
    <s v="Bäckerei"/>
    <s v="Lebensmittel-Einkauf"/>
    <s v="Brot und Gebäck"/>
    <n v="-30"/>
    <s v="EUR"/>
    <x v="4"/>
    <x v="5"/>
    <x v="2"/>
    <n v="30"/>
    <x v="1"/>
  </r>
  <r>
    <d v="2017-06-10T00:00:00"/>
    <s v="Arbeitgeber"/>
    <s v="Gutschrift"/>
    <s v="Lohn"/>
    <n v="1000"/>
    <s v="EUR"/>
    <x v="0"/>
    <x v="5"/>
    <x v="2"/>
    <n v="1000"/>
    <x v="0"/>
  </r>
  <r>
    <d v="2017-06-11T00:00:00"/>
    <s v="Netflix"/>
    <s v="Abonnement"/>
    <s v="Streaming-Dienst"/>
    <n v="-15"/>
    <s v="EUR"/>
    <x v="1"/>
    <x v="5"/>
    <x v="2"/>
    <n v="15"/>
    <x v="1"/>
  </r>
  <r>
    <d v="2017-06-12T00:00:00"/>
    <s v="Autohändler"/>
    <s v="KFZ-Zahlung"/>
    <s v="Auto-Rate"/>
    <n v="-350"/>
    <s v="EUR"/>
    <x v="2"/>
    <x v="5"/>
    <x v="2"/>
    <n v="350"/>
    <x v="1"/>
  </r>
  <r>
    <d v="2017-06-13T00:00:00"/>
    <s v="Versicherungsgesellschaft"/>
    <s v="Versicherungsprämie"/>
    <s v="Kfz-Versicherung"/>
    <n v="-120"/>
    <s v="EUR"/>
    <x v="3"/>
    <x v="5"/>
    <x v="2"/>
    <n v="120"/>
    <x v="1"/>
  </r>
  <r>
    <d v="2017-06-14T00:00:00"/>
    <s v="Supermarkt"/>
    <s v="Lebensmittel-Einkauf"/>
    <s v="Wochenendeinkauf"/>
    <n v="-80"/>
    <s v="EUR"/>
    <x v="4"/>
    <x v="5"/>
    <x v="2"/>
    <n v="80"/>
    <x v="1"/>
  </r>
  <r>
    <d v="2017-06-15T00:00:00"/>
    <s v="Arbeitgeber"/>
    <s v="Gutschrift"/>
    <s v="Lohn"/>
    <n v="1000"/>
    <s v="EUR"/>
    <x v="0"/>
    <x v="5"/>
    <x v="2"/>
    <n v="1000"/>
    <x v="0"/>
  </r>
  <r>
    <d v="2017-06-16T00:00:00"/>
    <s v="Spotify"/>
    <s v="Abonnement"/>
    <s v="Music-Streaming"/>
    <n v="-10"/>
    <s v="EUR"/>
    <x v="1"/>
    <x v="5"/>
    <x v="2"/>
    <n v="10"/>
    <x v="1"/>
  </r>
  <r>
    <d v="2017-06-17T00:00:00"/>
    <s v="Tankstelle"/>
    <s v="Kraftstoff"/>
    <s v="Auto-Tankfüllung"/>
    <n v="-65"/>
    <s v="EUR"/>
    <x v="2"/>
    <x v="5"/>
    <x v="2"/>
    <n v="65"/>
    <x v="1"/>
  </r>
  <r>
    <d v="2017-06-18T00:00:00"/>
    <s v="Versicherungsgesellschaft"/>
    <s v="Versicherungsprämie"/>
    <s v="Haftpflichtversicherung"/>
    <n v="-80"/>
    <s v="EUR"/>
    <x v="3"/>
    <x v="5"/>
    <x v="2"/>
    <n v="80"/>
    <x v="1"/>
  </r>
  <r>
    <d v="2017-06-19T00:00:00"/>
    <s v="Bäckerei"/>
    <s v="Lebensmittel-Einkauf"/>
    <s v="Brot und Gebäck"/>
    <n v="-35"/>
    <s v="EUR"/>
    <x v="4"/>
    <x v="5"/>
    <x v="2"/>
    <n v="35"/>
    <x v="1"/>
  </r>
  <r>
    <d v="2017-06-20T00:00:00"/>
    <s v="Arbeitgeber"/>
    <s v="Gutschrift"/>
    <s v="Lohn"/>
    <n v="1000"/>
    <s v="EUR"/>
    <x v="0"/>
    <x v="5"/>
    <x v="2"/>
    <n v="1000"/>
    <x v="0"/>
  </r>
  <r>
    <d v="2017-06-21T00:00:00"/>
    <s v="Arbeitgeber"/>
    <s v="Gutschrift"/>
    <s v="Lohn"/>
    <n v="1000"/>
    <s v="EUR"/>
    <x v="0"/>
    <x v="5"/>
    <x v="2"/>
    <n v="1000"/>
    <x v="0"/>
  </r>
  <r>
    <d v="2017-06-22T00:00:00"/>
    <s v="Netflix"/>
    <s v="Abonnement"/>
    <s v="Streaming-Dienst"/>
    <n v="-15"/>
    <s v="EUR"/>
    <x v="1"/>
    <x v="5"/>
    <x v="2"/>
    <n v="15"/>
    <x v="1"/>
  </r>
  <r>
    <d v="2017-06-23T00:00:00"/>
    <s v="Autohändler"/>
    <s v="KFZ-Zahlung"/>
    <s v="Auto-Rate"/>
    <n v="-350"/>
    <s v="EUR"/>
    <x v="2"/>
    <x v="5"/>
    <x v="2"/>
    <n v="350"/>
    <x v="1"/>
  </r>
  <r>
    <d v="2017-06-24T00:00:00"/>
    <s v="Versicherungsgesellschaft"/>
    <s v="Versicherungsprämie"/>
    <s v="Kfz-Versicherung"/>
    <n v="-120"/>
    <s v="EUR"/>
    <x v="3"/>
    <x v="5"/>
    <x v="2"/>
    <n v="120"/>
    <x v="1"/>
  </r>
  <r>
    <d v="2017-06-25T00:00:00"/>
    <s v="Supermarkt"/>
    <s v="Lebensmittel-Einkauf"/>
    <s v="Wochenendeinkauf"/>
    <n v="-50"/>
    <s v="EUR"/>
    <x v="4"/>
    <x v="5"/>
    <x v="2"/>
    <n v="50"/>
    <x v="1"/>
  </r>
  <r>
    <d v="2017-06-26T00:00:00"/>
    <s v="Arbeitgeber"/>
    <s v="Gutschrift"/>
    <s v="Lohn"/>
    <n v="1000"/>
    <s v="EUR"/>
    <x v="0"/>
    <x v="5"/>
    <x v="2"/>
    <n v="1000"/>
    <x v="0"/>
  </r>
  <r>
    <d v="2017-06-27T00:00:00"/>
    <s v="Spotify"/>
    <s v="Abonnement"/>
    <s v="Music-Streaming"/>
    <n v="-10"/>
    <s v="EUR"/>
    <x v="1"/>
    <x v="5"/>
    <x v="2"/>
    <n v="10"/>
    <x v="1"/>
  </r>
  <r>
    <d v="2017-06-28T00:00:00"/>
    <s v="Tankstelle"/>
    <s v="Kraftstoff"/>
    <s v="Auto-Tankfüllung"/>
    <n v="-60"/>
    <s v="EUR"/>
    <x v="2"/>
    <x v="5"/>
    <x v="2"/>
    <n v="60"/>
    <x v="1"/>
  </r>
  <r>
    <d v="2017-06-29T00:00:00"/>
    <s v="Versicherungsgesellschaft"/>
    <s v="Versicherungsprämie"/>
    <s v="Haftpflichtversicherung"/>
    <n v="-80"/>
    <s v="EUR"/>
    <x v="3"/>
    <x v="5"/>
    <x v="2"/>
    <n v="80"/>
    <x v="1"/>
  </r>
  <r>
    <d v="2017-06-30T00:00:00"/>
    <s v="Bäckerei"/>
    <s v="Lebensmittel-Einkauf"/>
    <s v="Brot und Gebäck"/>
    <n v="-20"/>
    <s v="EUR"/>
    <x v="4"/>
    <x v="5"/>
    <x v="2"/>
    <n v="20"/>
    <x v="1"/>
  </r>
  <r>
    <d v="2017-07-01T00:00:00"/>
    <s v="Arbeitgeber"/>
    <s v="Gutschrift"/>
    <s v="Lohn"/>
    <n v="1000"/>
    <s v="EUR"/>
    <x v="0"/>
    <x v="6"/>
    <x v="2"/>
    <n v="1000"/>
    <x v="0"/>
  </r>
  <r>
    <d v="2017-07-02T00:00:00"/>
    <s v="Netflix"/>
    <s v="Abonnement"/>
    <s v="Streaming-Dienst"/>
    <n v="-15"/>
    <s v="EUR"/>
    <x v="1"/>
    <x v="6"/>
    <x v="2"/>
    <n v="15"/>
    <x v="1"/>
  </r>
  <r>
    <d v="2017-07-03T00:00:00"/>
    <s v="Autohändler"/>
    <s v="KFZ-Zahlung"/>
    <s v="Auto-Rate"/>
    <n v="-350"/>
    <s v="EUR"/>
    <x v="2"/>
    <x v="6"/>
    <x v="2"/>
    <n v="350"/>
    <x v="1"/>
  </r>
  <r>
    <d v="2017-07-04T00:00:00"/>
    <s v="Versicherungsgesellschaft"/>
    <s v="Versicherungsprämie"/>
    <s v="Kfz-Versicherung"/>
    <n v="-120"/>
    <s v="EUR"/>
    <x v="3"/>
    <x v="6"/>
    <x v="2"/>
    <n v="120"/>
    <x v="1"/>
  </r>
  <r>
    <d v="2017-07-05T00:00:00"/>
    <s v="Supermarkt"/>
    <s v="Lebensmittel-Einkauf"/>
    <s v="Wochenendeinkauf"/>
    <n v="-60"/>
    <s v="EUR"/>
    <x v="4"/>
    <x v="6"/>
    <x v="2"/>
    <n v="60"/>
    <x v="1"/>
  </r>
  <r>
    <d v="2017-07-06T00:00:00"/>
    <s v="Arbeitgeber"/>
    <s v="Gutschrift"/>
    <s v="Lohn"/>
    <n v="1000"/>
    <s v="EUR"/>
    <x v="0"/>
    <x v="6"/>
    <x v="2"/>
    <n v="1000"/>
    <x v="0"/>
  </r>
  <r>
    <d v="2017-07-07T00:00:00"/>
    <s v="Spotify"/>
    <s v="Abonnement"/>
    <s v="Music-Streaming"/>
    <n v="-10"/>
    <s v="EUR"/>
    <x v="1"/>
    <x v="6"/>
    <x v="2"/>
    <n v="10"/>
    <x v="1"/>
  </r>
  <r>
    <d v="2017-07-08T00:00:00"/>
    <s v="Tankstelle"/>
    <s v="Kraftstoff"/>
    <s v="Auto-Tankfüllung"/>
    <n v="-70"/>
    <s v="EUR"/>
    <x v="2"/>
    <x v="6"/>
    <x v="2"/>
    <n v="70"/>
    <x v="1"/>
  </r>
  <r>
    <d v="2017-07-09T00:00:00"/>
    <s v="Versicherungsgesellschaft"/>
    <s v="Versicherungsprämie"/>
    <s v="Haftpflichtversicherung"/>
    <n v="-80"/>
    <s v="EUR"/>
    <x v="3"/>
    <x v="6"/>
    <x v="2"/>
    <n v="80"/>
    <x v="1"/>
  </r>
  <r>
    <d v="2017-07-10T00:00:00"/>
    <s v="Bäckerei"/>
    <s v="Lebensmittel-Einkauf"/>
    <s v="Brot und Gebäck"/>
    <n v="-25"/>
    <s v="EUR"/>
    <x v="4"/>
    <x v="6"/>
    <x v="2"/>
    <n v="25"/>
    <x v="1"/>
  </r>
  <r>
    <d v="2017-07-11T00:00:00"/>
    <s v="Arbeitgeber"/>
    <s v="Gutschrift"/>
    <s v="Lohn"/>
    <n v="1000"/>
    <s v="EUR"/>
    <x v="0"/>
    <x v="6"/>
    <x v="2"/>
    <n v="1000"/>
    <x v="0"/>
  </r>
  <r>
    <d v="2017-07-12T00:00:00"/>
    <s v="Netflix"/>
    <s v="Abonnement"/>
    <s v="Streaming-Dienst"/>
    <n v="-15"/>
    <s v="EUR"/>
    <x v="1"/>
    <x v="6"/>
    <x v="2"/>
    <n v="15"/>
    <x v="1"/>
  </r>
  <r>
    <d v="2017-07-13T00:00:00"/>
    <s v="Autohändler"/>
    <s v="KFZ-Zahlung"/>
    <s v="Auto-Rate"/>
    <n v="-350"/>
    <s v="EUR"/>
    <x v="2"/>
    <x v="6"/>
    <x v="2"/>
    <n v="350"/>
    <x v="1"/>
  </r>
  <r>
    <d v="2017-07-14T00:00:00"/>
    <s v="Versicherungsgesellschaft"/>
    <s v="Versicherungsprämie"/>
    <s v="Kfz-Versicherung"/>
    <n v="-120"/>
    <s v="EUR"/>
    <x v="3"/>
    <x v="6"/>
    <x v="2"/>
    <n v="120"/>
    <x v="1"/>
  </r>
  <r>
    <d v="2017-07-15T00:00:00"/>
    <s v="Supermarkt"/>
    <s v="Lebensmittel-Einkauf"/>
    <s v="Wochenendeinkauf"/>
    <n v="-70"/>
    <s v="EUR"/>
    <x v="4"/>
    <x v="6"/>
    <x v="2"/>
    <n v="70"/>
    <x v="1"/>
  </r>
  <r>
    <d v="2017-07-16T00:00:00"/>
    <s v="Arbeitgeber"/>
    <s v="Gutschrift"/>
    <s v="Lohn"/>
    <n v="1000"/>
    <s v="EUR"/>
    <x v="0"/>
    <x v="6"/>
    <x v="2"/>
    <n v="1000"/>
    <x v="0"/>
  </r>
  <r>
    <d v="2017-07-17T00:00:00"/>
    <s v="Spotify"/>
    <s v="Abonnement"/>
    <s v="Music-Streaming"/>
    <n v="-10"/>
    <s v="EUR"/>
    <x v="1"/>
    <x v="6"/>
    <x v="2"/>
    <n v="10"/>
    <x v="1"/>
  </r>
  <r>
    <d v="2017-07-18T00:00:00"/>
    <s v="Tankstelle"/>
    <s v="Kraftstoff"/>
    <s v="Auto-Tankfüllung"/>
    <n v="-60"/>
    <s v="EUR"/>
    <x v="2"/>
    <x v="6"/>
    <x v="2"/>
    <n v="60"/>
    <x v="1"/>
  </r>
  <r>
    <d v="2017-07-19T00:00:00"/>
    <s v="Versicherungsgesellschaft"/>
    <s v="Versicherungsprämie"/>
    <s v="Haftpflichtversicherung"/>
    <n v="-80"/>
    <s v="EUR"/>
    <x v="3"/>
    <x v="6"/>
    <x v="2"/>
    <n v="80"/>
    <x v="1"/>
  </r>
  <r>
    <d v="2017-07-20T00:00:00"/>
    <s v="Bäckerei"/>
    <s v="Lebensmittel-Einkauf"/>
    <s v="Brot und Gebäck"/>
    <n v="-30"/>
    <s v="EUR"/>
    <x v="4"/>
    <x v="6"/>
    <x v="2"/>
    <n v="30"/>
    <x v="1"/>
  </r>
  <r>
    <d v="2017-07-21T00:00:00"/>
    <s v="Arbeitgeber"/>
    <s v="Gutschrift"/>
    <s v="Lohn"/>
    <n v="1000"/>
    <s v="EUR"/>
    <x v="0"/>
    <x v="6"/>
    <x v="2"/>
    <n v="1000"/>
    <x v="0"/>
  </r>
  <r>
    <d v="2017-07-22T00:00:00"/>
    <s v="Netflix"/>
    <s v="Abonnement"/>
    <s v="Streaming-Dienst"/>
    <n v="-15"/>
    <s v="EUR"/>
    <x v="1"/>
    <x v="6"/>
    <x v="2"/>
    <n v="15"/>
    <x v="1"/>
  </r>
  <r>
    <d v="2017-07-23T00:00:00"/>
    <s v="Autohändler"/>
    <s v="KFZ-Zahlung"/>
    <s v="Auto-Rate"/>
    <n v="-350"/>
    <s v="EUR"/>
    <x v="2"/>
    <x v="6"/>
    <x v="2"/>
    <n v="350"/>
    <x v="1"/>
  </r>
  <r>
    <d v="2017-07-24T00:00:00"/>
    <s v="Versicherungsgesellschaft"/>
    <s v="Versicherungsprämie"/>
    <s v="Kfz-Versicherung"/>
    <n v="-120"/>
    <s v="EUR"/>
    <x v="3"/>
    <x v="6"/>
    <x v="2"/>
    <n v="120"/>
    <x v="1"/>
  </r>
  <r>
    <d v="2017-07-25T00:00:00"/>
    <s v="Supermarkt"/>
    <s v="Lebensmittel-Einkauf"/>
    <s v="Wochenendeinkauf"/>
    <n v="-80"/>
    <s v="EUR"/>
    <x v="4"/>
    <x v="6"/>
    <x v="2"/>
    <n v="80"/>
    <x v="1"/>
  </r>
  <r>
    <d v="2017-07-26T00:00:00"/>
    <s v="Arbeitgeber"/>
    <s v="Gutschrift"/>
    <s v="Lohn"/>
    <n v="1000"/>
    <s v="EUR"/>
    <x v="0"/>
    <x v="6"/>
    <x v="2"/>
    <n v="1000"/>
    <x v="0"/>
  </r>
  <r>
    <d v="2017-07-27T00:00:00"/>
    <s v="Spotify"/>
    <s v="Abonnement"/>
    <s v="Music-Streaming"/>
    <n v="-10"/>
    <s v="EUR"/>
    <x v="1"/>
    <x v="6"/>
    <x v="2"/>
    <n v="10"/>
    <x v="1"/>
  </r>
  <r>
    <d v="2017-07-28T00:00:00"/>
    <s v="Tankstelle"/>
    <s v="Kraftstoff"/>
    <s v="Auto-Tankfüllung"/>
    <n v="-65"/>
    <s v="EUR"/>
    <x v="2"/>
    <x v="6"/>
    <x v="2"/>
    <n v="65"/>
    <x v="1"/>
  </r>
  <r>
    <d v="2017-07-29T00:00:00"/>
    <s v="Versicherungsgesellschaft"/>
    <s v="Versicherungsprämie"/>
    <s v="Haftpflichtversicherung"/>
    <n v="-80"/>
    <s v="EUR"/>
    <x v="3"/>
    <x v="6"/>
    <x v="2"/>
    <n v="80"/>
    <x v="1"/>
  </r>
  <r>
    <d v="2017-07-30T00:00:00"/>
    <s v="Bäckerei"/>
    <s v="Lebensmittel-Einkauf"/>
    <s v="Brot und Gebäck"/>
    <n v="-35"/>
    <s v="EUR"/>
    <x v="4"/>
    <x v="6"/>
    <x v="2"/>
    <n v="35"/>
    <x v="1"/>
  </r>
  <r>
    <d v="2017-07-31T00:00:00"/>
    <s v="Arbeitgeber"/>
    <s v="Gutschrift"/>
    <s v="Lohn"/>
    <n v="1000"/>
    <s v="EUR"/>
    <x v="0"/>
    <x v="6"/>
    <x v="2"/>
    <n v="1000"/>
    <x v="0"/>
  </r>
  <r>
    <d v="2017-08-01T00:00:00"/>
    <s v="Arbeitgeber"/>
    <s v="Gutschrift"/>
    <s v="Lohn"/>
    <n v="1000"/>
    <s v="EUR"/>
    <x v="0"/>
    <x v="7"/>
    <x v="2"/>
    <n v="1000"/>
    <x v="0"/>
  </r>
  <r>
    <d v="2017-08-02T00:00:00"/>
    <s v="Netflix"/>
    <s v="Abonnement"/>
    <s v="Streaming-Dienst"/>
    <n v="-15"/>
    <s v="EUR"/>
    <x v="1"/>
    <x v="7"/>
    <x v="2"/>
    <n v="15"/>
    <x v="1"/>
  </r>
  <r>
    <d v="2017-08-03T00:00:00"/>
    <s v="Autohändler"/>
    <s v="KFZ-Zahlung"/>
    <s v="Auto-Rate"/>
    <n v="-350"/>
    <s v="EUR"/>
    <x v="2"/>
    <x v="7"/>
    <x v="2"/>
    <n v="350"/>
    <x v="1"/>
  </r>
  <r>
    <d v="2017-08-04T00:00:00"/>
    <s v="Versicherungsgesellschaft"/>
    <s v="Versicherungsprämie"/>
    <s v="Kfz-Versicherung"/>
    <n v="-120"/>
    <s v="EUR"/>
    <x v="3"/>
    <x v="7"/>
    <x v="2"/>
    <n v="120"/>
    <x v="1"/>
  </r>
  <r>
    <d v="2017-08-05T00:00:00"/>
    <s v="Supermarkt"/>
    <s v="Lebensmittel-Einkauf"/>
    <s v="Wochenendeinkauf"/>
    <n v="-50"/>
    <s v="EUR"/>
    <x v="4"/>
    <x v="7"/>
    <x v="2"/>
    <n v="50"/>
    <x v="1"/>
  </r>
  <r>
    <d v="2017-08-06T00:00:00"/>
    <s v="Arbeitgeber"/>
    <s v="Gutschrift"/>
    <s v="Lohn"/>
    <n v="1000"/>
    <s v="EUR"/>
    <x v="0"/>
    <x v="7"/>
    <x v="2"/>
    <n v="1000"/>
    <x v="0"/>
  </r>
  <r>
    <d v="2017-08-07T00:00:00"/>
    <s v="Spotify"/>
    <s v="Abonnement"/>
    <s v="Music-Streaming"/>
    <n v="-10"/>
    <s v="EUR"/>
    <x v="1"/>
    <x v="7"/>
    <x v="2"/>
    <n v="10"/>
    <x v="1"/>
  </r>
  <r>
    <d v="2017-08-08T00:00:00"/>
    <s v="Tankstelle"/>
    <s v="Kraftstoff"/>
    <s v="Auto-Tankfüllung"/>
    <n v="-60"/>
    <s v="EUR"/>
    <x v="2"/>
    <x v="7"/>
    <x v="2"/>
    <n v="60"/>
    <x v="1"/>
  </r>
  <r>
    <d v="2017-08-09T00:00:00"/>
    <s v="Versicherungsgesellschaft"/>
    <s v="Versicherungsprämie"/>
    <s v="Haftpflichtversicherung"/>
    <n v="-80"/>
    <s v="EUR"/>
    <x v="3"/>
    <x v="7"/>
    <x v="2"/>
    <n v="80"/>
    <x v="1"/>
  </r>
  <r>
    <d v="2017-08-10T00:00:00"/>
    <s v="Bäckerei"/>
    <s v="Lebensmittel-Einkauf"/>
    <s v="Brot und Gebäck"/>
    <n v="-20"/>
    <s v="EUR"/>
    <x v="4"/>
    <x v="7"/>
    <x v="2"/>
    <n v="20"/>
    <x v="1"/>
  </r>
  <r>
    <d v="2017-08-11T00:00:00"/>
    <s v="Arbeitgeber"/>
    <s v="Gutschrift"/>
    <s v="Lohn"/>
    <n v="1000"/>
    <s v="EUR"/>
    <x v="0"/>
    <x v="7"/>
    <x v="2"/>
    <n v="1000"/>
    <x v="0"/>
  </r>
  <r>
    <d v="2017-08-12T00:00:00"/>
    <s v="Netflix"/>
    <s v="Abonnement"/>
    <s v="Streaming-Dienst"/>
    <n v="-15"/>
    <s v="EUR"/>
    <x v="1"/>
    <x v="7"/>
    <x v="2"/>
    <n v="15"/>
    <x v="1"/>
  </r>
  <r>
    <d v="2017-08-13T00:00:00"/>
    <s v="Autohändler"/>
    <s v="KFZ-Zahlung"/>
    <s v="Auto-Rate"/>
    <n v="-350"/>
    <s v="EUR"/>
    <x v="2"/>
    <x v="7"/>
    <x v="2"/>
    <n v="350"/>
    <x v="1"/>
  </r>
  <r>
    <d v="2017-08-14T00:00:00"/>
    <s v="Versicherungsgesellschaft"/>
    <s v="Versicherungsprämie"/>
    <s v="Kfz-Versicherung"/>
    <n v="-120"/>
    <s v="EUR"/>
    <x v="3"/>
    <x v="7"/>
    <x v="2"/>
    <n v="120"/>
    <x v="1"/>
  </r>
  <r>
    <d v="2017-08-15T00:00:00"/>
    <s v="Supermarkt"/>
    <s v="Lebensmittel-Einkauf"/>
    <s v="Wochenendeinkauf"/>
    <n v="-60"/>
    <s v="EUR"/>
    <x v="4"/>
    <x v="7"/>
    <x v="2"/>
    <n v="60"/>
    <x v="1"/>
  </r>
  <r>
    <d v="2017-08-16T00:00:00"/>
    <s v="Arbeitgeber"/>
    <s v="Gutschrift"/>
    <s v="Lohn"/>
    <n v="1000"/>
    <s v="EUR"/>
    <x v="0"/>
    <x v="7"/>
    <x v="2"/>
    <n v="1000"/>
    <x v="0"/>
  </r>
  <r>
    <d v="2017-08-17T00:00:00"/>
    <s v="Spotify"/>
    <s v="Abonnement"/>
    <s v="Music-Streaming"/>
    <n v="-10"/>
    <s v="EUR"/>
    <x v="1"/>
    <x v="7"/>
    <x v="2"/>
    <n v="10"/>
    <x v="1"/>
  </r>
  <r>
    <d v="2017-08-18T00:00:00"/>
    <s v="Tankstelle"/>
    <s v="Kraftstoff"/>
    <s v="Auto-Tankfüllung"/>
    <n v="-70"/>
    <s v="EUR"/>
    <x v="2"/>
    <x v="7"/>
    <x v="2"/>
    <n v="70"/>
    <x v="1"/>
  </r>
  <r>
    <d v="2017-08-19T00:00:00"/>
    <s v="Versicherungsgesellschaft"/>
    <s v="Versicherungsprämie"/>
    <s v="Haftpflichtversicherung"/>
    <n v="-80"/>
    <s v="EUR"/>
    <x v="3"/>
    <x v="7"/>
    <x v="2"/>
    <n v="80"/>
    <x v="1"/>
  </r>
  <r>
    <d v="2017-08-20T00:00:00"/>
    <s v="Bäckerei"/>
    <s v="Lebensmittel-Einkauf"/>
    <s v="Brot und Gebäck"/>
    <n v="-25"/>
    <s v="EUR"/>
    <x v="4"/>
    <x v="7"/>
    <x v="2"/>
    <n v="25"/>
    <x v="1"/>
  </r>
  <r>
    <d v="2017-08-21T00:00:00"/>
    <s v="Arbeitgeber"/>
    <s v="Gutschrift"/>
    <s v="Lohn"/>
    <n v="1000"/>
    <s v="EUR"/>
    <x v="0"/>
    <x v="7"/>
    <x v="2"/>
    <n v="1000"/>
    <x v="0"/>
  </r>
  <r>
    <d v="2017-08-22T00:00:00"/>
    <s v="Netflix"/>
    <s v="Abonnement"/>
    <s v="Streaming-Dienst"/>
    <n v="-15"/>
    <s v="EUR"/>
    <x v="1"/>
    <x v="7"/>
    <x v="2"/>
    <n v="15"/>
    <x v="1"/>
  </r>
  <r>
    <d v="2017-08-23T00:00:00"/>
    <s v="Autohändler"/>
    <s v="KFZ-Zahlung"/>
    <s v="Auto-Rate"/>
    <n v="-350"/>
    <s v="EUR"/>
    <x v="2"/>
    <x v="7"/>
    <x v="2"/>
    <n v="350"/>
    <x v="1"/>
  </r>
  <r>
    <d v="2017-08-24T00:00:00"/>
    <s v="Versicherungsgesellschaft"/>
    <s v="Versicherungsprämie"/>
    <s v="Kfz-Versicherung"/>
    <n v="-120"/>
    <s v="EUR"/>
    <x v="3"/>
    <x v="7"/>
    <x v="2"/>
    <n v="120"/>
    <x v="1"/>
  </r>
  <r>
    <d v="2017-08-25T00:00:00"/>
    <s v="Supermarkt"/>
    <s v="Lebensmittel-Einkauf"/>
    <s v="Wochenendeinkauf"/>
    <n v="-70"/>
    <s v="EUR"/>
    <x v="4"/>
    <x v="7"/>
    <x v="2"/>
    <n v="70"/>
    <x v="1"/>
  </r>
  <r>
    <d v="2017-08-26T00:00:00"/>
    <s v="Arbeitgeber"/>
    <s v="Gutschrift"/>
    <s v="Lohn"/>
    <n v="1000"/>
    <s v="EUR"/>
    <x v="0"/>
    <x v="7"/>
    <x v="2"/>
    <n v="1000"/>
    <x v="0"/>
  </r>
  <r>
    <d v="2017-08-27T00:00:00"/>
    <s v="Spotify"/>
    <s v="Abonnement"/>
    <s v="Music-Streaming"/>
    <n v="-10"/>
    <s v="EUR"/>
    <x v="1"/>
    <x v="7"/>
    <x v="2"/>
    <n v="10"/>
    <x v="1"/>
  </r>
  <r>
    <d v="2017-08-28T00:00:00"/>
    <s v="Tankstelle"/>
    <s v="Kraftstoff"/>
    <s v="Auto-Tankfüllung"/>
    <n v="-60"/>
    <s v="EUR"/>
    <x v="2"/>
    <x v="7"/>
    <x v="2"/>
    <n v="60"/>
    <x v="1"/>
  </r>
  <r>
    <d v="2017-08-29T00:00:00"/>
    <s v="Versicherungsgesellschaft"/>
    <s v="Versicherungsprämie"/>
    <s v="Haftpflichtversicherung"/>
    <n v="-80"/>
    <s v="EUR"/>
    <x v="3"/>
    <x v="7"/>
    <x v="2"/>
    <n v="80"/>
    <x v="1"/>
  </r>
  <r>
    <d v="2017-08-30T00:00:00"/>
    <s v="Bäckerei"/>
    <s v="Lebensmittel-Einkauf"/>
    <s v="Brot und Gebäck"/>
    <n v="-30"/>
    <s v="EUR"/>
    <x v="4"/>
    <x v="7"/>
    <x v="2"/>
    <n v="30"/>
    <x v="1"/>
  </r>
  <r>
    <d v="2017-08-31T00:00:00"/>
    <s v="Arbeitgeber"/>
    <s v="Gutschrift"/>
    <s v="Lohn"/>
    <n v="1000"/>
    <s v="EUR"/>
    <x v="0"/>
    <x v="7"/>
    <x v="2"/>
    <n v="1000"/>
    <x v="0"/>
  </r>
  <r>
    <d v="2017-09-01T00:00:00"/>
    <s v="Netflix"/>
    <s v="Abonnement"/>
    <s v="Streaming-Dienst"/>
    <n v="-15"/>
    <s v="EUR"/>
    <x v="1"/>
    <x v="8"/>
    <x v="2"/>
    <n v="15"/>
    <x v="1"/>
  </r>
  <r>
    <d v="2017-09-02T00:00:00"/>
    <s v="Autohändler"/>
    <s v="KFZ-Zahlung"/>
    <s v="Auto-Rate"/>
    <n v="-350"/>
    <s v="EUR"/>
    <x v="2"/>
    <x v="8"/>
    <x v="2"/>
    <n v="350"/>
    <x v="1"/>
  </r>
  <r>
    <d v="2017-09-03T00:00:00"/>
    <s v="Versicherungsgesellschaft"/>
    <s v="Versicherungsprämie"/>
    <s v="Kfz-Versicherung"/>
    <n v="-120"/>
    <s v="EUR"/>
    <x v="3"/>
    <x v="8"/>
    <x v="2"/>
    <n v="120"/>
    <x v="1"/>
  </r>
  <r>
    <d v="2017-09-04T00:00:00"/>
    <s v="Supermarkt"/>
    <s v="Lebensmittel-Einkauf"/>
    <s v="Wochenendeinkauf"/>
    <n v="-80"/>
    <s v="EUR"/>
    <x v="4"/>
    <x v="8"/>
    <x v="2"/>
    <n v="80"/>
    <x v="1"/>
  </r>
  <r>
    <d v="2017-09-05T00:00:00"/>
    <s v="Arbeitgeber"/>
    <s v="Gutschrift"/>
    <s v="Lohn"/>
    <n v="1000"/>
    <s v="EUR"/>
    <x v="0"/>
    <x v="8"/>
    <x v="2"/>
    <n v="1000"/>
    <x v="0"/>
  </r>
  <r>
    <d v="2017-09-06T00:00:00"/>
    <s v="Spotify"/>
    <s v="Abonnement"/>
    <s v="Music-Streaming"/>
    <n v="-10"/>
    <s v="EUR"/>
    <x v="1"/>
    <x v="8"/>
    <x v="2"/>
    <n v="10"/>
    <x v="1"/>
  </r>
  <r>
    <d v="2017-09-07T00:00:00"/>
    <s v="Tankstelle"/>
    <s v="Kraftstoff"/>
    <s v="Auto-Tankfüllung"/>
    <n v="-65"/>
    <s v="EUR"/>
    <x v="2"/>
    <x v="8"/>
    <x v="2"/>
    <n v="65"/>
    <x v="1"/>
  </r>
  <r>
    <d v="2017-09-08T00:00:00"/>
    <s v="Versicherungsgesellschaft"/>
    <s v="Versicherungsprämie"/>
    <s v="Haftpflichtversicherung"/>
    <n v="-80"/>
    <s v="EUR"/>
    <x v="3"/>
    <x v="8"/>
    <x v="2"/>
    <n v="80"/>
    <x v="1"/>
  </r>
  <r>
    <d v="2017-09-09T00:00:00"/>
    <s v="Bäckerei"/>
    <s v="Lebensmittel-Einkauf"/>
    <s v="Brot und Gebäck"/>
    <n v="-35"/>
    <s v="EUR"/>
    <x v="4"/>
    <x v="8"/>
    <x v="2"/>
    <n v="35"/>
    <x v="1"/>
  </r>
  <r>
    <d v="2017-09-10T00:00:00"/>
    <s v="Arbeitgeber"/>
    <s v="Gutschrift"/>
    <s v="Lohn"/>
    <n v="1000"/>
    <s v="EUR"/>
    <x v="0"/>
    <x v="8"/>
    <x v="2"/>
    <n v="1000"/>
    <x v="0"/>
  </r>
  <r>
    <d v="2017-09-11T00:00:00"/>
    <s v="Arbeitgeber"/>
    <s v="Gutschrift"/>
    <s v="Lohn"/>
    <n v="1000"/>
    <s v="EUR"/>
    <x v="0"/>
    <x v="8"/>
    <x v="2"/>
    <n v="1000"/>
    <x v="0"/>
  </r>
  <r>
    <d v="2017-09-12T00:00:00"/>
    <s v="Netflix"/>
    <s v="Abonnement"/>
    <s v="Streaming-Dienst"/>
    <n v="-15"/>
    <s v="EUR"/>
    <x v="1"/>
    <x v="8"/>
    <x v="2"/>
    <n v="15"/>
    <x v="1"/>
  </r>
  <r>
    <d v="2017-09-13T00:00:00"/>
    <s v="Autohändler"/>
    <s v="KFZ-Zahlung"/>
    <s v="Auto-Rate"/>
    <n v="-350"/>
    <s v="EUR"/>
    <x v="2"/>
    <x v="8"/>
    <x v="2"/>
    <n v="350"/>
    <x v="1"/>
  </r>
  <r>
    <d v="2017-09-14T00:00:00"/>
    <s v="Versicherungsgesellschaft"/>
    <s v="Versicherungsprämie"/>
    <s v="Kfz-Versicherung"/>
    <n v="-120"/>
    <s v="EUR"/>
    <x v="3"/>
    <x v="8"/>
    <x v="2"/>
    <n v="120"/>
    <x v="1"/>
  </r>
  <r>
    <d v="2017-09-15T00:00:00"/>
    <s v="Supermarkt"/>
    <s v="Lebensmittel-Einkauf"/>
    <s v="Wochenendeinkauf"/>
    <n v="-50"/>
    <s v="EUR"/>
    <x v="4"/>
    <x v="8"/>
    <x v="2"/>
    <n v="50"/>
    <x v="1"/>
  </r>
  <r>
    <d v="2017-09-16T00:00:00"/>
    <s v="Arbeitgeber"/>
    <s v="Gutschrift"/>
    <s v="Lohn"/>
    <n v="1000"/>
    <s v="EUR"/>
    <x v="0"/>
    <x v="8"/>
    <x v="2"/>
    <n v="1000"/>
    <x v="0"/>
  </r>
  <r>
    <d v="2017-09-17T00:00:00"/>
    <s v="Spotify"/>
    <s v="Abonnement"/>
    <s v="Music-Streaming"/>
    <n v="-10"/>
    <s v="EUR"/>
    <x v="1"/>
    <x v="8"/>
    <x v="2"/>
    <n v="10"/>
    <x v="1"/>
  </r>
  <r>
    <d v="2017-09-18T00:00:00"/>
    <s v="Tankstelle"/>
    <s v="Kraftstoff"/>
    <s v="Auto-Tankfüllung"/>
    <n v="-60"/>
    <s v="EUR"/>
    <x v="2"/>
    <x v="8"/>
    <x v="2"/>
    <n v="60"/>
    <x v="1"/>
  </r>
  <r>
    <d v="2017-09-19T00:00:00"/>
    <s v="Versicherungsgesellschaft"/>
    <s v="Versicherungsprämie"/>
    <s v="Haftpflichtversicherung"/>
    <n v="-80"/>
    <s v="EUR"/>
    <x v="3"/>
    <x v="8"/>
    <x v="2"/>
    <n v="80"/>
    <x v="1"/>
  </r>
  <r>
    <d v="2017-09-20T00:00:00"/>
    <s v="Bäckerei"/>
    <s v="Lebensmittel-Einkauf"/>
    <s v="Brot und Gebäck"/>
    <n v="-20"/>
    <s v="EUR"/>
    <x v="4"/>
    <x v="8"/>
    <x v="2"/>
    <n v="20"/>
    <x v="1"/>
  </r>
  <r>
    <d v="2017-09-21T00:00:00"/>
    <s v="Arbeitgeber"/>
    <s v="Gutschrift"/>
    <s v="Lohn"/>
    <n v="1000"/>
    <s v="EUR"/>
    <x v="0"/>
    <x v="8"/>
    <x v="2"/>
    <n v="1000"/>
    <x v="0"/>
  </r>
  <r>
    <d v="2017-09-22T00:00:00"/>
    <s v="Netflix"/>
    <s v="Abonnement"/>
    <s v="Streaming-Dienst"/>
    <n v="-15"/>
    <s v="EUR"/>
    <x v="1"/>
    <x v="8"/>
    <x v="2"/>
    <n v="15"/>
    <x v="1"/>
  </r>
  <r>
    <d v="2017-09-23T00:00:00"/>
    <s v="Autohändler"/>
    <s v="KFZ-Zahlung"/>
    <s v="Auto-Rate"/>
    <n v="-350"/>
    <s v="EUR"/>
    <x v="2"/>
    <x v="8"/>
    <x v="2"/>
    <n v="350"/>
    <x v="1"/>
  </r>
  <r>
    <d v="2017-09-24T00:00:00"/>
    <s v="Versicherungsgesellschaft"/>
    <s v="Versicherungsprämie"/>
    <s v="Kfz-Versicherung"/>
    <n v="-120"/>
    <s v="EUR"/>
    <x v="3"/>
    <x v="8"/>
    <x v="2"/>
    <n v="120"/>
    <x v="1"/>
  </r>
  <r>
    <d v="2017-09-25T00:00:00"/>
    <s v="Supermarkt"/>
    <s v="Lebensmittel-Einkauf"/>
    <s v="Wochenendeinkauf"/>
    <n v="-60"/>
    <s v="EUR"/>
    <x v="4"/>
    <x v="8"/>
    <x v="2"/>
    <n v="60"/>
    <x v="1"/>
  </r>
  <r>
    <d v="2017-09-26T00:00:00"/>
    <s v="Arbeitgeber"/>
    <s v="Gutschrift"/>
    <s v="Lohn"/>
    <n v="1000"/>
    <s v="EUR"/>
    <x v="0"/>
    <x v="8"/>
    <x v="2"/>
    <n v="1000"/>
    <x v="0"/>
  </r>
  <r>
    <d v="2017-09-27T00:00:00"/>
    <s v="Spotify"/>
    <s v="Abonnement"/>
    <s v="Music-Streaming"/>
    <n v="-10"/>
    <s v="EUR"/>
    <x v="1"/>
    <x v="8"/>
    <x v="2"/>
    <n v="10"/>
    <x v="1"/>
  </r>
  <r>
    <d v="2017-09-28T00:00:00"/>
    <s v="Tankstelle"/>
    <s v="Kraftstoff"/>
    <s v="Auto-Tankfüllung"/>
    <n v="-70"/>
    <s v="EUR"/>
    <x v="2"/>
    <x v="8"/>
    <x v="2"/>
    <n v="70"/>
    <x v="1"/>
  </r>
  <r>
    <d v="2017-09-29T00:00:00"/>
    <s v="Versicherungsgesellschaft"/>
    <s v="Versicherungsprämie"/>
    <s v="Haftpflichtversicherung"/>
    <n v="-80"/>
    <s v="EUR"/>
    <x v="3"/>
    <x v="8"/>
    <x v="2"/>
    <n v="80"/>
    <x v="1"/>
  </r>
  <r>
    <d v="2017-09-30T00:00:00"/>
    <s v="Bäckerei"/>
    <s v="Lebensmittel-Einkauf"/>
    <s v="Brot und Gebäck"/>
    <n v="-25"/>
    <s v="EUR"/>
    <x v="4"/>
    <x v="8"/>
    <x v="2"/>
    <n v="25"/>
    <x v="1"/>
  </r>
  <r>
    <d v="2017-10-01T00:00:00"/>
    <s v="Arbeitgeber"/>
    <s v="Gutschrift"/>
    <s v="Lohn"/>
    <n v="1000"/>
    <s v="EUR"/>
    <x v="0"/>
    <x v="9"/>
    <x v="2"/>
    <n v="1000"/>
    <x v="0"/>
  </r>
  <r>
    <d v="2017-10-02T00:00:00"/>
    <s v="Netflix"/>
    <s v="Abonnement"/>
    <s v="Streaming-Dienst"/>
    <n v="-15"/>
    <s v="EUR"/>
    <x v="1"/>
    <x v="9"/>
    <x v="2"/>
    <n v="15"/>
    <x v="1"/>
  </r>
  <r>
    <d v="2017-10-03T00:00:00"/>
    <s v="Autohändler"/>
    <s v="KFZ-Zahlung"/>
    <s v="Auto-Rate"/>
    <n v="-350"/>
    <s v="EUR"/>
    <x v="2"/>
    <x v="9"/>
    <x v="2"/>
    <n v="350"/>
    <x v="1"/>
  </r>
  <r>
    <d v="2017-10-04T00:00:00"/>
    <s v="Versicherungsgesellschaft"/>
    <s v="Versicherungsprämie"/>
    <s v="Kfz-Versicherung"/>
    <n v="-120"/>
    <s v="EUR"/>
    <x v="3"/>
    <x v="9"/>
    <x v="2"/>
    <n v="120"/>
    <x v="1"/>
  </r>
  <r>
    <d v="2017-10-05T00:00:00"/>
    <s v="Supermarkt"/>
    <s v="Lebensmittel-Einkauf"/>
    <s v="Wochenendeinkauf"/>
    <n v="-70"/>
    <s v="EUR"/>
    <x v="4"/>
    <x v="9"/>
    <x v="2"/>
    <n v="70"/>
    <x v="1"/>
  </r>
  <r>
    <d v="2017-10-06T00:00:00"/>
    <s v="Arbeitgeber"/>
    <s v="Gutschrift"/>
    <s v="Lohn"/>
    <n v="1000"/>
    <s v="EUR"/>
    <x v="0"/>
    <x v="9"/>
    <x v="2"/>
    <n v="1000"/>
    <x v="0"/>
  </r>
  <r>
    <d v="2017-10-07T00:00:00"/>
    <s v="Spotify"/>
    <s v="Abonnement"/>
    <s v="Music-Streaming"/>
    <n v="-10"/>
    <s v="EUR"/>
    <x v="1"/>
    <x v="9"/>
    <x v="2"/>
    <n v="10"/>
    <x v="1"/>
  </r>
  <r>
    <d v="2017-10-08T00:00:00"/>
    <s v="Tankstelle"/>
    <s v="Kraftstoff"/>
    <s v="Auto-Tankfüllung"/>
    <n v="-60"/>
    <s v="EUR"/>
    <x v="2"/>
    <x v="9"/>
    <x v="2"/>
    <n v="60"/>
    <x v="1"/>
  </r>
  <r>
    <d v="2017-10-09T00:00:00"/>
    <s v="Versicherungsgesellschaft"/>
    <s v="Versicherungsprämie"/>
    <s v="Haftpflichtversicherung"/>
    <n v="-80"/>
    <s v="EUR"/>
    <x v="3"/>
    <x v="9"/>
    <x v="2"/>
    <n v="80"/>
    <x v="1"/>
  </r>
  <r>
    <d v="2017-10-10T00:00:00"/>
    <s v="Bäckerei"/>
    <s v="Lebensmittel-Einkauf"/>
    <s v="Brot und Gebäck"/>
    <n v="-30"/>
    <s v="EUR"/>
    <x v="4"/>
    <x v="9"/>
    <x v="2"/>
    <n v="30"/>
    <x v="1"/>
  </r>
  <r>
    <d v="2017-10-11T00:00:00"/>
    <s v="Arbeitgeber"/>
    <s v="Gutschrift"/>
    <s v="Lohn"/>
    <n v="1000"/>
    <s v="EUR"/>
    <x v="0"/>
    <x v="9"/>
    <x v="2"/>
    <n v="1000"/>
    <x v="0"/>
  </r>
  <r>
    <d v="2017-10-12T00:00:00"/>
    <s v="Netflix"/>
    <s v="Abonnement"/>
    <s v="Streaming-Dienst"/>
    <n v="-15"/>
    <s v="EUR"/>
    <x v="1"/>
    <x v="9"/>
    <x v="2"/>
    <n v="15"/>
    <x v="1"/>
  </r>
  <r>
    <d v="2017-10-13T00:00:00"/>
    <s v="Autohändler"/>
    <s v="KFZ-Zahlung"/>
    <s v="Auto-Rate"/>
    <n v="-350"/>
    <s v="EUR"/>
    <x v="2"/>
    <x v="9"/>
    <x v="2"/>
    <n v="350"/>
    <x v="1"/>
  </r>
  <r>
    <d v="2017-10-14T00:00:00"/>
    <s v="Versicherungsgesellschaft"/>
    <s v="Versicherungsprämie"/>
    <s v="Kfz-Versicherung"/>
    <n v="-120"/>
    <s v="EUR"/>
    <x v="3"/>
    <x v="9"/>
    <x v="2"/>
    <n v="120"/>
    <x v="1"/>
  </r>
  <r>
    <d v="2017-10-15T00:00:00"/>
    <s v="Supermarkt"/>
    <s v="Lebensmittel-Einkauf"/>
    <s v="Wochenendeinkauf"/>
    <n v="-80"/>
    <s v="EUR"/>
    <x v="4"/>
    <x v="9"/>
    <x v="2"/>
    <n v="80"/>
    <x v="1"/>
  </r>
  <r>
    <d v="2017-10-16T00:00:00"/>
    <s v="Arbeitgeber"/>
    <s v="Gutschrift"/>
    <s v="Lohn"/>
    <n v="1000"/>
    <s v="EUR"/>
    <x v="0"/>
    <x v="9"/>
    <x v="2"/>
    <n v="1000"/>
    <x v="0"/>
  </r>
  <r>
    <d v="2017-10-17T00:00:00"/>
    <s v="Spotify"/>
    <s v="Abonnement"/>
    <s v="Music-Streaming"/>
    <n v="-10"/>
    <s v="EUR"/>
    <x v="1"/>
    <x v="9"/>
    <x v="2"/>
    <n v="10"/>
    <x v="1"/>
  </r>
  <r>
    <d v="2017-10-18T00:00:00"/>
    <s v="Tankstelle"/>
    <s v="Kraftstoff"/>
    <s v="Auto-Tankfüllung"/>
    <n v="-65"/>
    <s v="EUR"/>
    <x v="2"/>
    <x v="9"/>
    <x v="2"/>
    <n v="65"/>
    <x v="1"/>
  </r>
  <r>
    <d v="2017-10-19T00:00:00"/>
    <s v="Versicherungsgesellschaft"/>
    <s v="Versicherungsprämie"/>
    <s v="Haftpflichtversicherung"/>
    <n v="-80"/>
    <s v="EUR"/>
    <x v="3"/>
    <x v="9"/>
    <x v="2"/>
    <n v="80"/>
    <x v="1"/>
  </r>
  <r>
    <d v="2017-10-20T00:00:00"/>
    <s v="Bäckerei"/>
    <s v="Lebensmittel-Einkauf"/>
    <s v="Brot und Gebäck"/>
    <n v="-35"/>
    <s v="EUR"/>
    <x v="4"/>
    <x v="9"/>
    <x v="2"/>
    <n v="35"/>
    <x v="1"/>
  </r>
  <r>
    <d v="2017-10-21T00:00:00"/>
    <s v="Arbeitgeber"/>
    <s v="Gutschrift"/>
    <s v="Lohn"/>
    <n v="1000"/>
    <s v="EUR"/>
    <x v="0"/>
    <x v="9"/>
    <x v="2"/>
    <n v="1000"/>
    <x v="0"/>
  </r>
  <r>
    <d v="2017-10-22T00:00:00"/>
    <s v="Arbeitgeber"/>
    <s v="Gutschrift"/>
    <s v="Lohn"/>
    <n v="1000"/>
    <s v="EUR"/>
    <x v="0"/>
    <x v="9"/>
    <x v="2"/>
    <n v="1000"/>
    <x v="0"/>
  </r>
  <r>
    <d v="2017-10-23T00:00:00"/>
    <s v="Netflix"/>
    <s v="Abonnement"/>
    <s v="Streaming-Dienst"/>
    <n v="-15"/>
    <s v="EUR"/>
    <x v="1"/>
    <x v="9"/>
    <x v="2"/>
    <n v="15"/>
    <x v="1"/>
  </r>
  <r>
    <d v="2017-10-24T00:00:00"/>
    <s v="Autohändler"/>
    <s v="KFZ-Zahlung"/>
    <s v="Auto-Rate"/>
    <n v="-350"/>
    <s v="EUR"/>
    <x v="2"/>
    <x v="9"/>
    <x v="2"/>
    <n v="350"/>
    <x v="1"/>
  </r>
  <r>
    <d v="2017-10-25T00:00:00"/>
    <s v="Versicherungsgesellschaft"/>
    <s v="Versicherungsprämie"/>
    <s v="Kfz-Versicherung"/>
    <n v="-120"/>
    <s v="EUR"/>
    <x v="3"/>
    <x v="9"/>
    <x v="2"/>
    <n v="120"/>
    <x v="1"/>
  </r>
  <r>
    <d v="2017-10-26T00:00:00"/>
    <s v="Supermarkt"/>
    <s v="Lebensmittel-Einkauf"/>
    <s v="Wochenendeinkauf"/>
    <n v="-50"/>
    <s v="EUR"/>
    <x v="4"/>
    <x v="9"/>
    <x v="2"/>
    <n v="50"/>
    <x v="1"/>
  </r>
  <r>
    <d v="2017-10-27T00:00:00"/>
    <s v="Arbeitgeber"/>
    <s v="Gutschrift"/>
    <s v="Lohn"/>
    <n v="1000"/>
    <s v="EUR"/>
    <x v="0"/>
    <x v="9"/>
    <x v="2"/>
    <n v="1000"/>
    <x v="0"/>
  </r>
  <r>
    <d v="2017-10-28T00:00:00"/>
    <s v="Spotify"/>
    <s v="Abonnement"/>
    <s v="Music-Streaming"/>
    <n v="-10"/>
    <s v="EUR"/>
    <x v="1"/>
    <x v="9"/>
    <x v="2"/>
    <n v="10"/>
    <x v="1"/>
  </r>
  <r>
    <d v="2017-10-29T00:00:00"/>
    <s v="Tankstelle"/>
    <s v="Kraftstoff"/>
    <s v="Auto-Tankfüllung"/>
    <n v="-60"/>
    <s v="EUR"/>
    <x v="2"/>
    <x v="9"/>
    <x v="2"/>
    <n v="60"/>
    <x v="1"/>
  </r>
  <r>
    <d v="2017-10-30T00:00:00"/>
    <s v="Versicherungsgesellschaft"/>
    <s v="Versicherungsprämie"/>
    <s v="Haftpflichtversicherung"/>
    <n v="-80"/>
    <s v="EUR"/>
    <x v="3"/>
    <x v="9"/>
    <x v="2"/>
    <n v="80"/>
    <x v="1"/>
  </r>
  <r>
    <d v="2017-10-31T00:00:00"/>
    <s v="Bäckerei"/>
    <s v="Lebensmittel-Einkauf"/>
    <s v="Brot und Gebäck"/>
    <n v="-20"/>
    <s v="EUR"/>
    <x v="4"/>
    <x v="9"/>
    <x v="2"/>
    <n v="20"/>
    <x v="1"/>
  </r>
  <r>
    <d v="2017-11-01T00:00:00"/>
    <s v="Arbeitgeber"/>
    <s v="Gutschrift"/>
    <s v="Lohn"/>
    <n v="1000"/>
    <s v="EUR"/>
    <x v="0"/>
    <x v="10"/>
    <x v="2"/>
    <n v="1000"/>
    <x v="0"/>
  </r>
  <r>
    <d v="2017-11-02T00:00:00"/>
    <s v="Netflix"/>
    <s v="Abonnement"/>
    <s v="Streaming-Dienst"/>
    <n v="-15"/>
    <s v="EUR"/>
    <x v="1"/>
    <x v="10"/>
    <x v="2"/>
    <n v="15"/>
    <x v="1"/>
  </r>
  <r>
    <d v="2017-11-03T00:00:00"/>
    <s v="Autohändler"/>
    <s v="KFZ-Zahlung"/>
    <s v="Auto-Rate"/>
    <n v="-350"/>
    <s v="EUR"/>
    <x v="2"/>
    <x v="10"/>
    <x v="2"/>
    <n v="350"/>
    <x v="1"/>
  </r>
  <r>
    <d v="2017-11-04T00:00:00"/>
    <s v="Versicherungsgesellschaft"/>
    <s v="Versicherungsprämie"/>
    <s v="Kfz-Versicherung"/>
    <n v="-120"/>
    <s v="EUR"/>
    <x v="3"/>
    <x v="10"/>
    <x v="2"/>
    <n v="120"/>
    <x v="1"/>
  </r>
  <r>
    <d v="2017-11-05T00:00:00"/>
    <s v="Supermarkt"/>
    <s v="Lebensmittel-Einkauf"/>
    <s v="Wochenendeinkauf"/>
    <n v="-60"/>
    <s v="EUR"/>
    <x v="4"/>
    <x v="10"/>
    <x v="2"/>
    <n v="60"/>
    <x v="1"/>
  </r>
  <r>
    <d v="2017-11-06T00:00:00"/>
    <s v="Arbeitgeber"/>
    <s v="Gutschrift"/>
    <s v="Lohn"/>
    <n v="1000"/>
    <s v="EUR"/>
    <x v="0"/>
    <x v="10"/>
    <x v="2"/>
    <n v="1000"/>
    <x v="0"/>
  </r>
  <r>
    <d v="2017-11-07T00:00:00"/>
    <s v="Spotify"/>
    <s v="Abonnement"/>
    <s v="Music-Streaming"/>
    <n v="-10"/>
    <s v="EUR"/>
    <x v="1"/>
    <x v="10"/>
    <x v="2"/>
    <n v="10"/>
    <x v="1"/>
  </r>
  <r>
    <d v="2017-11-08T00:00:00"/>
    <s v="Tankstelle"/>
    <s v="Kraftstoff"/>
    <s v="Auto-Tankfüllung"/>
    <n v="-70"/>
    <s v="EUR"/>
    <x v="2"/>
    <x v="10"/>
    <x v="2"/>
    <n v="70"/>
    <x v="1"/>
  </r>
  <r>
    <d v="2017-11-09T00:00:00"/>
    <s v="Versicherungsgesellschaft"/>
    <s v="Versicherungsprämie"/>
    <s v="Haftpflichtversicherung"/>
    <n v="-80"/>
    <s v="EUR"/>
    <x v="3"/>
    <x v="10"/>
    <x v="2"/>
    <n v="80"/>
    <x v="1"/>
  </r>
  <r>
    <d v="2017-11-10T00:00:00"/>
    <s v="Bäckerei"/>
    <s v="Lebensmittel-Einkauf"/>
    <s v="Brot und Gebäck"/>
    <n v="-25"/>
    <s v="EUR"/>
    <x v="4"/>
    <x v="10"/>
    <x v="2"/>
    <n v="25"/>
    <x v="1"/>
  </r>
  <r>
    <d v="2017-11-11T00:00:00"/>
    <s v="Arbeitgeber"/>
    <s v="Gutschrift"/>
    <s v="Lohn"/>
    <n v="1000"/>
    <s v="EUR"/>
    <x v="0"/>
    <x v="10"/>
    <x v="2"/>
    <n v="1000"/>
    <x v="0"/>
  </r>
  <r>
    <d v="2017-11-12T00:00:00"/>
    <s v="Netflix"/>
    <s v="Abonnement"/>
    <s v="Streaming-Dienst"/>
    <n v="-15"/>
    <s v="EUR"/>
    <x v="1"/>
    <x v="10"/>
    <x v="2"/>
    <n v="15"/>
    <x v="1"/>
  </r>
  <r>
    <d v="2017-11-13T00:00:00"/>
    <s v="Autohändler"/>
    <s v="KFZ-Zahlung"/>
    <s v="Auto-Rate"/>
    <n v="-350"/>
    <s v="EUR"/>
    <x v="2"/>
    <x v="10"/>
    <x v="2"/>
    <n v="350"/>
    <x v="1"/>
  </r>
  <r>
    <d v="2017-11-14T00:00:00"/>
    <s v="Versicherungsgesellschaft"/>
    <s v="Versicherungsprämie"/>
    <s v="Kfz-Versicherung"/>
    <n v="-120"/>
    <s v="EUR"/>
    <x v="3"/>
    <x v="10"/>
    <x v="2"/>
    <n v="120"/>
    <x v="1"/>
  </r>
  <r>
    <d v="2017-11-15T00:00:00"/>
    <s v="Supermarkt"/>
    <s v="Lebensmittel-Einkauf"/>
    <s v="Wochenendeinkauf"/>
    <n v="-70"/>
    <s v="EUR"/>
    <x v="4"/>
    <x v="10"/>
    <x v="2"/>
    <n v="70"/>
    <x v="1"/>
  </r>
  <r>
    <d v="2017-11-16T00:00:00"/>
    <s v="Arbeitgeber"/>
    <s v="Gutschrift"/>
    <s v="Lohn"/>
    <n v="1000"/>
    <s v="EUR"/>
    <x v="0"/>
    <x v="10"/>
    <x v="2"/>
    <n v="1000"/>
    <x v="0"/>
  </r>
  <r>
    <d v="2017-11-17T00:00:00"/>
    <s v="Spotify"/>
    <s v="Abonnement"/>
    <s v="Music-Streaming"/>
    <n v="-10"/>
    <s v="EUR"/>
    <x v="1"/>
    <x v="10"/>
    <x v="2"/>
    <n v="10"/>
    <x v="1"/>
  </r>
  <r>
    <d v="2017-11-18T00:00:00"/>
    <s v="Tankstelle"/>
    <s v="Kraftstoff"/>
    <s v="Auto-Tankfüllung"/>
    <n v="-60"/>
    <s v="EUR"/>
    <x v="2"/>
    <x v="10"/>
    <x v="2"/>
    <n v="60"/>
    <x v="1"/>
  </r>
  <r>
    <d v="2017-11-19T00:00:00"/>
    <s v="Versicherungsgesellschaft"/>
    <s v="Versicherungsprämie"/>
    <s v="Haftpflichtversicherung"/>
    <n v="-80"/>
    <s v="EUR"/>
    <x v="3"/>
    <x v="10"/>
    <x v="2"/>
    <n v="80"/>
    <x v="1"/>
  </r>
  <r>
    <d v="2017-11-20T00:00:00"/>
    <s v="Bäckerei"/>
    <s v="Lebensmittel-Einkauf"/>
    <s v="Brot und Gebäck"/>
    <n v="-30"/>
    <s v="EUR"/>
    <x v="4"/>
    <x v="10"/>
    <x v="2"/>
    <n v="30"/>
    <x v="1"/>
  </r>
  <r>
    <d v="2017-11-21T00:00:00"/>
    <s v="Arbeitgeber"/>
    <s v="Gutschrift"/>
    <s v="Lohn"/>
    <n v="1000"/>
    <s v="EUR"/>
    <x v="0"/>
    <x v="10"/>
    <x v="2"/>
    <n v="1000"/>
    <x v="0"/>
  </r>
  <r>
    <d v="2017-11-22T00:00:00"/>
    <s v="Netflix"/>
    <s v="Abonnement"/>
    <s v="Streaming-Dienst"/>
    <n v="-15"/>
    <s v="EUR"/>
    <x v="1"/>
    <x v="10"/>
    <x v="2"/>
    <n v="15"/>
    <x v="1"/>
  </r>
  <r>
    <d v="2017-11-23T00:00:00"/>
    <s v="Autohändler"/>
    <s v="KFZ-Zahlung"/>
    <s v="Auto-Rate"/>
    <n v="-350"/>
    <s v="EUR"/>
    <x v="2"/>
    <x v="10"/>
    <x v="2"/>
    <n v="350"/>
    <x v="1"/>
  </r>
  <r>
    <d v="2017-11-24T00:00:00"/>
    <s v="Versicherungsgesellschaft"/>
    <s v="Versicherungsprämie"/>
    <s v="Kfz-Versicherung"/>
    <n v="-120"/>
    <s v="EUR"/>
    <x v="3"/>
    <x v="10"/>
    <x v="2"/>
    <n v="120"/>
    <x v="1"/>
  </r>
  <r>
    <d v="2017-11-25T00:00:00"/>
    <s v="Supermarkt"/>
    <s v="Lebensmittel-Einkauf"/>
    <s v="Wochenendeinkauf"/>
    <n v="-80"/>
    <s v="EUR"/>
    <x v="4"/>
    <x v="10"/>
    <x v="2"/>
    <n v="80"/>
    <x v="1"/>
  </r>
  <r>
    <d v="2017-11-26T00:00:00"/>
    <s v="Arbeitgeber"/>
    <s v="Gutschrift"/>
    <s v="Lohn"/>
    <n v="1000"/>
    <s v="EUR"/>
    <x v="0"/>
    <x v="10"/>
    <x v="2"/>
    <n v="1000"/>
    <x v="0"/>
  </r>
  <r>
    <d v="2017-11-27T00:00:00"/>
    <s v="Spotify"/>
    <s v="Abonnement"/>
    <s v="Music-Streaming"/>
    <n v="-10"/>
    <s v="EUR"/>
    <x v="1"/>
    <x v="10"/>
    <x v="2"/>
    <n v="10"/>
    <x v="1"/>
  </r>
  <r>
    <d v="2017-11-28T00:00:00"/>
    <s v="Tankstelle"/>
    <s v="Kraftstoff"/>
    <s v="Auto-Tankfüllung"/>
    <n v="-65"/>
    <s v="EUR"/>
    <x v="2"/>
    <x v="10"/>
    <x v="2"/>
    <n v="65"/>
    <x v="1"/>
  </r>
  <r>
    <d v="2017-11-29T00:00:00"/>
    <s v="Versicherungsgesellschaft"/>
    <s v="Versicherungsprämie"/>
    <s v="Haftpflichtversicherung"/>
    <n v="-80"/>
    <s v="EUR"/>
    <x v="3"/>
    <x v="10"/>
    <x v="2"/>
    <n v="80"/>
    <x v="1"/>
  </r>
  <r>
    <d v="2017-11-30T00:00:00"/>
    <s v="Bäckerei"/>
    <s v="Lebensmittel-Einkauf"/>
    <s v="Brot und Gebäck"/>
    <n v="-35"/>
    <s v="EUR"/>
    <x v="4"/>
    <x v="10"/>
    <x v="2"/>
    <n v="35"/>
    <x v="1"/>
  </r>
  <r>
    <d v="2017-12-01T00:00:00"/>
    <s v="Arbeitgeber"/>
    <s v="Gutschrift"/>
    <s v="Lohn"/>
    <n v="1000"/>
    <s v="EUR"/>
    <x v="0"/>
    <x v="11"/>
    <x v="2"/>
    <n v="1000"/>
    <x v="0"/>
  </r>
  <r>
    <d v="2017-12-02T00:00:00"/>
    <s v="Arbeitgeber"/>
    <s v="Gutschrift"/>
    <s v="Lohn"/>
    <n v="1000"/>
    <s v="EUR"/>
    <x v="0"/>
    <x v="11"/>
    <x v="2"/>
    <n v="1000"/>
    <x v="0"/>
  </r>
  <r>
    <d v="2017-12-03T00:00:00"/>
    <s v="Netflix"/>
    <s v="Abonnement"/>
    <s v="Streaming-Dienst"/>
    <n v="-15"/>
    <s v="EUR"/>
    <x v="1"/>
    <x v="11"/>
    <x v="2"/>
    <n v="15"/>
    <x v="1"/>
  </r>
  <r>
    <d v="2017-12-04T00:00:00"/>
    <s v="Autohändler"/>
    <s v="KFZ-Zahlung"/>
    <s v="Auto-Rate"/>
    <n v="-350"/>
    <s v="EUR"/>
    <x v="2"/>
    <x v="11"/>
    <x v="2"/>
    <n v="350"/>
    <x v="1"/>
  </r>
  <r>
    <d v="2017-12-05T00:00:00"/>
    <s v="Versicherungsgesellschaft"/>
    <s v="Versicherungsprämie"/>
    <s v="Kfz-Versicherung"/>
    <n v="-120"/>
    <s v="EUR"/>
    <x v="3"/>
    <x v="11"/>
    <x v="2"/>
    <n v="120"/>
    <x v="1"/>
  </r>
  <r>
    <d v="2017-12-06T00:00:00"/>
    <s v="Supermarkt"/>
    <s v="Lebensmittel-Einkauf"/>
    <s v="Wochenendeinkauf"/>
    <n v="-50"/>
    <s v="EUR"/>
    <x v="4"/>
    <x v="11"/>
    <x v="2"/>
    <n v="50"/>
    <x v="1"/>
  </r>
  <r>
    <d v="2017-12-07T00:00:00"/>
    <s v="Arbeitgeber"/>
    <s v="Gutschrift"/>
    <s v="Lohn"/>
    <n v="1000"/>
    <s v="EUR"/>
    <x v="0"/>
    <x v="11"/>
    <x v="2"/>
    <n v="1000"/>
    <x v="0"/>
  </r>
  <r>
    <d v="2017-12-08T00:00:00"/>
    <s v="Spotify"/>
    <s v="Abonnement"/>
    <s v="Music-Streaming"/>
    <n v="-10"/>
    <s v="EUR"/>
    <x v="1"/>
    <x v="11"/>
    <x v="2"/>
    <n v="10"/>
    <x v="1"/>
  </r>
  <r>
    <d v="2017-12-09T00:00:00"/>
    <s v="Tankstelle"/>
    <s v="Kraftstoff"/>
    <s v="Auto-Tankfüllung"/>
    <n v="-60"/>
    <s v="EUR"/>
    <x v="2"/>
    <x v="11"/>
    <x v="2"/>
    <n v="60"/>
    <x v="1"/>
  </r>
  <r>
    <d v="2017-12-10T00:00:00"/>
    <s v="Versicherungsgesellschaft"/>
    <s v="Versicherungsprämie"/>
    <s v="Haftpflichtversicherung"/>
    <n v="-80"/>
    <s v="EUR"/>
    <x v="3"/>
    <x v="11"/>
    <x v="2"/>
    <n v="80"/>
    <x v="1"/>
  </r>
  <r>
    <d v="2017-12-11T00:00:00"/>
    <s v="Bäckerei"/>
    <s v="Lebensmittel-Einkauf"/>
    <s v="Brot und Gebäck"/>
    <n v="-20"/>
    <s v="EUR"/>
    <x v="4"/>
    <x v="11"/>
    <x v="2"/>
    <n v="20"/>
    <x v="1"/>
  </r>
  <r>
    <d v="2017-12-12T00:00:00"/>
    <s v="Arbeitgeber"/>
    <s v="Gutschrift"/>
    <s v="Lohn"/>
    <n v="1000"/>
    <s v="EUR"/>
    <x v="0"/>
    <x v="11"/>
    <x v="2"/>
    <n v="1000"/>
    <x v="0"/>
  </r>
  <r>
    <d v="2017-12-13T00:00:00"/>
    <s v="Netflix"/>
    <s v="Abonnement"/>
    <s v="Streaming-Dienst"/>
    <n v="-15"/>
    <s v="EUR"/>
    <x v="1"/>
    <x v="11"/>
    <x v="2"/>
    <n v="15"/>
    <x v="1"/>
  </r>
  <r>
    <d v="2017-12-14T00:00:00"/>
    <s v="Autohändler"/>
    <s v="KFZ-Zahlung"/>
    <s v="Auto-Rate"/>
    <n v="-350"/>
    <s v="EUR"/>
    <x v="2"/>
    <x v="11"/>
    <x v="2"/>
    <n v="350"/>
    <x v="1"/>
  </r>
  <r>
    <d v="2017-12-15T00:00:00"/>
    <s v="Versicherungsgesellschaft"/>
    <s v="Versicherungsprämie"/>
    <s v="Kfz-Versicherung"/>
    <n v="-120"/>
    <s v="EUR"/>
    <x v="3"/>
    <x v="11"/>
    <x v="2"/>
    <n v="120"/>
    <x v="1"/>
  </r>
  <r>
    <d v="2017-12-16T00:00:00"/>
    <s v="Supermarkt"/>
    <s v="Lebensmittel-Einkauf"/>
    <s v="Wochenendeinkauf"/>
    <n v="-60"/>
    <s v="EUR"/>
    <x v="4"/>
    <x v="11"/>
    <x v="2"/>
    <n v="60"/>
    <x v="1"/>
  </r>
  <r>
    <d v="2017-12-17T00:00:00"/>
    <s v="Arbeitgeber"/>
    <s v="Gutschrift"/>
    <s v="Lohn"/>
    <n v="1000"/>
    <s v="EUR"/>
    <x v="0"/>
    <x v="11"/>
    <x v="2"/>
    <n v="1000"/>
    <x v="0"/>
  </r>
  <r>
    <d v="2017-12-18T00:00:00"/>
    <s v="Spotify"/>
    <s v="Abonnement"/>
    <s v="Music-Streaming"/>
    <n v="-10"/>
    <s v="EUR"/>
    <x v="1"/>
    <x v="11"/>
    <x v="2"/>
    <n v="10"/>
    <x v="1"/>
  </r>
  <r>
    <d v="2017-12-19T00:00:00"/>
    <s v="Tankstelle"/>
    <s v="Kraftstoff"/>
    <s v="Auto-Tankfüllung"/>
    <n v="-70"/>
    <s v="EUR"/>
    <x v="2"/>
    <x v="11"/>
    <x v="2"/>
    <n v="70"/>
    <x v="1"/>
  </r>
  <r>
    <d v="2017-12-20T00:00:00"/>
    <s v="Versicherungsgesellschaft"/>
    <s v="Versicherungsprämie"/>
    <s v="Haftpflichtversicherung"/>
    <n v="-80"/>
    <s v="EUR"/>
    <x v="3"/>
    <x v="11"/>
    <x v="2"/>
    <n v="80"/>
    <x v="1"/>
  </r>
  <r>
    <d v="2017-12-21T00:00:00"/>
    <s v="Bäckerei"/>
    <s v="Lebensmittel-Einkauf"/>
    <s v="Brot und Gebäck"/>
    <n v="-25"/>
    <s v="EUR"/>
    <x v="4"/>
    <x v="11"/>
    <x v="2"/>
    <n v="25"/>
    <x v="1"/>
  </r>
  <r>
    <d v="2017-12-22T00:00:00"/>
    <s v="Arbeitgeber"/>
    <s v="Gutschrift"/>
    <s v="Lohn"/>
    <n v="1000"/>
    <s v="EUR"/>
    <x v="0"/>
    <x v="11"/>
    <x v="2"/>
    <n v="1000"/>
    <x v="0"/>
  </r>
  <r>
    <d v="2017-12-23T00:00:00"/>
    <s v="Netflix"/>
    <s v="Abonnement"/>
    <s v="Streaming-Dienst"/>
    <n v="-15"/>
    <s v="EUR"/>
    <x v="1"/>
    <x v="11"/>
    <x v="2"/>
    <n v="15"/>
    <x v="1"/>
  </r>
  <r>
    <d v="2017-12-24T00:00:00"/>
    <s v="Autohändler"/>
    <s v="KFZ-Zahlung"/>
    <s v="Auto-Rate"/>
    <n v="-350"/>
    <s v="EUR"/>
    <x v="2"/>
    <x v="11"/>
    <x v="2"/>
    <n v="350"/>
    <x v="1"/>
  </r>
  <r>
    <d v="2017-12-25T00:00:00"/>
    <s v="Versicherungsgesellschaft"/>
    <s v="Versicherungsprämie"/>
    <s v="Kfz-Versicherung"/>
    <n v="-120"/>
    <s v="EUR"/>
    <x v="3"/>
    <x v="11"/>
    <x v="2"/>
    <n v="120"/>
    <x v="1"/>
  </r>
  <r>
    <d v="2017-12-26T00:00:00"/>
    <s v="Supermarkt"/>
    <s v="Lebensmittel-Einkauf"/>
    <s v="Wochenendeinkauf"/>
    <n v="-70"/>
    <s v="EUR"/>
    <x v="4"/>
    <x v="11"/>
    <x v="2"/>
    <n v="70"/>
    <x v="1"/>
  </r>
  <r>
    <d v="2017-12-27T00:00:00"/>
    <s v="Arbeitgeber"/>
    <s v="Gutschrift"/>
    <s v="Lohn"/>
    <n v="1000"/>
    <s v="EUR"/>
    <x v="0"/>
    <x v="11"/>
    <x v="2"/>
    <n v="1000"/>
    <x v="0"/>
  </r>
  <r>
    <d v="2017-12-28T00:00:00"/>
    <s v="Spotify"/>
    <s v="Abonnement"/>
    <s v="Music-Streaming"/>
    <n v="-10"/>
    <s v="EUR"/>
    <x v="1"/>
    <x v="11"/>
    <x v="2"/>
    <n v="10"/>
    <x v="1"/>
  </r>
  <r>
    <d v="2017-12-29T00:00:00"/>
    <s v="Tankstelle"/>
    <s v="Kraftstoff"/>
    <s v="Auto-Tankfüllung"/>
    <n v="-60"/>
    <s v="EUR"/>
    <x v="2"/>
    <x v="11"/>
    <x v="2"/>
    <n v="60"/>
    <x v="1"/>
  </r>
  <r>
    <d v="2017-12-30T00:00:00"/>
    <s v="Versicherungsgesellschaft"/>
    <s v="Versicherungsprämie"/>
    <s v="Haftpflichtversicherung"/>
    <n v="-80"/>
    <s v="EUR"/>
    <x v="3"/>
    <x v="11"/>
    <x v="2"/>
    <n v="80"/>
    <x v="1"/>
  </r>
  <r>
    <d v="2017-12-31T00:00:00"/>
    <s v="Bäckerei"/>
    <s v="Lebensmittel-Einkauf"/>
    <s v="Brot und Gebäck"/>
    <n v="-30"/>
    <s v="EUR"/>
    <x v="4"/>
    <x v="11"/>
    <x v="2"/>
    <n v="30"/>
    <x v="1"/>
  </r>
  <r>
    <d v="2018-01-01T00:00:00"/>
    <s v="Arbeitgeber"/>
    <s v="Gutschrift"/>
    <s v="Lohn"/>
    <n v="1000"/>
    <s v="EUR"/>
    <x v="0"/>
    <x v="0"/>
    <x v="3"/>
    <n v="1000"/>
    <x v="0"/>
  </r>
  <r>
    <d v="2018-01-02T00:00:00"/>
    <s v="Netflix"/>
    <s v="Abonnement"/>
    <s v="Streaming-Dienst"/>
    <n v="-15"/>
    <s v="EUR"/>
    <x v="1"/>
    <x v="0"/>
    <x v="3"/>
    <n v="15"/>
    <x v="1"/>
  </r>
  <r>
    <d v="2018-01-03T00:00:00"/>
    <s v="Autohändler"/>
    <s v="KFZ-Zahlung"/>
    <s v="Auto-Rate"/>
    <n v="-350"/>
    <s v="EUR"/>
    <x v="2"/>
    <x v="0"/>
    <x v="3"/>
    <n v="350"/>
    <x v="1"/>
  </r>
  <r>
    <d v="2018-01-04T00:00:00"/>
    <s v="Versicherungsgesellschaft"/>
    <s v="Versicherungsprämie"/>
    <s v="Kfz-Versicherung"/>
    <n v="-120"/>
    <s v="EUR"/>
    <x v="3"/>
    <x v="0"/>
    <x v="3"/>
    <n v="120"/>
    <x v="1"/>
  </r>
  <r>
    <d v="2018-01-05T00:00:00"/>
    <s v="Supermarkt"/>
    <s v="Lebensmittel-Einkauf"/>
    <s v="Wochenendeinkauf"/>
    <n v="-80"/>
    <s v="EUR"/>
    <x v="4"/>
    <x v="0"/>
    <x v="3"/>
    <n v="80"/>
    <x v="1"/>
  </r>
  <r>
    <d v="2018-01-06T00:00:00"/>
    <s v="Arbeitgeber"/>
    <s v="Gutschrift"/>
    <s v="Lohn"/>
    <n v="1000"/>
    <s v="EUR"/>
    <x v="0"/>
    <x v="0"/>
    <x v="3"/>
    <n v="1000"/>
    <x v="0"/>
  </r>
  <r>
    <d v="2018-01-07T00:00:00"/>
    <s v="Spotify"/>
    <s v="Abonnement"/>
    <s v="Music-Streaming"/>
    <n v="-10"/>
    <s v="EUR"/>
    <x v="1"/>
    <x v="0"/>
    <x v="3"/>
    <n v="10"/>
    <x v="1"/>
  </r>
  <r>
    <d v="2018-01-08T00:00:00"/>
    <s v="Tankstelle"/>
    <s v="Kraftstoff"/>
    <s v="Auto-Tankfüllung"/>
    <n v="-65"/>
    <s v="EUR"/>
    <x v="2"/>
    <x v="0"/>
    <x v="3"/>
    <n v="65"/>
    <x v="1"/>
  </r>
  <r>
    <d v="2018-01-09T00:00:00"/>
    <s v="Versicherungsgesellschaft"/>
    <s v="Versicherungsprämie"/>
    <s v="Haftpflichtversicherung"/>
    <n v="-80"/>
    <s v="EUR"/>
    <x v="3"/>
    <x v="0"/>
    <x v="3"/>
    <n v="80"/>
    <x v="1"/>
  </r>
  <r>
    <d v="2018-01-10T00:00:00"/>
    <s v="Bäckerei"/>
    <s v="Lebensmittel-Einkauf"/>
    <s v="Brot und Gebäck"/>
    <n v="-35"/>
    <s v="EUR"/>
    <x v="4"/>
    <x v="0"/>
    <x v="3"/>
    <n v="35"/>
    <x v="1"/>
  </r>
  <r>
    <d v="2018-01-11T00:00:00"/>
    <s v="Arbeitgeber"/>
    <s v="Gutschrift"/>
    <s v="Lohn"/>
    <n v="1000"/>
    <s v="EUR"/>
    <x v="0"/>
    <x v="0"/>
    <x v="3"/>
    <n v="1000"/>
    <x v="0"/>
  </r>
  <r>
    <d v="2018-01-12T00:00:00"/>
    <s v="Arbeitgeber"/>
    <s v="Gutschrift"/>
    <s v="Lohn"/>
    <n v="1000"/>
    <s v="EUR"/>
    <x v="0"/>
    <x v="0"/>
    <x v="3"/>
    <n v="1000"/>
    <x v="0"/>
  </r>
  <r>
    <d v="2018-01-13T00:00:00"/>
    <s v="Netflix"/>
    <s v="Abonnement"/>
    <s v="Streaming-Dienst"/>
    <n v="-15"/>
    <s v="EUR"/>
    <x v="1"/>
    <x v="0"/>
    <x v="3"/>
    <n v="15"/>
    <x v="1"/>
  </r>
  <r>
    <d v="2018-01-14T00:00:00"/>
    <s v="Autohändler"/>
    <s v="KFZ-Zahlung"/>
    <s v="Auto-Rate"/>
    <n v="-350"/>
    <s v="EUR"/>
    <x v="2"/>
    <x v="0"/>
    <x v="3"/>
    <n v="350"/>
    <x v="1"/>
  </r>
  <r>
    <d v="2018-01-15T00:00:00"/>
    <s v="Versicherungsgesellschaft"/>
    <s v="Versicherungsprämie"/>
    <s v="Kfz-Versicherung"/>
    <n v="-120"/>
    <s v="EUR"/>
    <x v="3"/>
    <x v="0"/>
    <x v="3"/>
    <n v="120"/>
    <x v="1"/>
  </r>
  <r>
    <d v="2018-01-16T00:00:00"/>
    <s v="Supermarkt"/>
    <s v="Lebensmittel-Einkauf"/>
    <s v="Wochenendeinkauf"/>
    <n v="-50"/>
    <s v="EUR"/>
    <x v="4"/>
    <x v="0"/>
    <x v="3"/>
    <n v="50"/>
    <x v="1"/>
  </r>
  <r>
    <d v="2018-01-17T00:00:00"/>
    <s v="Arbeitgeber"/>
    <s v="Gutschrift"/>
    <s v="Lohn"/>
    <n v="1000"/>
    <s v="EUR"/>
    <x v="0"/>
    <x v="0"/>
    <x v="3"/>
    <n v="1000"/>
    <x v="0"/>
  </r>
  <r>
    <d v="2018-01-18T00:00:00"/>
    <s v="Spotify"/>
    <s v="Abonnement"/>
    <s v="Music-Streaming"/>
    <n v="-10"/>
    <s v="EUR"/>
    <x v="1"/>
    <x v="0"/>
    <x v="3"/>
    <n v="10"/>
    <x v="1"/>
  </r>
  <r>
    <d v="2018-01-19T00:00:00"/>
    <s v="Tankstelle"/>
    <s v="Kraftstoff"/>
    <s v="Auto-Tankfüllung"/>
    <n v="-60"/>
    <s v="EUR"/>
    <x v="2"/>
    <x v="0"/>
    <x v="3"/>
    <n v="60"/>
    <x v="1"/>
  </r>
  <r>
    <d v="2018-01-20T00:00:00"/>
    <s v="Versicherungsgesellschaft"/>
    <s v="Versicherungsprämie"/>
    <s v="Haftpflichtversicherung"/>
    <n v="-80"/>
    <s v="EUR"/>
    <x v="3"/>
    <x v="0"/>
    <x v="3"/>
    <n v="80"/>
    <x v="1"/>
  </r>
  <r>
    <d v="2018-01-21T00:00:00"/>
    <s v="Bäckerei"/>
    <s v="Lebensmittel-Einkauf"/>
    <s v="Brot und Gebäck"/>
    <n v="-20"/>
    <s v="EUR"/>
    <x v="4"/>
    <x v="0"/>
    <x v="3"/>
    <n v="20"/>
    <x v="1"/>
  </r>
  <r>
    <d v="2018-01-22T00:00:00"/>
    <s v="Arbeitgeber"/>
    <s v="Gutschrift"/>
    <s v="Lohn"/>
    <n v="1000"/>
    <s v="EUR"/>
    <x v="0"/>
    <x v="0"/>
    <x v="3"/>
    <n v="1000"/>
    <x v="0"/>
  </r>
  <r>
    <d v="2018-01-23T00:00:00"/>
    <s v="Netflix"/>
    <s v="Abonnement"/>
    <s v="Streaming-Dienst"/>
    <n v="-15"/>
    <s v="EUR"/>
    <x v="1"/>
    <x v="0"/>
    <x v="3"/>
    <n v="15"/>
    <x v="1"/>
  </r>
  <r>
    <d v="2018-01-24T00:00:00"/>
    <s v="Autohändler"/>
    <s v="KFZ-Zahlung"/>
    <s v="Auto-Rate"/>
    <n v="-350"/>
    <s v="EUR"/>
    <x v="2"/>
    <x v="0"/>
    <x v="3"/>
    <n v="350"/>
    <x v="1"/>
  </r>
  <r>
    <d v="2018-01-25T00:00:00"/>
    <s v="Versicherungsgesellschaft"/>
    <s v="Versicherungsprämie"/>
    <s v="Kfz-Versicherung"/>
    <n v="-120"/>
    <s v="EUR"/>
    <x v="3"/>
    <x v="0"/>
    <x v="3"/>
    <n v="120"/>
    <x v="1"/>
  </r>
  <r>
    <d v="2018-01-26T00:00:00"/>
    <s v="Supermarkt"/>
    <s v="Lebensmittel-Einkauf"/>
    <s v="Wochenendeinkauf"/>
    <n v="-60"/>
    <s v="EUR"/>
    <x v="4"/>
    <x v="0"/>
    <x v="3"/>
    <n v="60"/>
    <x v="1"/>
  </r>
  <r>
    <d v="2018-01-27T00:00:00"/>
    <s v="Arbeitgeber"/>
    <s v="Gutschrift"/>
    <s v="Lohn"/>
    <n v="1000"/>
    <s v="EUR"/>
    <x v="0"/>
    <x v="0"/>
    <x v="3"/>
    <n v="1000"/>
    <x v="0"/>
  </r>
  <r>
    <d v="2018-01-28T00:00:00"/>
    <s v="Spotify"/>
    <s v="Abonnement"/>
    <s v="Music-Streaming"/>
    <n v="-10"/>
    <s v="EUR"/>
    <x v="1"/>
    <x v="0"/>
    <x v="3"/>
    <n v="10"/>
    <x v="1"/>
  </r>
  <r>
    <d v="2018-01-29T00:00:00"/>
    <s v="Tankstelle"/>
    <s v="Kraftstoff"/>
    <s v="Auto-Tankfüllung"/>
    <n v="-70"/>
    <s v="EUR"/>
    <x v="2"/>
    <x v="0"/>
    <x v="3"/>
    <n v="70"/>
    <x v="1"/>
  </r>
  <r>
    <d v="2018-01-30T00:00:00"/>
    <s v="Versicherungsgesellschaft"/>
    <s v="Versicherungsprämie"/>
    <s v="Haftpflichtversicherung"/>
    <n v="-80"/>
    <s v="EUR"/>
    <x v="3"/>
    <x v="0"/>
    <x v="3"/>
    <n v="80"/>
    <x v="1"/>
  </r>
  <r>
    <d v="2018-01-31T00:00:00"/>
    <s v="Bäckerei"/>
    <s v="Lebensmittel-Einkauf"/>
    <s v="Brot und Gebäck"/>
    <n v="-25"/>
    <s v="EUR"/>
    <x v="4"/>
    <x v="0"/>
    <x v="3"/>
    <n v="25"/>
    <x v="1"/>
  </r>
  <r>
    <d v="2018-02-01T00:00:00"/>
    <s v="Arbeitgeber"/>
    <s v="Gutschrift"/>
    <s v="Lohn"/>
    <n v="1000"/>
    <s v="EUR"/>
    <x v="0"/>
    <x v="1"/>
    <x v="3"/>
    <n v="1000"/>
    <x v="0"/>
  </r>
  <r>
    <d v="2018-02-02T00:00:00"/>
    <s v="Netflix"/>
    <s v="Abonnement"/>
    <s v="Streaming-Dienst"/>
    <n v="-15"/>
    <s v="EUR"/>
    <x v="1"/>
    <x v="1"/>
    <x v="3"/>
    <n v="15"/>
    <x v="1"/>
  </r>
  <r>
    <d v="2018-02-03T00:00:00"/>
    <s v="Autohändler"/>
    <s v="KFZ-Zahlung"/>
    <s v="Auto-Rate"/>
    <n v="-350"/>
    <s v="EUR"/>
    <x v="2"/>
    <x v="1"/>
    <x v="3"/>
    <n v="350"/>
    <x v="1"/>
  </r>
  <r>
    <d v="2018-02-04T00:00:00"/>
    <s v="Versicherungsgesellschaft"/>
    <s v="Versicherungsprämie"/>
    <s v="Kfz-Versicherung"/>
    <n v="-120"/>
    <s v="EUR"/>
    <x v="3"/>
    <x v="1"/>
    <x v="3"/>
    <n v="120"/>
    <x v="1"/>
  </r>
  <r>
    <d v="2018-02-05T00:00:00"/>
    <s v="Supermarkt"/>
    <s v="Lebensmittel-Einkauf"/>
    <s v="Wochenendeinkauf"/>
    <n v="-70"/>
    <s v="EUR"/>
    <x v="4"/>
    <x v="1"/>
    <x v="3"/>
    <n v="70"/>
    <x v="1"/>
  </r>
  <r>
    <d v="2018-02-06T00:00:00"/>
    <s v="Arbeitgeber"/>
    <s v="Gutschrift"/>
    <s v="Lohn"/>
    <n v="1000"/>
    <s v="EUR"/>
    <x v="0"/>
    <x v="1"/>
    <x v="3"/>
    <n v="1000"/>
    <x v="0"/>
  </r>
  <r>
    <d v="2018-02-07T00:00:00"/>
    <s v="Spotify"/>
    <s v="Abonnement"/>
    <s v="Music-Streaming"/>
    <n v="-10"/>
    <s v="EUR"/>
    <x v="1"/>
    <x v="1"/>
    <x v="3"/>
    <n v="10"/>
    <x v="1"/>
  </r>
  <r>
    <d v="2018-02-08T00:00:00"/>
    <s v="Tankstelle"/>
    <s v="Kraftstoff"/>
    <s v="Auto-Tankfüllung"/>
    <n v="-60"/>
    <s v="EUR"/>
    <x v="2"/>
    <x v="1"/>
    <x v="3"/>
    <n v="60"/>
    <x v="1"/>
  </r>
  <r>
    <d v="2018-02-09T00:00:00"/>
    <s v="Versicherungsgesellschaft"/>
    <s v="Versicherungsprämie"/>
    <s v="Haftpflichtversicherung"/>
    <n v="-80"/>
    <s v="EUR"/>
    <x v="3"/>
    <x v="1"/>
    <x v="3"/>
    <n v="80"/>
    <x v="1"/>
  </r>
  <r>
    <d v="2018-02-10T00:00:00"/>
    <s v="Bäckerei"/>
    <s v="Lebensmittel-Einkauf"/>
    <s v="Brot und Gebäck"/>
    <n v="-30"/>
    <s v="EUR"/>
    <x v="4"/>
    <x v="1"/>
    <x v="3"/>
    <n v="30"/>
    <x v="1"/>
  </r>
  <r>
    <d v="2018-02-11T00:00:00"/>
    <s v="Arbeitgeber"/>
    <s v="Gutschrift"/>
    <s v="Lohn"/>
    <n v="1000"/>
    <s v="EUR"/>
    <x v="0"/>
    <x v="1"/>
    <x v="3"/>
    <n v="1000"/>
    <x v="0"/>
  </r>
  <r>
    <d v="2018-02-12T00:00:00"/>
    <s v="Netflix"/>
    <s v="Abonnement"/>
    <s v="Streaming-Dienst"/>
    <n v="-15"/>
    <s v="EUR"/>
    <x v="1"/>
    <x v="1"/>
    <x v="3"/>
    <n v="15"/>
    <x v="1"/>
  </r>
  <r>
    <d v="2018-02-13T00:00:00"/>
    <s v="Autohändler"/>
    <s v="KFZ-Zahlung"/>
    <s v="Auto-Rate"/>
    <n v="-350"/>
    <s v="EUR"/>
    <x v="2"/>
    <x v="1"/>
    <x v="3"/>
    <n v="350"/>
    <x v="1"/>
  </r>
  <r>
    <d v="2018-02-14T00:00:00"/>
    <s v="Versicherungsgesellschaft"/>
    <s v="Versicherungsprämie"/>
    <s v="Kfz-Versicherung"/>
    <n v="-120"/>
    <s v="EUR"/>
    <x v="3"/>
    <x v="1"/>
    <x v="3"/>
    <n v="120"/>
    <x v="1"/>
  </r>
  <r>
    <d v="2018-02-15T00:00:00"/>
    <s v="Supermarkt"/>
    <s v="Lebensmittel-Einkauf"/>
    <s v="Wochenendeinkauf"/>
    <n v="-80"/>
    <s v="EUR"/>
    <x v="4"/>
    <x v="1"/>
    <x v="3"/>
    <n v="80"/>
    <x v="1"/>
  </r>
  <r>
    <d v="2018-02-16T00:00:00"/>
    <s v="Arbeitgeber"/>
    <s v="Gutschrift"/>
    <s v="Lohn"/>
    <n v="1000"/>
    <s v="EUR"/>
    <x v="0"/>
    <x v="1"/>
    <x v="3"/>
    <n v="1000"/>
    <x v="0"/>
  </r>
  <r>
    <d v="2018-02-17T00:00:00"/>
    <s v="Spotify"/>
    <s v="Abonnement"/>
    <s v="Music-Streaming"/>
    <n v="-10"/>
    <s v="EUR"/>
    <x v="1"/>
    <x v="1"/>
    <x v="3"/>
    <n v="10"/>
    <x v="1"/>
  </r>
  <r>
    <d v="2018-02-18T00:00:00"/>
    <s v="Tankstelle"/>
    <s v="Kraftstoff"/>
    <s v="Auto-Tankfüllung"/>
    <n v="-65"/>
    <s v="EUR"/>
    <x v="2"/>
    <x v="1"/>
    <x v="3"/>
    <n v="65"/>
    <x v="1"/>
  </r>
  <r>
    <d v="2018-02-19T00:00:00"/>
    <s v="Versicherungsgesellschaft"/>
    <s v="Versicherungsprämie"/>
    <s v="Haftpflichtversicherung"/>
    <n v="-80"/>
    <s v="EUR"/>
    <x v="3"/>
    <x v="1"/>
    <x v="3"/>
    <n v="80"/>
    <x v="1"/>
  </r>
  <r>
    <d v="2018-02-20T00:00:00"/>
    <s v="Bäckerei"/>
    <s v="Lebensmittel-Einkauf"/>
    <s v="Brot und Gebäck"/>
    <n v="-35"/>
    <s v="EUR"/>
    <x v="4"/>
    <x v="1"/>
    <x v="3"/>
    <n v="35"/>
    <x v="1"/>
  </r>
  <r>
    <d v="2018-02-21T00:00:00"/>
    <s v="Arbeitgeber"/>
    <s v="Gutschrift"/>
    <s v="Lohn"/>
    <n v="1000"/>
    <s v="EUR"/>
    <x v="0"/>
    <x v="1"/>
    <x v="3"/>
    <n v="1000"/>
    <x v="0"/>
  </r>
  <r>
    <d v="2018-02-22T00:00:00"/>
    <s v="Arbeitgeber"/>
    <s v="Gutschrift"/>
    <s v="Lohn"/>
    <n v="1000"/>
    <s v="EUR"/>
    <x v="0"/>
    <x v="1"/>
    <x v="3"/>
    <n v="1000"/>
    <x v="0"/>
  </r>
  <r>
    <d v="2018-02-23T00:00:00"/>
    <s v="Netflix"/>
    <s v="Abonnement"/>
    <s v="Streaming-Dienst"/>
    <n v="-15"/>
    <s v="EUR"/>
    <x v="1"/>
    <x v="1"/>
    <x v="3"/>
    <n v="15"/>
    <x v="1"/>
  </r>
  <r>
    <d v="2018-02-24T00:00:00"/>
    <s v="Autohändler"/>
    <s v="KFZ-Zahlung"/>
    <s v="Auto-Rate"/>
    <n v="-350"/>
    <s v="EUR"/>
    <x v="2"/>
    <x v="1"/>
    <x v="3"/>
    <n v="350"/>
    <x v="1"/>
  </r>
  <r>
    <d v="2018-02-25T00:00:00"/>
    <s v="Versicherungsgesellschaft"/>
    <s v="Versicherungsprämie"/>
    <s v="Kfz-Versicherung"/>
    <n v="-120"/>
    <s v="EUR"/>
    <x v="3"/>
    <x v="1"/>
    <x v="3"/>
    <n v="120"/>
    <x v="1"/>
  </r>
  <r>
    <d v="2018-02-26T00:00:00"/>
    <s v="Supermarkt"/>
    <s v="Lebensmittel-Einkauf"/>
    <s v="Wochenendeinkauf"/>
    <n v="-50"/>
    <s v="EUR"/>
    <x v="4"/>
    <x v="1"/>
    <x v="3"/>
    <n v="50"/>
    <x v="1"/>
  </r>
  <r>
    <d v="2018-02-27T00:00:00"/>
    <s v="Arbeitgeber"/>
    <s v="Gutschrift"/>
    <s v="Lohn"/>
    <n v="1000"/>
    <s v="EUR"/>
    <x v="0"/>
    <x v="1"/>
    <x v="3"/>
    <n v="1000"/>
    <x v="0"/>
  </r>
  <r>
    <d v="2018-02-28T00:00:00"/>
    <s v="Spotify"/>
    <s v="Abonnement"/>
    <s v="Music-Streaming"/>
    <n v="-10"/>
    <s v="EUR"/>
    <x v="1"/>
    <x v="1"/>
    <x v="3"/>
    <n v="10"/>
    <x v="1"/>
  </r>
  <r>
    <d v="2018-03-01T00:00:00"/>
    <s v="Tankstelle"/>
    <s v="Kraftstoff"/>
    <s v="Auto-Tankfüllung"/>
    <n v="-60"/>
    <s v="EUR"/>
    <x v="2"/>
    <x v="2"/>
    <x v="3"/>
    <n v="60"/>
    <x v="1"/>
  </r>
  <r>
    <d v="2018-03-02T00:00:00"/>
    <s v="Versicherungsgesellschaft"/>
    <s v="Versicherungsprämie"/>
    <s v="Haftpflichtversicherung"/>
    <n v="-80"/>
    <s v="EUR"/>
    <x v="3"/>
    <x v="2"/>
    <x v="3"/>
    <n v="80"/>
    <x v="1"/>
  </r>
  <r>
    <d v="2018-03-03T00:00:00"/>
    <s v="Bäckerei"/>
    <s v="Lebensmittel-Einkauf"/>
    <s v="Brot und Gebäck"/>
    <n v="-20"/>
    <s v="EUR"/>
    <x v="4"/>
    <x v="2"/>
    <x v="3"/>
    <n v="20"/>
    <x v="1"/>
  </r>
  <r>
    <d v="2018-03-04T00:00:00"/>
    <s v="Arbeitgeber"/>
    <s v="Gutschrift"/>
    <s v="Lohn"/>
    <n v="1000"/>
    <s v="EUR"/>
    <x v="0"/>
    <x v="2"/>
    <x v="3"/>
    <n v="1000"/>
    <x v="0"/>
  </r>
  <r>
    <d v="2018-03-05T00:00:00"/>
    <s v="Netflix"/>
    <s v="Abonnement"/>
    <s v="Streaming-Dienst"/>
    <n v="-15"/>
    <s v="EUR"/>
    <x v="1"/>
    <x v="2"/>
    <x v="3"/>
    <n v="15"/>
    <x v="1"/>
  </r>
  <r>
    <d v="2018-03-06T00:00:00"/>
    <s v="Autohändler"/>
    <s v="KFZ-Zahlung"/>
    <s v="Auto-Rate"/>
    <n v="-350"/>
    <s v="EUR"/>
    <x v="2"/>
    <x v="2"/>
    <x v="3"/>
    <n v="350"/>
    <x v="1"/>
  </r>
  <r>
    <d v="2018-03-07T00:00:00"/>
    <s v="Versicherungsgesellschaft"/>
    <s v="Versicherungsprämie"/>
    <s v="Kfz-Versicherung"/>
    <n v="-120"/>
    <s v="EUR"/>
    <x v="3"/>
    <x v="2"/>
    <x v="3"/>
    <n v="120"/>
    <x v="1"/>
  </r>
  <r>
    <d v="2018-03-08T00:00:00"/>
    <s v="Supermarkt"/>
    <s v="Lebensmittel-Einkauf"/>
    <s v="Wochenendeinkauf"/>
    <n v="-60"/>
    <s v="EUR"/>
    <x v="4"/>
    <x v="2"/>
    <x v="3"/>
    <n v="60"/>
    <x v="1"/>
  </r>
  <r>
    <d v="2018-03-09T00:00:00"/>
    <s v="Arbeitgeber"/>
    <s v="Gutschrift"/>
    <s v="Lohn"/>
    <n v="1000"/>
    <s v="EUR"/>
    <x v="0"/>
    <x v="2"/>
    <x v="3"/>
    <n v="1000"/>
    <x v="0"/>
  </r>
  <r>
    <d v="2018-03-10T00:00:00"/>
    <s v="Spotify"/>
    <s v="Abonnement"/>
    <s v="Music-Streaming"/>
    <n v="-10"/>
    <s v="EUR"/>
    <x v="1"/>
    <x v="2"/>
    <x v="3"/>
    <n v="10"/>
    <x v="1"/>
  </r>
  <r>
    <d v="2018-03-11T00:00:00"/>
    <s v="Tankstelle"/>
    <s v="Kraftstoff"/>
    <s v="Auto-Tankfüllung"/>
    <n v="-70"/>
    <s v="EUR"/>
    <x v="2"/>
    <x v="2"/>
    <x v="3"/>
    <n v="70"/>
    <x v="1"/>
  </r>
  <r>
    <d v="2018-03-12T00:00:00"/>
    <s v="Versicherungsgesellschaft"/>
    <s v="Versicherungsprämie"/>
    <s v="Haftpflichtversicherung"/>
    <n v="-80"/>
    <s v="EUR"/>
    <x v="3"/>
    <x v="2"/>
    <x v="3"/>
    <n v="80"/>
    <x v="1"/>
  </r>
  <r>
    <d v="2018-03-13T00:00:00"/>
    <s v="Bäckerei"/>
    <s v="Lebensmittel-Einkauf"/>
    <s v="Brot und Gebäck"/>
    <n v="-25"/>
    <s v="EUR"/>
    <x v="4"/>
    <x v="2"/>
    <x v="3"/>
    <n v="25"/>
    <x v="1"/>
  </r>
  <r>
    <d v="2018-03-14T00:00:00"/>
    <s v="Arbeitgeber"/>
    <s v="Gutschrift"/>
    <s v="Lohn"/>
    <n v="1000"/>
    <s v="EUR"/>
    <x v="0"/>
    <x v="2"/>
    <x v="3"/>
    <n v="1000"/>
    <x v="0"/>
  </r>
  <r>
    <d v="2018-03-15T00:00:00"/>
    <s v="Netflix"/>
    <s v="Abonnement"/>
    <s v="Streaming-Dienst"/>
    <n v="-15"/>
    <s v="EUR"/>
    <x v="1"/>
    <x v="2"/>
    <x v="3"/>
    <n v="15"/>
    <x v="1"/>
  </r>
  <r>
    <d v="2018-03-16T00:00:00"/>
    <s v="Autohändler"/>
    <s v="KFZ-Zahlung"/>
    <s v="Auto-Rate"/>
    <n v="-350"/>
    <s v="EUR"/>
    <x v="2"/>
    <x v="2"/>
    <x v="3"/>
    <n v="350"/>
    <x v="1"/>
  </r>
  <r>
    <d v="2018-03-17T00:00:00"/>
    <s v="Versicherungsgesellschaft"/>
    <s v="Versicherungsprämie"/>
    <s v="Kfz-Versicherung"/>
    <n v="-120"/>
    <s v="EUR"/>
    <x v="3"/>
    <x v="2"/>
    <x v="3"/>
    <n v="120"/>
    <x v="1"/>
  </r>
  <r>
    <d v="2018-03-18T00:00:00"/>
    <s v="Supermarkt"/>
    <s v="Lebensmittel-Einkauf"/>
    <s v="Wochenendeinkauf"/>
    <n v="-70"/>
    <s v="EUR"/>
    <x v="4"/>
    <x v="2"/>
    <x v="3"/>
    <n v="70"/>
    <x v="1"/>
  </r>
  <r>
    <d v="2018-03-19T00:00:00"/>
    <s v="Arbeitgeber"/>
    <s v="Gutschrift"/>
    <s v="Lohn"/>
    <n v="1000"/>
    <s v="EUR"/>
    <x v="0"/>
    <x v="2"/>
    <x v="3"/>
    <n v="1000"/>
    <x v="0"/>
  </r>
  <r>
    <d v="2018-03-20T00:00:00"/>
    <s v="Spotify"/>
    <s v="Abonnement"/>
    <s v="Music-Streaming"/>
    <n v="-10"/>
    <s v="EUR"/>
    <x v="1"/>
    <x v="2"/>
    <x v="3"/>
    <n v="10"/>
    <x v="1"/>
  </r>
  <r>
    <d v="2018-03-21T00:00:00"/>
    <s v="Tankstelle"/>
    <s v="Kraftstoff"/>
    <s v="Auto-Tankfüllung"/>
    <n v="-60"/>
    <s v="EUR"/>
    <x v="2"/>
    <x v="2"/>
    <x v="3"/>
    <n v="60"/>
    <x v="1"/>
  </r>
  <r>
    <d v="2018-03-22T00:00:00"/>
    <s v="Versicherungsgesellschaft"/>
    <s v="Versicherungsprämie"/>
    <s v="Haftpflichtversicherung"/>
    <n v="-80"/>
    <s v="EUR"/>
    <x v="3"/>
    <x v="2"/>
    <x v="3"/>
    <n v="80"/>
    <x v="1"/>
  </r>
  <r>
    <d v="2018-03-23T00:00:00"/>
    <s v="Bäckerei"/>
    <s v="Lebensmittel-Einkauf"/>
    <s v="Brot und Gebäck"/>
    <n v="-30"/>
    <s v="EUR"/>
    <x v="4"/>
    <x v="2"/>
    <x v="3"/>
    <n v="30"/>
    <x v="1"/>
  </r>
  <r>
    <d v="2018-03-24T00:00:00"/>
    <s v="Arbeitgeber"/>
    <s v="Gutschrift"/>
    <s v="Lohn"/>
    <n v="1000"/>
    <s v="EUR"/>
    <x v="0"/>
    <x v="2"/>
    <x v="3"/>
    <n v="1000"/>
    <x v="0"/>
  </r>
  <r>
    <d v="2018-03-25T00:00:00"/>
    <s v="Netflix"/>
    <s v="Abonnement"/>
    <s v="Streaming-Dienst"/>
    <n v="-15"/>
    <s v="EUR"/>
    <x v="1"/>
    <x v="2"/>
    <x v="3"/>
    <n v="15"/>
    <x v="1"/>
  </r>
  <r>
    <d v="2018-03-26T00:00:00"/>
    <s v="Autohändler"/>
    <s v="KFZ-Zahlung"/>
    <s v="Auto-Rate"/>
    <n v="-350"/>
    <s v="EUR"/>
    <x v="2"/>
    <x v="2"/>
    <x v="3"/>
    <n v="350"/>
    <x v="1"/>
  </r>
  <r>
    <d v="2018-03-27T00:00:00"/>
    <s v="Versicherungsgesellschaft"/>
    <s v="Versicherungsprämie"/>
    <s v="Kfz-Versicherung"/>
    <n v="-120"/>
    <s v="EUR"/>
    <x v="3"/>
    <x v="2"/>
    <x v="3"/>
    <n v="120"/>
    <x v="1"/>
  </r>
  <r>
    <d v="2018-03-28T00:00:00"/>
    <s v="Supermarkt"/>
    <s v="Lebensmittel-Einkauf"/>
    <s v="Wochenendeinkauf"/>
    <n v="-80"/>
    <s v="EUR"/>
    <x v="4"/>
    <x v="2"/>
    <x v="3"/>
    <n v="80"/>
    <x v="1"/>
  </r>
  <r>
    <d v="2018-03-29T00:00:00"/>
    <s v="Arbeitgeber"/>
    <s v="Gutschrift"/>
    <s v="Lohn"/>
    <n v="1000"/>
    <s v="EUR"/>
    <x v="0"/>
    <x v="2"/>
    <x v="3"/>
    <n v="1000"/>
    <x v="0"/>
  </r>
  <r>
    <d v="2018-03-30T00:00:00"/>
    <s v="Spotify"/>
    <s v="Abonnement"/>
    <s v="Music-Streaming"/>
    <n v="-10"/>
    <s v="EUR"/>
    <x v="1"/>
    <x v="2"/>
    <x v="3"/>
    <n v="10"/>
    <x v="1"/>
  </r>
  <r>
    <d v="2018-03-31T00:00:00"/>
    <s v="Tankstelle"/>
    <s v="Kraftstoff"/>
    <s v="Auto-Tankfüllung"/>
    <n v="-65"/>
    <s v="EUR"/>
    <x v="2"/>
    <x v="2"/>
    <x v="3"/>
    <n v="65"/>
    <x v="1"/>
  </r>
  <r>
    <d v="2018-04-01T00:00:00"/>
    <s v="Versicherungsgesellschaft"/>
    <s v="Versicherungsprämie"/>
    <s v="Haftpflichtversicherung"/>
    <n v="-80"/>
    <s v="EUR"/>
    <x v="3"/>
    <x v="3"/>
    <x v="3"/>
    <n v="80"/>
    <x v="1"/>
  </r>
  <r>
    <d v="2018-04-02T00:00:00"/>
    <s v="Bäckerei"/>
    <s v="Lebensmittel-Einkauf"/>
    <s v="Brot und Gebäck"/>
    <n v="-35"/>
    <s v="EUR"/>
    <x v="4"/>
    <x v="3"/>
    <x v="3"/>
    <n v="35"/>
    <x v="1"/>
  </r>
  <r>
    <d v="2018-04-03T00:00:00"/>
    <s v="Arbeitgeber"/>
    <s v="Gutschrift"/>
    <s v="Lohn"/>
    <n v="1000"/>
    <s v="EUR"/>
    <x v="0"/>
    <x v="3"/>
    <x v="3"/>
    <n v="1000"/>
    <x v="0"/>
  </r>
  <r>
    <d v="2018-04-04T00:00:00"/>
    <s v="Arbeitgeber"/>
    <s v="Gutschrift"/>
    <s v="Lohn"/>
    <n v="1000"/>
    <s v="EUR"/>
    <x v="0"/>
    <x v="3"/>
    <x v="3"/>
    <n v="1000"/>
    <x v="0"/>
  </r>
  <r>
    <d v="2018-04-05T00:00:00"/>
    <s v="Netflix"/>
    <s v="Abonnement"/>
    <s v="Streaming-Dienst"/>
    <n v="-15"/>
    <s v="EUR"/>
    <x v="1"/>
    <x v="3"/>
    <x v="3"/>
    <n v="15"/>
    <x v="1"/>
  </r>
  <r>
    <d v="2018-04-06T00:00:00"/>
    <s v="Autohändler"/>
    <s v="KFZ-Zahlung"/>
    <s v="Auto-Rate"/>
    <n v="-350"/>
    <s v="EUR"/>
    <x v="2"/>
    <x v="3"/>
    <x v="3"/>
    <n v="350"/>
    <x v="1"/>
  </r>
  <r>
    <d v="2018-04-07T00:00:00"/>
    <s v="Versicherungsgesellschaft"/>
    <s v="Versicherungsprämie"/>
    <s v="Kfz-Versicherung"/>
    <n v="-120"/>
    <s v="EUR"/>
    <x v="3"/>
    <x v="3"/>
    <x v="3"/>
    <n v="120"/>
    <x v="1"/>
  </r>
  <r>
    <d v="2018-04-08T00:00:00"/>
    <s v="Supermarkt"/>
    <s v="Lebensmittel-Einkauf"/>
    <s v="Wochenendeinkauf"/>
    <n v="-50"/>
    <s v="EUR"/>
    <x v="4"/>
    <x v="3"/>
    <x v="3"/>
    <n v="50"/>
    <x v="1"/>
  </r>
  <r>
    <d v="2018-04-09T00:00:00"/>
    <s v="Arbeitgeber"/>
    <s v="Gutschrift"/>
    <s v="Lohn"/>
    <n v="1000"/>
    <s v="EUR"/>
    <x v="0"/>
    <x v="3"/>
    <x v="3"/>
    <n v="1000"/>
    <x v="0"/>
  </r>
  <r>
    <d v="2018-04-10T00:00:00"/>
    <s v="Spotify"/>
    <s v="Abonnement"/>
    <s v="Music-Streaming"/>
    <n v="-10"/>
    <s v="EUR"/>
    <x v="1"/>
    <x v="3"/>
    <x v="3"/>
    <n v="10"/>
    <x v="1"/>
  </r>
  <r>
    <d v="2018-04-11T00:00:00"/>
    <s v="Tankstelle"/>
    <s v="Kraftstoff"/>
    <s v="Auto-Tankfüllung"/>
    <n v="-60"/>
    <s v="EUR"/>
    <x v="2"/>
    <x v="3"/>
    <x v="3"/>
    <n v="60"/>
    <x v="1"/>
  </r>
  <r>
    <d v="2018-04-12T00:00:00"/>
    <s v="Versicherungsgesellschaft"/>
    <s v="Versicherungsprämie"/>
    <s v="Haftpflichtversicherung"/>
    <n v="-80"/>
    <s v="EUR"/>
    <x v="3"/>
    <x v="3"/>
    <x v="3"/>
    <n v="80"/>
    <x v="1"/>
  </r>
  <r>
    <d v="2018-04-13T00:00:00"/>
    <s v="Bäckerei"/>
    <s v="Lebensmittel-Einkauf"/>
    <s v="Brot und Gebäck"/>
    <n v="-20"/>
    <s v="EUR"/>
    <x v="4"/>
    <x v="3"/>
    <x v="3"/>
    <n v="20"/>
    <x v="1"/>
  </r>
  <r>
    <d v="2018-04-14T00:00:00"/>
    <s v="Arbeitgeber"/>
    <s v="Gutschrift"/>
    <s v="Lohn"/>
    <n v="1000"/>
    <s v="EUR"/>
    <x v="0"/>
    <x v="3"/>
    <x v="3"/>
    <n v="1000"/>
    <x v="0"/>
  </r>
  <r>
    <d v="2018-04-15T00:00:00"/>
    <s v="Netflix"/>
    <s v="Abonnement"/>
    <s v="Streaming-Dienst"/>
    <n v="-15"/>
    <s v="EUR"/>
    <x v="1"/>
    <x v="3"/>
    <x v="3"/>
    <n v="15"/>
    <x v="1"/>
  </r>
  <r>
    <d v="2018-04-16T00:00:00"/>
    <s v="Autohändler"/>
    <s v="KFZ-Zahlung"/>
    <s v="Auto-Rate"/>
    <n v="-350"/>
    <s v="EUR"/>
    <x v="2"/>
    <x v="3"/>
    <x v="3"/>
    <n v="350"/>
    <x v="1"/>
  </r>
  <r>
    <d v="2018-04-17T00:00:00"/>
    <s v="Versicherungsgesellschaft"/>
    <s v="Versicherungsprämie"/>
    <s v="Kfz-Versicherung"/>
    <n v="-120"/>
    <s v="EUR"/>
    <x v="3"/>
    <x v="3"/>
    <x v="3"/>
    <n v="120"/>
    <x v="1"/>
  </r>
  <r>
    <d v="2018-04-18T00:00:00"/>
    <s v="Supermarkt"/>
    <s v="Lebensmittel-Einkauf"/>
    <s v="Wochenendeinkauf"/>
    <n v="-60"/>
    <s v="EUR"/>
    <x v="4"/>
    <x v="3"/>
    <x v="3"/>
    <n v="60"/>
    <x v="1"/>
  </r>
  <r>
    <d v="2018-04-19T00:00:00"/>
    <s v="Arbeitgeber"/>
    <s v="Gutschrift"/>
    <s v="Lohn"/>
    <n v="1000"/>
    <s v="EUR"/>
    <x v="0"/>
    <x v="3"/>
    <x v="3"/>
    <n v="1000"/>
    <x v="0"/>
  </r>
  <r>
    <d v="2018-04-20T00:00:00"/>
    <s v="Spotify"/>
    <s v="Abonnement"/>
    <s v="Music-Streaming"/>
    <n v="-10"/>
    <s v="EUR"/>
    <x v="1"/>
    <x v="3"/>
    <x v="3"/>
    <n v="10"/>
    <x v="1"/>
  </r>
  <r>
    <d v="2018-04-21T00:00:00"/>
    <s v="Tankstelle"/>
    <s v="Kraftstoff"/>
    <s v="Auto-Tankfüllung"/>
    <n v="-70"/>
    <s v="EUR"/>
    <x v="2"/>
    <x v="3"/>
    <x v="3"/>
    <n v="70"/>
    <x v="1"/>
  </r>
  <r>
    <d v="2018-04-22T00:00:00"/>
    <s v="Versicherungsgesellschaft"/>
    <s v="Versicherungsprämie"/>
    <s v="Haftpflichtversicherung"/>
    <n v="-80"/>
    <s v="EUR"/>
    <x v="3"/>
    <x v="3"/>
    <x v="3"/>
    <n v="80"/>
    <x v="1"/>
  </r>
  <r>
    <d v="2018-04-23T00:00:00"/>
    <s v="Bäckerei"/>
    <s v="Lebensmittel-Einkauf"/>
    <s v="Brot und Gebäck"/>
    <n v="-25"/>
    <s v="EUR"/>
    <x v="4"/>
    <x v="3"/>
    <x v="3"/>
    <n v="25"/>
    <x v="1"/>
  </r>
  <r>
    <d v="2018-04-24T00:00:00"/>
    <s v="Arbeitgeber"/>
    <s v="Gutschrift"/>
    <s v="Lohn"/>
    <n v="1000"/>
    <s v="EUR"/>
    <x v="0"/>
    <x v="3"/>
    <x v="3"/>
    <n v="1000"/>
    <x v="0"/>
  </r>
  <r>
    <d v="2018-04-25T00:00:00"/>
    <s v="Netflix"/>
    <s v="Abonnement"/>
    <s v="Streaming-Dienst"/>
    <n v="-15"/>
    <s v="EUR"/>
    <x v="1"/>
    <x v="3"/>
    <x v="3"/>
    <n v="15"/>
    <x v="1"/>
  </r>
  <r>
    <d v="2018-04-26T00:00:00"/>
    <s v="Autohändler"/>
    <s v="KFZ-Zahlung"/>
    <s v="Auto-Rate"/>
    <n v="-350"/>
    <s v="EUR"/>
    <x v="2"/>
    <x v="3"/>
    <x v="3"/>
    <n v="350"/>
    <x v="1"/>
  </r>
  <r>
    <d v="2018-04-27T00:00:00"/>
    <s v="Versicherungsgesellschaft"/>
    <s v="Versicherungsprämie"/>
    <s v="Kfz-Versicherung"/>
    <n v="-120"/>
    <s v="EUR"/>
    <x v="3"/>
    <x v="3"/>
    <x v="3"/>
    <n v="120"/>
    <x v="1"/>
  </r>
  <r>
    <d v="2018-04-28T00:00:00"/>
    <s v="Supermarkt"/>
    <s v="Lebensmittel-Einkauf"/>
    <s v="Wochenendeinkauf"/>
    <n v="-70"/>
    <s v="EUR"/>
    <x v="4"/>
    <x v="3"/>
    <x v="3"/>
    <n v="70"/>
    <x v="1"/>
  </r>
  <r>
    <d v="2018-04-29T00:00:00"/>
    <s v="Arbeitgeber"/>
    <s v="Gutschrift"/>
    <s v="Lohn"/>
    <n v="1000"/>
    <s v="EUR"/>
    <x v="0"/>
    <x v="3"/>
    <x v="3"/>
    <n v="1000"/>
    <x v="0"/>
  </r>
  <r>
    <d v="2018-04-30T00:00:00"/>
    <s v="Spotify"/>
    <s v="Abonnement"/>
    <s v="Music-Streaming"/>
    <n v="-10"/>
    <s v="EUR"/>
    <x v="1"/>
    <x v="3"/>
    <x v="3"/>
    <n v="10"/>
    <x v="1"/>
  </r>
  <r>
    <d v="2018-05-01T00:00:00"/>
    <s v="Tankstelle"/>
    <s v="Kraftstoff"/>
    <s v="Auto-Tankfüllung"/>
    <n v="-60"/>
    <s v="EUR"/>
    <x v="2"/>
    <x v="4"/>
    <x v="3"/>
    <n v="60"/>
    <x v="1"/>
  </r>
  <r>
    <d v="2018-05-02T00:00:00"/>
    <s v="Versicherungsgesellschaft"/>
    <s v="Versicherungsprämie"/>
    <s v="Haftpflichtversicherung"/>
    <n v="-80"/>
    <s v="EUR"/>
    <x v="3"/>
    <x v="4"/>
    <x v="3"/>
    <n v="80"/>
    <x v="1"/>
  </r>
  <r>
    <d v="2018-05-03T00:00:00"/>
    <s v="Bäckerei"/>
    <s v="Lebensmittel-Einkauf"/>
    <s v="Brot und Gebäck"/>
    <n v="-30"/>
    <s v="EUR"/>
    <x v="4"/>
    <x v="4"/>
    <x v="3"/>
    <n v="30"/>
    <x v="1"/>
  </r>
  <r>
    <d v="2018-05-04T00:00:00"/>
    <s v="Arbeitgeber"/>
    <s v="Gutschrift"/>
    <s v="Lohn"/>
    <n v="1000"/>
    <s v="EUR"/>
    <x v="0"/>
    <x v="4"/>
    <x v="3"/>
    <n v="1000"/>
    <x v="0"/>
  </r>
  <r>
    <d v="2018-05-05T00:00:00"/>
    <s v="Netflix"/>
    <s v="Abonnement"/>
    <s v="Streaming-Dienst"/>
    <n v="-15"/>
    <s v="EUR"/>
    <x v="1"/>
    <x v="4"/>
    <x v="3"/>
    <n v="15"/>
    <x v="1"/>
  </r>
  <r>
    <d v="2018-05-06T00:00:00"/>
    <s v="Autohändler"/>
    <s v="KFZ-Zahlung"/>
    <s v="Auto-Rate"/>
    <n v="-350"/>
    <s v="EUR"/>
    <x v="2"/>
    <x v="4"/>
    <x v="3"/>
    <n v="350"/>
    <x v="1"/>
  </r>
  <r>
    <d v="2018-05-07T00:00:00"/>
    <s v="Versicherungsgesellschaft"/>
    <s v="Versicherungsprämie"/>
    <s v="Kfz-Versicherung"/>
    <n v="-120"/>
    <s v="EUR"/>
    <x v="3"/>
    <x v="4"/>
    <x v="3"/>
    <n v="120"/>
    <x v="1"/>
  </r>
  <r>
    <d v="2018-05-08T00:00:00"/>
    <s v="Supermarkt"/>
    <s v="Lebensmittel-Einkauf"/>
    <s v="Wochenendeinkauf"/>
    <n v="-80"/>
    <s v="EUR"/>
    <x v="4"/>
    <x v="4"/>
    <x v="3"/>
    <n v="80"/>
    <x v="1"/>
  </r>
  <r>
    <d v="2018-05-09T00:00:00"/>
    <s v="Arbeitgeber"/>
    <s v="Gutschrift"/>
    <s v="Lohn"/>
    <n v="1000"/>
    <s v="EUR"/>
    <x v="0"/>
    <x v="4"/>
    <x v="3"/>
    <n v="1000"/>
    <x v="0"/>
  </r>
  <r>
    <d v="2018-05-10T00:00:00"/>
    <s v="Spotify"/>
    <s v="Abonnement"/>
    <s v="Music-Streaming"/>
    <n v="-10"/>
    <s v="EUR"/>
    <x v="1"/>
    <x v="4"/>
    <x v="3"/>
    <n v="10"/>
    <x v="1"/>
  </r>
  <r>
    <d v="2018-05-11T00:00:00"/>
    <s v="Tankstelle"/>
    <s v="Kraftstoff"/>
    <s v="Auto-Tankfüllung"/>
    <n v="-65"/>
    <s v="EUR"/>
    <x v="2"/>
    <x v="4"/>
    <x v="3"/>
    <n v="65"/>
    <x v="1"/>
  </r>
  <r>
    <d v="2018-05-12T00:00:00"/>
    <s v="Versicherungsgesellschaft"/>
    <s v="Versicherungsprämie"/>
    <s v="Haftpflichtversicherung"/>
    <n v="-80"/>
    <s v="EUR"/>
    <x v="3"/>
    <x v="4"/>
    <x v="3"/>
    <n v="80"/>
    <x v="1"/>
  </r>
  <r>
    <d v="2018-05-13T00:00:00"/>
    <s v="Bäckerei"/>
    <s v="Lebensmittel-Einkauf"/>
    <s v="Brot und Gebäck"/>
    <n v="-35"/>
    <s v="EUR"/>
    <x v="4"/>
    <x v="4"/>
    <x v="3"/>
    <n v="35"/>
    <x v="1"/>
  </r>
  <r>
    <d v="2018-05-14T00:00:00"/>
    <s v="Arbeitgeber"/>
    <s v="Gutschrift"/>
    <s v="Lohn"/>
    <n v="1000"/>
    <s v="EUR"/>
    <x v="0"/>
    <x v="4"/>
    <x v="3"/>
    <n v="1000"/>
    <x v="0"/>
  </r>
  <r>
    <d v="2018-05-15T00:00:00"/>
    <s v="Arbeitgeber"/>
    <s v="Gutschrift"/>
    <s v="Lohn"/>
    <n v="1000"/>
    <s v="EUR"/>
    <x v="0"/>
    <x v="4"/>
    <x v="3"/>
    <n v="1000"/>
    <x v="0"/>
  </r>
  <r>
    <d v="2018-05-16T00:00:00"/>
    <s v="Netflix"/>
    <s v="Abonnement"/>
    <s v="Streaming-Dienst"/>
    <n v="-15"/>
    <s v="EUR"/>
    <x v="1"/>
    <x v="4"/>
    <x v="3"/>
    <n v="15"/>
    <x v="1"/>
  </r>
  <r>
    <d v="2018-05-17T00:00:00"/>
    <s v="Autohändler"/>
    <s v="KFZ-Zahlung"/>
    <s v="Auto-Rate"/>
    <n v="-350"/>
    <s v="EUR"/>
    <x v="2"/>
    <x v="4"/>
    <x v="3"/>
    <n v="350"/>
    <x v="1"/>
  </r>
  <r>
    <d v="2018-05-18T00:00:00"/>
    <s v="Versicherungsgesellschaft"/>
    <s v="Versicherungsprämie"/>
    <s v="Kfz-Versicherung"/>
    <n v="-120"/>
    <s v="EUR"/>
    <x v="3"/>
    <x v="4"/>
    <x v="3"/>
    <n v="120"/>
    <x v="1"/>
  </r>
  <r>
    <d v="2018-05-19T00:00:00"/>
    <s v="Supermarkt"/>
    <s v="Lebensmittel-Einkauf"/>
    <s v="Wochenendeinkauf"/>
    <n v="-50"/>
    <s v="EUR"/>
    <x v="4"/>
    <x v="4"/>
    <x v="3"/>
    <n v="50"/>
    <x v="1"/>
  </r>
  <r>
    <d v="2018-05-20T00:00:00"/>
    <s v="Arbeitgeber"/>
    <s v="Gutschrift"/>
    <s v="Lohn"/>
    <n v="1000"/>
    <s v="EUR"/>
    <x v="0"/>
    <x v="4"/>
    <x v="3"/>
    <n v="1000"/>
    <x v="0"/>
  </r>
  <r>
    <d v="2018-05-21T00:00:00"/>
    <s v="Spotify"/>
    <s v="Abonnement"/>
    <s v="Music-Streaming"/>
    <n v="-10"/>
    <s v="EUR"/>
    <x v="1"/>
    <x v="4"/>
    <x v="3"/>
    <n v="10"/>
    <x v="1"/>
  </r>
  <r>
    <d v="2018-05-22T00:00:00"/>
    <s v="Tankstelle"/>
    <s v="Kraftstoff"/>
    <s v="Auto-Tankfüllung"/>
    <n v="-60"/>
    <s v="EUR"/>
    <x v="2"/>
    <x v="4"/>
    <x v="3"/>
    <n v="60"/>
    <x v="1"/>
  </r>
  <r>
    <d v="2018-05-23T00:00:00"/>
    <s v="Versicherungsgesellschaft"/>
    <s v="Versicherungsprämie"/>
    <s v="Haftpflichtversicherung"/>
    <n v="-80"/>
    <s v="EUR"/>
    <x v="3"/>
    <x v="4"/>
    <x v="3"/>
    <n v="80"/>
    <x v="1"/>
  </r>
  <r>
    <d v="2018-05-24T00:00:00"/>
    <s v="Bäckerei"/>
    <s v="Lebensmittel-Einkauf"/>
    <s v="Brot und Gebäck"/>
    <n v="-20"/>
    <s v="EUR"/>
    <x v="4"/>
    <x v="4"/>
    <x v="3"/>
    <n v="20"/>
    <x v="1"/>
  </r>
  <r>
    <d v="2018-05-25T00:00:00"/>
    <s v="Arbeitgeber"/>
    <s v="Gutschrift"/>
    <s v="Lohn"/>
    <n v="1000"/>
    <s v="EUR"/>
    <x v="0"/>
    <x v="4"/>
    <x v="3"/>
    <n v="1000"/>
    <x v="0"/>
  </r>
  <r>
    <d v="2018-05-26T00:00:00"/>
    <s v="Netflix"/>
    <s v="Abonnement"/>
    <s v="Streaming-Dienst"/>
    <n v="-15"/>
    <s v="EUR"/>
    <x v="1"/>
    <x v="4"/>
    <x v="3"/>
    <n v="15"/>
    <x v="1"/>
  </r>
  <r>
    <d v="2018-05-27T00:00:00"/>
    <s v="Autohändler"/>
    <s v="KFZ-Zahlung"/>
    <s v="Auto-Rate"/>
    <n v="-350"/>
    <s v="EUR"/>
    <x v="2"/>
    <x v="4"/>
    <x v="3"/>
    <n v="350"/>
    <x v="1"/>
  </r>
  <r>
    <d v="2018-05-28T00:00:00"/>
    <s v="Versicherungsgesellschaft"/>
    <s v="Versicherungsprämie"/>
    <s v="Kfz-Versicherung"/>
    <n v="-120"/>
    <s v="EUR"/>
    <x v="3"/>
    <x v="4"/>
    <x v="3"/>
    <n v="120"/>
    <x v="1"/>
  </r>
  <r>
    <d v="2018-05-29T00:00:00"/>
    <s v="Supermarkt"/>
    <s v="Lebensmittel-Einkauf"/>
    <s v="Wochenendeinkauf"/>
    <n v="-60"/>
    <s v="EUR"/>
    <x v="4"/>
    <x v="4"/>
    <x v="3"/>
    <n v="60"/>
    <x v="1"/>
  </r>
  <r>
    <d v="2018-05-30T00:00:00"/>
    <s v="Arbeitgeber"/>
    <s v="Gutschrift"/>
    <s v="Lohn"/>
    <n v="1000"/>
    <s v="EUR"/>
    <x v="0"/>
    <x v="4"/>
    <x v="3"/>
    <n v="1000"/>
    <x v="0"/>
  </r>
  <r>
    <d v="2018-05-31T00:00:00"/>
    <s v="Spotify"/>
    <s v="Abonnement"/>
    <s v="Music-Streaming"/>
    <n v="-10"/>
    <s v="EUR"/>
    <x v="1"/>
    <x v="4"/>
    <x v="3"/>
    <n v="10"/>
    <x v="1"/>
  </r>
  <r>
    <d v="2018-06-01T00:00:00"/>
    <s v="Tankstelle"/>
    <s v="Kraftstoff"/>
    <s v="Auto-Tankfüllung"/>
    <n v="-70"/>
    <s v="EUR"/>
    <x v="2"/>
    <x v="5"/>
    <x v="3"/>
    <n v="70"/>
    <x v="1"/>
  </r>
  <r>
    <d v="2018-06-02T00:00:00"/>
    <s v="Versicherungsgesellschaft"/>
    <s v="Versicherungsprämie"/>
    <s v="Haftpflichtversicherung"/>
    <n v="-80"/>
    <s v="EUR"/>
    <x v="3"/>
    <x v="5"/>
    <x v="3"/>
    <n v="80"/>
    <x v="1"/>
  </r>
  <r>
    <d v="2018-06-03T00:00:00"/>
    <s v="Bäckerei"/>
    <s v="Lebensmittel-Einkauf"/>
    <s v="Brot und Gebäck"/>
    <n v="-25"/>
    <s v="EUR"/>
    <x v="4"/>
    <x v="5"/>
    <x v="3"/>
    <n v="25"/>
    <x v="1"/>
  </r>
  <r>
    <d v="2018-06-04T00:00:00"/>
    <s v="Arbeitgeber"/>
    <s v="Gutschrift"/>
    <s v="Lohn"/>
    <n v="1000"/>
    <s v="EUR"/>
    <x v="0"/>
    <x v="5"/>
    <x v="3"/>
    <n v="1000"/>
    <x v="0"/>
  </r>
  <r>
    <d v="2018-06-05T00:00:00"/>
    <s v="Netflix"/>
    <s v="Abonnement"/>
    <s v="Streaming-Dienst"/>
    <n v="-15"/>
    <s v="EUR"/>
    <x v="1"/>
    <x v="5"/>
    <x v="3"/>
    <n v="15"/>
    <x v="1"/>
  </r>
  <r>
    <d v="2018-06-06T00:00:00"/>
    <s v="Autohändler"/>
    <s v="KFZ-Zahlung"/>
    <s v="Auto-Rate"/>
    <n v="-350"/>
    <s v="EUR"/>
    <x v="2"/>
    <x v="5"/>
    <x v="3"/>
    <n v="350"/>
    <x v="1"/>
  </r>
  <r>
    <d v="2018-06-07T00:00:00"/>
    <s v="Versicherungsgesellschaft"/>
    <s v="Versicherungsprämie"/>
    <s v="Kfz-Versicherung"/>
    <n v="-120"/>
    <s v="EUR"/>
    <x v="3"/>
    <x v="5"/>
    <x v="3"/>
    <n v="120"/>
    <x v="1"/>
  </r>
  <r>
    <d v="2018-06-08T00:00:00"/>
    <s v="Supermarkt"/>
    <s v="Lebensmittel-Einkauf"/>
    <s v="Wochenendeinkauf"/>
    <n v="-70"/>
    <s v="EUR"/>
    <x v="4"/>
    <x v="5"/>
    <x v="3"/>
    <n v="70"/>
    <x v="1"/>
  </r>
  <r>
    <d v="2018-06-09T00:00:00"/>
    <s v="Arbeitgeber"/>
    <s v="Gutschrift"/>
    <s v="Lohn"/>
    <n v="1000"/>
    <s v="EUR"/>
    <x v="0"/>
    <x v="5"/>
    <x v="3"/>
    <n v="1000"/>
    <x v="0"/>
  </r>
  <r>
    <d v="2018-06-10T00:00:00"/>
    <s v="Spotify"/>
    <s v="Abonnement"/>
    <s v="Music-Streaming"/>
    <n v="-10"/>
    <s v="EUR"/>
    <x v="1"/>
    <x v="5"/>
    <x v="3"/>
    <n v="10"/>
    <x v="1"/>
  </r>
  <r>
    <d v="2018-06-11T00:00:00"/>
    <s v="Tankstelle"/>
    <s v="Kraftstoff"/>
    <s v="Auto-Tankfüllung"/>
    <n v="-60"/>
    <s v="EUR"/>
    <x v="2"/>
    <x v="5"/>
    <x v="3"/>
    <n v="60"/>
    <x v="1"/>
  </r>
  <r>
    <d v="2018-06-12T00:00:00"/>
    <s v="Versicherungsgesellschaft"/>
    <s v="Versicherungsprämie"/>
    <s v="Haftpflichtversicherung"/>
    <n v="-80"/>
    <s v="EUR"/>
    <x v="3"/>
    <x v="5"/>
    <x v="3"/>
    <n v="80"/>
    <x v="1"/>
  </r>
  <r>
    <d v="2018-06-13T00:00:00"/>
    <s v="Bäckerei"/>
    <s v="Lebensmittel-Einkauf"/>
    <s v="Brot und Gebäck"/>
    <n v="-30"/>
    <s v="EUR"/>
    <x v="4"/>
    <x v="5"/>
    <x v="3"/>
    <n v="30"/>
    <x v="1"/>
  </r>
  <r>
    <d v="2018-06-14T00:00:00"/>
    <s v="Arbeitgeber"/>
    <s v="Gutschrift"/>
    <s v="Lohn"/>
    <n v="1000"/>
    <s v="EUR"/>
    <x v="0"/>
    <x v="5"/>
    <x v="3"/>
    <n v="1000"/>
    <x v="0"/>
  </r>
  <r>
    <d v="2018-06-15T00:00:00"/>
    <s v="Netflix"/>
    <s v="Abonnement"/>
    <s v="Streaming-Dienst"/>
    <n v="-15"/>
    <s v="EUR"/>
    <x v="1"/>
    <x v="5"/>
    <x v="3"/>
    <n v="15"/>
    <x v="1"/>
  </r>
  <r>
    <d v="2018-06-16T00:00:00"/>
    <s v="Autohändler"/>
    <s v="KFZ-Zahlung"/>
    <s v="Auto-Rate"/>
    <n v="-350"/>
    <s v="EUR"/>
    <x v="2"/>
    <x v="5"/>
    <x v="3"/>
    <n v="350"/>
    <x v="1"/>
  </r>
  <r>
    <d v="2018-06-17T00:00:00"/>
    <s v="Versicherungsgesellschaft"/>
    <s v="Versicherungsprämie"/>
    <s v="Kfz-Versicherung"/>
    <n v="-120"/>
    <s v="EUR"/>
    <x v="3"/>
    <x v="5"/>
    <x v="3"/>
    <n v="120"/>
    <x v="1"/>
  </r>
  <r>
    <d v="2018-06-18T00:00:00"/>
    <s v="Supermarkt"/>
    <s v="Lebensmittel-Einkauf"/>
    <s v="Wochenendeinkauf"/>
    <n v="-80"/>
    <s v="EUR"/>
    <x v="4"/>
    <x v="5"/>
    <x v="3"/>
    <n v="80"/>
    <x v="1"/>
  </r>
  <r>
    <d v="2018-06-19T00:00:00"/>
    <s v="Arbeitgeber"/>
    <s v="Gutschrift"/>
    <s v="Lohn"/>
    <n v="1000"/>
    <s v="EUR"/>
    <x v="0"/>
    <x v="5"/>
    <x v="3"/>
    <n v="1000"/>
    <x v="0"/>
  </r>
  <r>
    <d v="2018-06-20T00:00:00"/>
    <s v="Spotify"/>
    <s v="Abonnement"/>
    <s v="Music-Streaming"/>
    <n v="-10"/>
    <s v="EUR"/>
    <x v="1"/>
    <x v="5"/>
    <x v="3"/>
    <n v="10"/>
    <x v="1"/>
  </r>
  <r>
    <d v="2018-06-21T00:00:00"/>
    <s v="Tankstelle"/>
    <s v="Kraftstoff"/>
    <s v="Auto-Tankfüllung"/>
    <n v="-65"/>
    <s v="EUR"/>
    <x v="2"/>
    <x v="5"/>
    <x v="3"/>
    <n v="65"/>
    <x v="1"/>
  </r>
  <r>
    <d v="2018-06-22T00:00:00"/>
    <s v="Versicherungsgesellschaft"/>
    <s v="Versicherungsprämie"/>
    <s v="Haftpflichtversicherung"/>
    <n v="-80"/>
    <s v="EUR"/>
    <x v="3"/>
    <x v="5"/>
    <x v="3"/>
    <n v="80"/>
    <x v="1"/>
  </r>
  <r>
    <d v="2018-06-23T00:00:00"/>
    <s v="Bäckerei"/>
    <s v="Lebensmittel-Einkauf"/>
    <s v="Brot und Gebäck"/>
    <n v="-35"/>
    <s v="EUR"/>
    <x v="4"/>
    <x v="5"/>
    <x v="3"/>
    <n v="35"/>
    <x v="1"/>
  </r>
  <r>
    <d v="2018-06-24T00:00:00"/>
    <s v="Arbeitgeber"/>
    <s v="Gutschrift"/>
    <s v="Lohn"/>
    <n v="1000"/>
    <s v="EUR"/>
    <x v="0"/>
    <x v="5"/>
    <x v="3"/>
    <n v="1000"/>
    <x v="0"/>
  </r>
  <r>
    <d v="2018-06-25T00:00:00"/>
    <s v="Arbeitgeber"/>
    <s v="Gutschrift"/>
    <s v="Lohn"/>
    <n v="1000"/>
    <s v="EUR"/>
    <x v="0"/>
    <x v="5"/>
    <x v="3"/>
    <n v="1000"/>
    <x v="0"/>
  </r>
  <r>
    <d v="2018-06-26T00:00:00"/>
    <s v="Netflix"/>
    <s v="Abonnement"/>
    <s v="Streaming-Dienst"/>
    <n v="-15"/>
    <s v="EUR"/>
    <x v="1"/>
    <x v="5"/>
    <x v="3"/>
    <n v="15"/>
    <x v="1"/>
  </r>
  <r>
    <d v="2018-06-27T00:00:00"/>
    <s v="Autohändler"/>
    <s v="KFZ-Zahlung"/>
    <s v="Auto-Rate"/>
    <n v="-350"/>
    <s v="EUR"/>
    <x v="2"/>
    <x v="5"/>
    <x v="3"/>
    <n v="350"/>
    <x v="1"/>
  </r>
  <r>
    <d v="2018-06-28T00:00:00"/>
    <s v="Versicherungsgesellschaft"/>
    <s v="Versicherungsprämie"/>
    <s v="Kfz-Versicherung"/>
    <n v="-120"/>
    <s v="EUR"/>
    <x v="3"/>
    <x v="5"/>
    <x v="3"/>
    <n v="120"/>
    <x v="1"/>
  </r>
  <r>
    <d v="2018-06-29T00:00:00"/>
    <s v="Supermarkt"/>
    <s v="Lebensmittel-Einkauf"/>
    <s v="Wochenendeinkauf"/>
    <n v="-50"/>
    <s v="EUR"/>
    <x v="4"/>
    <x v="5"/>
    <x v="3"/>
    <n v="50"/>
    <x v="1"/>
  </r>
  <r>
    <d v="2018-06-30T00:00:00"/>
    <s v="Arbeitgeber"/>
    <s v="Gutschrift"/>
    <s v="Lohn"/>
    <n v="1000"/>
    <s v="EUR"/>
    <x v="0"/>
    <x v="5"/>
    <x v="3"/>
    <n v="1000"/>
    <x v="0"/>
  </r>
  <r>
    <d v="2018-07-01T00:00:00"/>
    <s v="Spotify"/>
    <s v="Abonnement"/>
    <s v="Music-Streaming"/>
    <n v="-10"/>
    <s v="EUR"/>
    <x v="1"/>
    <x v="6"/>
    <x v="3"/>
    <n v="10"/>
    <x v="1"/>
  </r>
  <r>
    <d v="2018-07-02T00:00:00"/>
    <s v="Tankstelle"/>
    <s v="Kraftstoff"/>
    <s v="Auto-Tankfüllung"/>
    <n v="-60"/>
    <s v="EUR"/>
    <x v="2"/>
    <x v="6"/>
    <x v="3"/>
    <n v="60"/>
    <x v="1"/>
  </r>
  <r>
    <d v="2018-07-03T00:00:00"/>
    <s v="Versicherungsgesellschaft"/>
    <s v="Versicherungsprämie"/>
    <s v="Haftpflichtversicherung"/>
    <n v="-80"/>
    <s v="EUR"/>
    <x v="3"/>
    <x v="6"/>
    <x v="3"/>
    <n v="80"/>
    <x v="1"/>
  </r>
  <r>
    <d v="2018-07-04T00:00:00"/>
    <s v="Bäckerei"/>
    <s v="Lebensmittel-Einkauf"/>
    <s v="Brot und Gebäck"/>
    <n v="-20"/>
    <s v="EUR"/>
    <x v="4"/>
    <x v="6"/>
    <x v="3"/>
    <n v="20"/>
    <x v="1"/>
  </r>
  <r>
    <d v="2018-07-05T00:00:00"/>
    <s v="Arbeitgeber"/>
    <s v="Gutschrift"/>
    <s v="Lohn"/>
    <n v="1000"/>
    <s v="EUR"/>
    <x v="0"/>
    <x v="6"/>
    <x v="3"/>
    <n v="1000"/>
    <x v="0"/>
  </r>
  <r>
    <d v="2018-07-06T00:00:00"/>
    <s v="Netflix"/>
    <s v="Abonnement"/>
    <s v="Streaming-Dienst"/>
    <n v="-15"/>
    <s v="EUR"/>
    <x v="1"/>
    <x v="6"/>
    <x v="3"/>
    <n v="15"/>
    <x v="1"/>
  </r>
  <r>
    <d v="2018-07-07T00:00:00"/>
    <s v="Autohändler"/>
    <s v="KFZ-Zahlung"/>
    <s v="Auto-Rate"/>
    <n v="-350"/>
    <s v="EUR"/>
    <x v="2"/>
    <x v="6"/>
    <x v="3"/>
    <n v="350"/>
    <x v="1"/>
  </r>
  <r>
    <d v="2018-07-08T00:00:00"/>
    <s v="Versicherungsgesellschaft"/>
    <s v="Versicherungsprämie"/>
    <s v="Kfz-Versicherung"/>
    <n v="-120"/>
    <s v="EUR"/>
    <x v="3"/>
    <x v="6"/>
    <x v="3"/>
    <n v="120"/>
    <x v="1"/>
  </r>
  <r>
    <d v="2018-07-09T00:00:00"/>
    <s v="Supermarkt"/>
    <s v="Lebensmittel-Einkauf"/>
    <s v="Wochenendeinkauf"/>
    <n v="-60"/>
    <s v="EUR"/>
    <x v="4"/>
    <x v="6"/>
    <x v="3"/>
    <n v="60"/>
    <x v="1"/>
  </r>
  <r>
    <d v="2018-07-10T00:00:00"/>
    <s v="Arbeitgeber"/>
    <s v="Gutschrift"/>
    <s v="Lohn"/>
    <n v="1000"/>
    <s v="EUR"/>
    <x v="0"/>
    <x v="6"/>
    <x v="3"/>
    <n v="1000"/>
    <x v="0"/>
  </r>
  <r>
    <d v="2018-07-11T00:00:00"/>
    <s v="Spotify"/>
    <s v="Abonnement"/>
    <s v="Music-Streaming"/>
    <n v="-10"/>
    <s v="EUR"/>
    <x v="1"/>
    <x v="6"/>
    <x v="3"/>
    <n v="10"/>
    <x v="1"/>
  </r>
  <r>
    <d v="2018-07-12T00:00:00"/>
    <s v="Tankstelle"/>
    <s v="Kraftstoff"/>
    <s v="Auto-Tankfüllung"/>
    <n v="-70"/>
    <s v="EUR"/>
    <x v="2"/>
    <x v="6"/>
    <x v="3"/>
    <n v="70"/>
    <x v="1"/>
  </r>
  <r>
    <d v="2018-07-13T00:00:00"/>
    <s v="Versicherungsgesellschaft"/>
    <s v="Versicherungsprämie"/>
    <s v="Haftpflichtversicherung"/>
    <n v="-80"/>
    <s v="EUR"/>
    <x v="3"/>
    <x v="6"/>
    <x v="3"/>
    <n v="80"/>
    <x v="1"/>
  </r>
  <r>
    <d v="2018-07-14T00:00:00"/>
    <s v="Bäckerei"/>
    <s v="Lebensmittel-Einkauf"/>
    <s v="Brot und Gebäck"/>
    <n v="-25"/>
    <s v="EUR"/>
    <x v="4"/>
    <x v="6"/>
    <x v="3"/>
    <n v="25"/>
    <x v="1"/>
  </r>
  <r>
    <d v="2018-07-15T00:00:00"/>
    <s v="Arbeitgeber"/>
    <s v="Gutschrift"/>
    <s v="Lohn"/>
    <n v="1000"/>
    <s v="EUR"/>
    <x v="0"/>
    <x v="6"/>
    <x v="3"/>
    <n v="1000"/>
    <x v="0"/>
  </r>
  <r>
    <d v="2018-07-16T00:00:00"/>
    <s v="Netflix"/>
    <s v="Abonnement"/>
    <s v="Streaming-Dienst"/>
    <n v="-15"/>
    <s v="EUR"/>
    <x v="1"/>
    <x v="6"/>
    <x v="3"/>
    <n v="15"/>
    <x v="1"/>
  </r>
  <r>
    <d v="2018-07-17T00:00:00"/>
    <s v="Autohändler"/>
    <s v="KFZ-Zahlung"/>
    <s v="Auto-Rate"/>
    <n v="-350"/>
    <s v="EUR"/>
    <x v="2"/>
    <x v="6"/>
    <x v="3"/>
    <n v="350"/>
    <x v="1"/>
  </r>
  <r>
    <d v="2018-07-18T00:00:00"/>
    <s v="Versicherungsgesellschaft"/>
    <s v="Versicherungsprämie"/>
    <s v="Kfz-Versicherung"/>
    <n v="-120"/>
    <s v="EUR"/>
    <x v="3"/>
    <x v="6"/>
    <x v="3"/>
    <n v="120"/>
    <x v="1"/>
  </r>
  <r>
    <d v="2018-07-19T00:00:00"/>
    <s v="Supermarkt"/>
    <s v="Lebensmittel-Einkauf"/>
    <s v="Wochenendeinkauf"/>
    <n v="-70"/>
    <s v="EUR"/>
    <x v="4"/>
    <x v="6"/>
    <x v="3"/>
    <n v="70"/>
    <x v="1"/>
  </r>
  <r>
    <d v="2018-07-20T00:00:00"/>
    <s v="Arbeitgeber"/>
    <s v="Gutschrift"/>
    <s v="Lohn"/>
    <n v="1000"/>
    <s v="EUR"/>
    <x v="0"/>
    <x v="6"/>
    <x v="3"/>
    <n v="1000"/>
    <x v="0"/>
  </r>
  <r>
    <d v="2018-07-21T00:00:00"/>
    <s v="Spotify"/>
    <s v="Abonnement"/>
    <s v="Music-Streaming"/>
    <n v="-10"/>
    <s v="EUR"/>
    <x v="1"/>
    <x v="6"/>
    <x v="3"/>
    <n v="10"/>
    <x v="1"/>
  </r>
  <r>
    <d v="2018-07-22T00:00:00"/>
    <s v="Tankstelle"/>
    <s v="Kraftstoff"/>
    <s v="Auto-Tankfüllung"/>
    <n v="-60"/>
    <s v="EUR"/>
    <x v="2"/>
    <x v="6"/>
    <x v="3"/>
    <n v="60"/>
    <x v="1"/>
  </r>
  <r>
    <d v="2018-07-23T00:00:00"/>
    <s v="Versicherungsgesellschaft"/>
    <s v="Versicherungsprämie"/>
    <s v="Haftpflichtversicherung"/>
    <n v="-80"/>
    <s v="EUR"/>
    <x v="3"/>
    <x v="6"/>
    <x v="3"/>
    <n v="80"/>
    <x v="1"/>
  </r>
  <r>
    <d v="2018-07-24T00:00:00"/>
    <s v="Bäckerei"/>
    <s v="Lebensmittel-Einkauf"/>
    <s v="Brot und Gebäck"/>
    <n v="-30"/>
    <s v="EUR"/>
    <x v="4"/>
    <x v="6"/>
    <x v="3"/>
    <n v="30"/>
    <x v="1"/>
  </r>
  <r>
    <d v="2018-07-25T00:00:00"/>
    <s v="Arbeitgeber"/>
    <s v="Gutschrift"/>
    <s v="Lohn"/>
    <n v="1000"/>
    <s v="EUR"/>
    <x v="0"/>
    <x v="6"/>
    <x v="3"/>
    <n v="1000"/>
    <x v="0"/>
  </r>
  <r>
    <d v="2018-07-26T00:00:00"/>
    <s v="Netflix"/>
    <s v="Abonnement"/>
    <s v="Streaming-Dienst"/>
    <n v="-15"/>
    <s v="EUR"/>
    <x v="1"/>
    <x v="6"/>
    <x v="3"/>
    <n v="15"/>
    <x v="1"/>
  </r>
  <r>
    <d v="2018-07-27T00:00:00"/>
    <s v="Autohändler"/>
    <s v="KFZ-Zahlung"/>
    <s v="Auto-Rate"/>
    <n v="-350"/>
    <s v="EUR"/>
    <x v="2"/>
    <x v="6"/>
    <x v="3"/>
    <n v="350"/>
    <x v="1"/>
  </r>
  <r>
    <d v="2018-07-28T00:00:00"/>
    <s v="Versicherungsgesellschaft"/>
    <s v="Versicherungsprämie"/>
    <s v="Kfz-Versicherung"/>
    <n v="-120"/>
    <s v="EUR"/>
    <x v="3"/>
    <x v="6"/>
    <x v="3"/>
    <n v="120"/>
    <x v="1"/>
  </r>
  <r>
    <d v="2018-07-29T00:00:00"/>
    <s v="Supermarkt"/>
    <s v="Lebensmittel-Einkauf"/>
    <s v="Wochenendeinkauf"/>
    <n v="-80"/>
    <s v="EUR"/>
    <x v="4"/>
    <x v="6"/>
    <x v="3"/>
    <n v="80"/>
    <x v="1"/>
  </r>
  <r>
    <d v="2018-07-30T00:00:00"/>
    <s v="Arbeitgeber"/>
    <s v="Gutschrift"/>
    <s v="Lohn"/>
    <n v="1000"/>
    <s v="EUR"/>
    <x v="0"/>
    <x v="6"/>
    <x v="3"/>
    <n v="1000"/>
    <x v="0"/>
  </r>
  <r>
    <d v="2018-07-31T00:00:00"/>
    <s v="Spotify"/>
    <s v="Abonnement"/>
    <s v="Music-Streaming"/>
    <n v="-10"/>
    <s v="EUR"/>
    <x v="1"/>
    <x v="6"/>
    <x v="3"/>
    <n v="10"/>
    <x v="1"/>
  </r>
  <r>
    <d v="2018-08-01T00:00:00"/>
    <s v="Tankstelle"/>
    <s v="Kraftstoff"/>
    <s v="Auto-Tankfüllung"/>
    <n v="-65"/>
    <s v="EUR"/>
    <x v="2"/>
    <x v="7"/>
    <x v="3"/>
    <n v="65"/>
    <x v="1"/>
  </r>
  <r>
    <d v="2018-08-02T00:00:00"/>
    <s v="Versicherungsgesellschaft"/>
    <s v="Versicherungsprämie"/>
    <s v="Haftpflichtversicherung"/>
    <n v="-80"/>
    <s v="EUR"/>
    <x v="3"/>
    <x v="7"/>
    <x v="3"/>
    <n v="80"/>
    <x v="1"/>
  </r>
  <r>
    <d v="2018-08-03T00:00:00"/>
    <s v="Bäckerei"/>
    <s v="Lebensmittel-Einkauf"/>
    <s v="Brot und Gebäck"/>
    <n v="-35"/>
    <s v="EUR"/>
    <x v="4"/>
    <x v="7"/>
    <x v="3"/>
    <n v="35"/>
    <x v="1"/>
  </r>
  <r>
    <d v="2018-08-04T00:00:00"/>
    <s v="Arbeitgeber"/>
    <s v="Gutschrift"/>
    <s v="Lohn"/>
    <n v="1000"/>
    <s v="EUR"/>
    <x v="0"/>
    <x v="7"/>
    <x v="3"/>
    <n v="1000"/>
    <x v="0"/>
  </r>
  <r>
    <d v="2018-08-05T00:00:00"/>
    <s v="Arbeitgeber"/>
    <s v="Gutschrift"/>
    <s v="Lohn"/>
    <n v="1000"/>
    <s v="EUR"/>
    <x v="0"/>
    <x v="7"/>
    <x v="3"/>
    <n v="1000"/>
    <x v="0"/>
  </r>
  <r>
    <d v="2018-08-06T00:00:00"/>
    <s v="Netflix"/>
    <s v="Abonnement"/>
    <s v="Streaming-Dienst"/>
    <n v="-15"/>
    <s v="EUR"/>
    <x v="1"/>
    <x v="7"/>
    <x v="3"/>
    <n v="15"/>
    <x v="1"/>
  </r>
  <r>
    <d v="2018-08-07T00:00:00"/>
    <s v="Autohändler"/>
    <s v="KFZ-Zahlung"/>
    <s v="Auto-Rate"/>
    <n v="-350"/>
    <s v="EUR"/>
    <x v="2"/>
    <x v="7"/>
    <x v="3"/>
    <n v="350"/>
    <x v="1"/>
  </r>
  <r>
    <d v="2018-08-08T00:00:00"/>
    <s v="Versicherungsgesellschaft"/>
    <s v="Versicherungsprämie"/>
    <s v="Kfz-Versicherung"/>
    <n v="-120"/>
    <s v="EUR"/>
    <x v="3"/>
    <x v="7"/>
    <x v="3"/>
    <n v="120"/>
    <x v="1"/>
  </r>
  <r>
    <d v="2018-08-09T00:00:00"/>
    <s v="Supermarkt"/>
    <s v="Lebensmittel-Einkauf"/>
    <s v="Wochenendeinkauf"/>
    <n v="-50"/>
    <s v="EUR"/>
    <x v="4"/>
    <x v="7"/>
    <x v="3"/>
    <n v="50"/>
    <x v="1"/>
  </r>
  <r>
    <d v="2018-08-10T00:00:00"/>
    <s v="Arbeitgeber"/>
    <s v="Gutschrift"/>
    <s v="Lohn"/>
    <n v="1000"/>
    <s v="EUR"/>
    <x v="0"/>
    <x v="7"/>
    <x v="3"/>
    <n v="1000"/>
    <x v="0"/>
  </r>
  <r>
    <d v="2018-08-11T00:00:00"/>
    <s v="Spotify"/>
    <s v="Abonnement"/>
    <s v="Music-Streaming"/>
    <n v="-10"/>
    <s v="EUR"/>
    <x v="1"/>
    <x v="7"/>
    <x v="3"/>
    <n v="10"/>
    <x v="1"/>
  </r>
  <r>
    <d v="2018-08-12T00:00:00"/>
    <s v="Tankstelle"/>
    <s v="Kraftstoff"/>
    <s v="Auto-Tankfüllung"/>
    <n v="-60"/>
    <s v="EUR"/>
    <x v="2"/>
    <x v="7"/>
    <x v="3"/>
    <n v="60"/>
    <x v="1"/>
  </r>
  <r>
    <d v="2018-08-13T00:00:00"/>
    <s v="Versicherungsgesellschaft"/>
    <s v="Versicherungsprämie"/>
    <s v="Haftpflichtversicherung"/>
    <n v="-80"/>
    <s v="EUR"/>
    <x v="3"/>
    <x v="7"/>
    <x v="3"/>
    <n v="80"/>
    <x v="1"/>
  </r>
  <r>
    <d v="2018-08-14T00:00:00"/>
    <s v="Bäckerei"/>
    <s v="Lebensmittel-Einkauf"/>
    <s v="Brot und Gebäck"/>
    <n v="-20"/>
    <s v="EUR"/>
    <x v="4"/>
    <x v="7"/>
    <x v="3"/>
    <n v="20"/>
    <x v="1"/>
  </r>
  <r>
    <d v="2018-08-15T00:00:00"/>
    <s v="Arbeitgeber"/>
    <s v="Gutschrift"/>
    <s v="Lohn"/>
    <n v="1000"/>
    <s v="EUR"/>
    <x v="0"/>
    <x v="7"/>
    <x v="3"/>
    <n v="1000"/>
    <x v="0"/>
  </r>
  <r>
    <d v="2018-08-16T00:00:00"/>
    <s v="Netflix"/>
    <s v="Abonnement"/>
    <s v="Streaming-Dienst"/>
    <n v="-15"/>
    <s v="EUR"/>
    <x v="1"/>
    <x v="7"/>
    <x v="3"/>
    <n v="15"/>
    <x v="1"/>
  </r>
  <r>
    <d v="2018-08-17T00:00:00"/>
    <s v="Autohändler"/>
    <s v="KFZ-Zahlung"/>
    <s v="Auto-Rate"/>
    <n v="-350"/>
    <s v="EUR"/>
    <x v="2"/>
    <x v="7"/>
    <x v="3"/>
    <n v="350"/>
    <x v="1"/>
  </r>
  <r>
    <d v="2018-08-18T00:00:00"/>
    <s v="Versicherungsgesellschaft"/>
    <s v="Versicherungsprämie"/>
    <s v="Kfz-Versicherung"/>
    <n v="-120"/>
    <s v="EUR"/>
    <x v="3"/>
    <x v="7"/>
    <x v="3"/>
    <n v="120"/>
    <x v="1"/>
  </r>
  <r>
    <d v="2018-08-19T00:00:00"/>
    <s v="Supermarkt"/>
    <s v="Lebensmittel-Einkauf"/>
    <s v="Wochenendeinkauf"/>
    <n v="-60"/>
    <s v="EUR"/>
    <x v="4"/>
    <x v="7"/>
    <x v="3"/>
    <n v="60"/>
    <x v="1"/>
  </r>
  <r>
    <d v="2018-08-20T00:00:00"/>
    <s v="Arbeitgeber"/>
    <s v="Gutschrift"/>
    <s v="Lohn"/>
    <n v="1000"/>
    <s v="EUR"/>
    <x v="0"/>
    <x v="7"/>
    <x v="3"/>
    <n v="1000"/>
    <x v="0"/>
  </r>
  <r>
    <d v="2018-08-21T00:00:00"/>
    <s v="Spotify"/>
    <s v="Abonnement"/>
    <s v="Music-Streaming"/>
    <n v="-10"/>
    <s v="EUR"/>
    <x v="1"/>
    <x v="7"/>
    <x v="3"/>
    <n v="10"/>
    <x v="1"/>
  </r>
  <r>
    <d v="2018-08-22T00:00:00"/>
    <s v="Tankstelle"/>
    <s v="Kraftstoff"/>
    <s v="Auto-Tankfüllung"/>
    <n v="-70"/>
    <s v="EUR"/>
    <x v="2"/>
    <x v="7"/>
    <x v="3"/>
    <n v="70"/>
    <x v="1"/>
  </r>
  <r>
    <d v="2018-08-23T00:00:00"/>
    <s v="Versicherungsgesellschaft"/>
    <s v="Versicherungsprämie"/>
    <s v="Haftpflichtversicherung"/>
    <n v="-80"/>
    <s v="EUR"/>
    <x v="3"/>
    <x v="7"/>
    <x v="3"/>
    <n v="80"/>
    <x v="1"/>
  </r>
  <r>
    <d v="2018-08-24T00:00:00"/>
    <s v="Bäckerei"/>
    <s v="Lebensmittel-Einkauf"/>
    <s v="Brot und Gebäck"/>
    <n v="-25"/>
    <s v="EUR"/>
    <x v="4"/>
    <x v="7"/>
    <x v="3"/>
    <n v="25"/>
    <x v="1"/>
  </r>
  <r>
    <d v="2018-08-25T00:00:00"/>
    <s v="Arbeitgeber"/>
    <s v="Gutschrift"/>
    <s v="Lohn"/>
    <n v="1000"/>
    <s v="EUR"/>
    <x v="0"/>
    <x v="7"/>
    <x v="3"/>
    <n v="1000"/>
    <x v="0"/>
  </r>
  <r>
    <d v="2018-08-26T00:00:00"/>
    <s v="Netflix"/>
    <s v="Abonnement"/>
    <s v="Streaming-Dienst"/>
    <n v="-15"/>
    <s v="EUR"/>
    <x v="1"/>
    <x v="7"/>
    <x v="3"/>
    <n v="15"/>
    <x v="1"/>
  </r>
  <r>
    <d v="2018-08-27T00:00:00"/>
    <s v="Autohändler"/>
    <s v="KFZ-Zahlung"/>
    <s v="Auto-Rate"/>
    <n v="-350"/>
    <s v="EUR"/>
    <x v="2"/>
    <x v="7"/>
    <x v="3"/>
    <n v="350"/>
    <x v="1"/>
  </r>
  <r>
    <d v="2018-08-28T00:00:00"/>
    <s v="Versicherungsgesellschaft"/>
    <s v="Versicherungsprämie"/>
    <s v="Kfz-Versicherung"/>
    <n v="-120"/>
    <s v="EUR"/>
    <x v="3"/>
    <x v="7"/>
    <x v="3"/>
    <n v="120"/>
    <x v="1"/>
  </r>
  <r>
    <d v="2018-08-29T00:00:00"/>
    <s v="Supermarkt"/>
    <s v="Lebensmittel-Einkauf"/>
    <s v="Wochenendeinkauf"/>
    <n v="-70"/>
    <s v="EUR"/>
    <x v="4"/>
    <x v="7"/>
    <x v="3"/>
    <n v="70"/>
    <x v="1"/>
  </r>
  <r>
    <d v="2018-08-30T00:00:00"/>
    <s v="Arbeitgeber"/>
    <s v="Gutschrift"/>
    <s v="Lohn"/>
    <n v="1000"/>
    <s v="EUR"/>
    <x v="0"/>
    <x v="7"/>
    <x v="3"/>
    <n v="1000"/>
    <x v="0"/>
  </r>
  <r>
    <d v="2018-08-31T00:00:00"/>
    <s v="Spotify"/>
    <s v="Abonnement"/>
    <s v="Music-Streaming"/>
    <n v="-10"/>
    <s v="EUR"/>
    <x v="1"/>
    <x v="7"/>
    <x v="3"/>
    <n v="10"/>
    <x v="1"/>
  </r>
  <r>
    <d v="2018-09-01T00:00:00"/>
    <s v="Tankstelle"/>
    <s v="Kraftstoff"/>
    <s v="Auto-Tankfüllung"/>
    <n v="-60"/>
    <s v="EUR"/>
    <x v="2"/>
    <x v="8"/>
    <x v="3"/>
    <n v="60"/>
    <x v="1"/>
  </r>
  <r>
    <d v="2018-09-02T00:00:00"/>
    <s v="Versicherungsgesellschaft"/>
    <s v="Versicherungsprämie"/>
    <s v="Haftpflichtversicherung"/>
    <n v="-80"/>
    <s v="EUR"/>
    <x v="3"/>
    <x v="8"/>
    <x v="3"/>
    <n v="80"/>
    <x v="1"/>
  </r>
  <r>
    <d v="2018-09-03T00:00:00"/>
    <s v="Bäckerei"/>
    <s v="Lebensmittel-Einkauf"/>
    <s v="Brot und Gebäck"/>
    <n v="-30"/>
    <s v="EUR"/>
    <x v="4"/>
    <x v="8"/>
    <x v="3"/>
    <n v="30"/>
    <x v="1"/>
  </r>
  <r>
    <d v="2018-09-04T00:00:00"/>
    <s v="Arbeitgeber"/>
    <s v="Gutschrift"/>
    <s v="Lohn"/>
    <n v="1000"/>
    <s v="EUR"/>
    <x v="0"/>
    <x v="8"/>
    <x v="3"/>
    <n v="1000"/>
    <x v="0"/>
  </r>
  <r>
    <d v="2018-09-05T00:00:00"/>
    <s v="Netflix"/>
    <s v="Abonnement"/>
    <s v="Streaming-Dienst"/>
    <n v="-15"/>
    <s v="EUR"/>
    <x v="1"/>
    <x v="8"/>
    <x v="3"/>
    <n v="15"/>
    <x v="1"/>
  </r>
  <r>
    <d v="2018-09-06T00:00:00"/>
    <s v="Autohändler"/>
    <s v="KFZ-Zahlung"/>
    <s v="Auto-Rate"/>
    <n v="-350"/>
    <s v="EUR"/>
    <x v="2"/>
    <x v="8"/>
    <x v="3"/>
    <n v="350"/>
    <x v="1"/>
  </r>
  <r>
    <d v="2018-09-07T00:00:00"/>
    <s v="Versicherungsgesellschaft"/>
    <s v="Versicherungsprämie"/>
    <s v="Kfz-Versicherung"/>
    <n v="-120"/>
    <s v="EUR"/>
    <x v="3"/>
    <x v="8"/>
    <x v="3"/>
    <n v="120"/>
    <x v="1"/>
  </r>
  <r>
    <d v="2018-09-08T00:00:00"/>
    <s v="Supermarkt"/>
    <s v="Lebensmittel-Einkauf"/>
    <s v="Wochenendeinkauf"/>
    <n v="-80"/>
    <s v="EUR"/>
    <x v="4"/>
    <x v="8"/>
    <x v="3"/>
    <n v="80"/>
    <x v="1"/>
  </r>
  <r>
    <d v="2018-09-09T00:00:00"/>
    <s v="Arbeitgeber"/>
    <s v="Gutschrift"/>
    <s v="Lohn"/>
    <n v="1000"/>
    <s v="EUR"/>
    <x v="0"/>
    <x v="8"/>
    <x v="3"/>
    <n v="1000"/>
    <x v="0"/>
  </r>
  <r>
    <d v="2018-09-10T00:00:00"/>
    <s v="Spotify"/>
    <s v="Abonnement"/>
    <s v="Music-Streaming"/>
    <n v="-10"/>
    <s v="EUR"/>
    <x v="1"/>
    <x v="8"/>
    <x v="3"/>
    <n v="10"/>
    <x v="1"/>
  </r>
  <r>
    <d v="2018-09-11T00:00:00"/>
    <s v="Tankstelle"/>
    <s v="Kraftstoff"/>
    <s v="Auto-Tankfüllung"/>
    <n v="-65"/>
    <s v="EUR"/>
    <x v="2"/>
    <x v="8"/>
    <x v="3"/>
    <n v="65"/>
    <x v="1"/>
  </r>
  <r>
    <d v="2018-09-12T00:00:00"/>
    <s v="Versicherungsgesellschaft"/>
    <s v="Versicherungsprämie"/>
    <s v="Haftpflichtversicherung"/>
    <n v="-80"/>
    <s v="EUR"/>
    <x v="3"/>
    <x v="8"/>
    <x v="3"/>
    <n v="80"/>
    <x v="1"/>
  </r>
  <r>
    <d v="2018-09-13T00:00:00"/>
    <s v="Bäckerei"/>
    <s v="Lebensmittel-Einkauf"/>
    <s v="Brot und Gebäck"/>
    <n v="-35"/>
    <s v="EUR"/>
    <x v="4"/>
    <x v="8"/>
    <x v="3"/>
    <n v="35"/>
    <x v="1"/>
  </r>
  <r>
    <d v="2018-09-14T00:00:00"/>
    <s v="Arbeitgeber"/>
    <s v="Gutschrift"/>
    <s v="Lohn"/>
    <n v="1000"/>
    <s v="EUR"/>
    <x v="0"/>
    <x v="8"/>
    <x v="3"/>
    <n v="1000"/>
    <x v="0"/>
  </r>
  <r>
    <d v="2018-09-15T00:00:00"/>
    <s v="Arbeitgeber"/>
    <s v="Gutschrift"/>
    <s v="Lohn"/>
    <n v="1000"/>
    <s v="EUR"/>
    <x v="0"/>
    <x v="8"/>
    <x v="3"/>
    <n v="1000"/>
    <x v="0"/>
  </r>
  <r>
    <d v="2018-09-16T00:00:00"/>
    <s v="Netflix"/>
    <s v="Abonnement"/>
    <s v="Streaming-Dienst"/>
    <n v="-15"/>
    <s v="EUR"/>
    <x v="1"/>
    <x v="8"/>
    <x v="3"/>
    <n v="15"/>
    <x v="1"/>
  </r>
  <r>
    <d v="2018-09-17T00:00:00"/>
    <s v="Autohändler"/>
    <s v="KFZ-Zahlung"/>
    <s v="Auto-Rate"/>
    <n v="-350"/>
    <s v="EUR"/>
    <x v="2"/>
    <x v="8"/>
    <x v="3"/>
    <n v="350"/>
    <x v="1"/>
  </r>
  <r>
    <d v="2018-09-18T00:00:00"/>
    <s v="Versicherungsgesellschaft"/>
    <s v="Versicherungsprämie"/>
    <s v="Kfz-Versicherung"/>
    <n v="-120"/>
    <s v="EUR"/>
    <x v="3"/>
    <x v="8"/>
    <x v="3"/>
    <n v="120"/>
    <x v="1"/>
  </r>
  <r>
    <d v="2018-09-19T00:00:00"/>
    <s v="Supermarkt"/>
    <s v="Lebensmittel-Einkauf"/>
    <s v="Wochenendeinkauf"/>
    <n v="-50"/>
    <s v="EUR"/>
    <x v="4"/>
    <x v="8"/>
    <x v="3"/>
    <n v="50"/>
    <x v="1"/>
  </r>
  <r>
    <d v="2018-09-20T00:00:00"/>
    <s v="Arbeitgeber"/>
    <s v="Gutschrift"/>
    <s v="Lohn"/>
    <n v="1000"/>
    <s v="EUR"/>
    <x v="0"/>
    <x v="8"/>
    <x v="3"/>
    <n v="1000"/>
    <x v="0"/>
  </r>
  <r>
    <d v="2018-09-21T00:00:00"/>
    <s v="Spotify"/>
    <s v="Abonnement"/>
    <s v="Music-Streaming"/>
    <n v="-10"/>
    <s v="EUR"/>
    <x v="1"/>
    <x v="8"/>
    <x v="3"/>
    <n v="10"/>
    <x v="1"/>
  </r>
  <r>
    <d v="2018-09-22T00:00:00"/>
    <s v="Tankstelle"/>
    <s v="Kraftstoff"/>
    <s v="Auto-Tankfüllung"/>
    <n v="-60"/>
    <s v="EUR"/>
    <x v="2"/>
    <x v="8"/>
    <x v="3"/>
    <n v="60"/>
    <x v="1"/>
  </r>
  <r>
    <d v="2018-09-23T00:00:00"/>
    <s v="Versicherungsgesellschaft"/>
    <s v="Versicherungsprämie"/>
    <s v="Haftpflichtversicherung"/>
    <n v="-80"/>
    <s v="EUR"/>
    <x v="3"/>
    <x v="8"/>
    <x v="3"/>
    <n v="80"/>
    <x v="1"/>
  </r>
  <r>
    <d v="2018-09-24T00:00:00"/>
    <s v="Bäckerei"/>
    <s v="Lebensmittel-Einkauf"/>
    <s v="Brot und Gebäck"/>
    <n v="-20"/>
    <s v="EUR"/>
    <x v="4"/>
    <x v="8"/>
    <x v="3"/>
    <n v="20"/>
    <x v="1"/>
  </r>
  <r>
    <d v="2018-09-25T00:00:00"/>
    <s v="Arbeitgeber"/>
    <s v="Gutschrift"/>
    <s v="Lohn"/>
    <n v="1000"/>
    <s v="EUR"/>
    <x v="0"/>
    <x v="8"/>
    <x v="3"/>
    <n v="1000"/>
    <x v="0"/>
  </r>
  <r>
    <d v="2018-09-26T00:00:00"/>
    <s v="Netflix"/>
    <s v="Abonnement"/>
    <s v="Streaming-Dienst"/>
    <n v="-15"/>
    <s v="EUR"/>
    <x v="1"/>
    <x v="8"/>
    <x v="3"/>
    <n v="15"/>
    <x v="1"/>
  </r>
  <r>
    <d v="2018-09-27T00:00:00"/>
    <s v="Autohändler"/>
    <s v="KFZ-Zahlung"/>
    <s v="Auto-Rate"/>
    <n v="-350"/>
    <s v="EUR"/>
    <x v="2"/>
    <x v="8"/>
    <x v="3"/>
    <n v="350"/>
    <x v="1"/>
  </r>
  <r>
    <d v="2018-09-28T00:00:00"/>
    <s v="Versicherungsgesellschaft"/>
    <s v="Versicherungsprämie"/>
    <s v="Kfz-Versicherung"/>
    <n v="-120"/>
    <s v="EUR"/>
    <x v="3"/>
    <x v="8"/>
    <x v="3"/>
    <n v="120"/>
    <x v="1"/>
  </r>
  <r>
    <d v="2018-09-29T00:00:00"/>
    <s v="Supermarkt"/>
    <s v="Lebensmittel-Einkauf"/>
    <s v="Wochenendeinkauf"/>
    <n v="-60"/>
    <s v="EUR"/>
    <x v="4"/>
    <x v="8"/>
    <x v="3"/>
    <n v="60"/>
    <x v="1"/>
  </r>
  <r>
    <d v="2018-09-30T00:00:00"/>
    <s v="Arbeitgeber"/>
    <s v="Gutschrift"/>
    <s v="Lohn"/>
    <n v="1000"/>
    <s v="EUR"/>
    <x v="0"/>
    <x v="8"/>
    <x v="3"/>
    <n v="1000"/>
    <x v="0"/>
  </r>
  <r>
    <d v="2018-10-01T00:00:00"/>
    <s v="Spotify"/>
    <s v="Abonnement"/>
    <s v="Music-Streaming"/>
    <n v="-10"/>
    <s v="EUR"/>
    <x v="1"/>
    <x v="9"/>
    <x v="3"/>
    <n v="10"/>
    <x v="1"/>
  </r>
  <r>
    <d v="2018-10-02T00:00:00"/>
    <s v="Tankstelle"/>
    <s v="Kraftstoff"/>
    <s v="Auto-Tankfüllung"/>
    <n v="-70"/>
    <s v="EUR"/>
    <x v="2"/>
    <x v="9"/>
    <x v="3"/>
    <n v="70"/>
    <x v="1"/>
  </r>
  <r>
    <d v="2018-10-03T00:00:00"/>
    <s v="Versicherungsgesellschaft"/>
    <s v="Versicherungsprämie"/>
    <s v="Haftpflichtversicherung"/>
    <n v="-80"/>
    <s v="EUR"/>
    <x v="3"/>
    <x v="9"/>
    <x v="3"/>
    <n v="80"/>
    <x v="1"/>
  </r>
  <r>
    <d v="2018-10-04T00:00:00"/>
    <s v="Bäckerei"/>
    <s v="Lebensmittel-Einkauf"/>
    <s v="Brot und Gebäck"/>
    <n v="-25"/>
    <s v="EUR"/>
    <x v="4"/>
    <x v="9"/>
    <x v="3"/>
    <n v="25"/>
    <x v="1"/>
  </r>
  <r>
    <d v="2018-10-05T00:00:00"/>
    <s v="Arbeitgeber"/>
    <s v="Gutschrift"/>
    <s v="Lohn"/>
    <n v="1000"/>
    <s v="EUR"/>
    <x v="0"/>
    <x v="9"/>
    <x v="3"/>
    <n v="1000"/>
    <x v="0"/>
  </r>
  <r>
    <d v="2018-10-06T00:00:00"/>
    <s v="Netflix"/>
    <s v="Abonnement"/>
    <s v="Streaming-Dienst"/>
    <n v="-15"/>
    <s v="EUR"/>
    <x v="1"/>
    <x v="9"/>
    <x v="3"/>
    <n v="15"/>
    <x v="1"/>
  </r>
  <r>
    <d v="2018-10-07T00:00:00"/>
    <s v="Autohändler"/>
    <s v="KFZ-Zahlung"/>
    <s v="Auto-Rate"/>
    <n v="-350"/>
    <s v="EUR"/>
    <x v="2"/>
    <x v="9"/>
    <x v="3"/>
    <n v="350"/>
    <x v="1"/>
  </r>
  <r>
    <d v="2018-10-08T00:00:00"/>
    <s v="Versicherungsgesellschaft"/>
    <s v="Versicherungsprämie"/>
    <s v="Kfz-Versicherung"/>
    <n v="-120"/>
    <s v="EUR"/>
    <x v="3"/>
    <x v="9"/>
    <x v="3"/>
    <n v="120"/>
    <x v="1"/>
  </r>
  <r>
    <d v="2018-10-09T00:00:00"/>
    <s v="Supermarkt"/>
    <s v="Lebensmittel-Einkauf"/>
    <s v="Wochenendeinkauf"/>
    <n v="-70"/>
    <s v="EUR"/>
    <x v="4"/>
    <x v="9"/>
    <x v="3"/>
    <n v="70"/>
    <x v="1"/>
  </r>
  <r>
    <d v="2018-10-10T00:00:00"/>
    <s v="Arbeitgeber"/>
    <s v="Gutschrift"/>
    <s v="Lohn"/>
    <n v="1000"/>
    <s v="EUR"/>
    <x v="0"/>
    <x v="9"/>
    <x v="3"/>
    <n v="1000"/>
    <x v="0"/>
  </r>
  <r>
    <d v="2018-10-11T00:00:00"/>
    <s v="Spotify"/>
    <s v="Abonnement"/>
    <s v="Music-Streaming"/>
    <n v="-10"/>
    <s v="EUR"/>
    <x v="1"/>
    <x v="9"/>
    <x v="3"/>
    <n v="10"/>
    <x v="1"/>
  </r>
  <r>
    <d v="2018-10-12T00:00:00"/>
    <s v="Tankstelle"/>
    <s v="Kraftstoff"/>
    <s v="Auto-Tankfüllung"/>
    <n v="-60"/>
    <s v="EUR"/>
    <x v="2"/>
    <x v="9"/>
    <x v="3"/>
    <n v="60"/>
    <x v="1"/>
  </r>
  <r>
    <d v="2018-10-13T00:00:00"/>
    <s v="Versicherungsgesellschaft"/>
    <s v="Versicherungsprämie"/>
    <s v="Haftpflichtversicherung"/>
    <n v="-80"/>
    <s v="EUR"/>
    <x v="3"/>
    <x v="9"/>
    <x v="3"/>
    <n v="80"/>
    <x v="1"/>
  </r>
  <r>
    <d v="2018-10-14T00:00:00"/>
    <s v="Bäckerei"/>
    <s v="Lebensmittel-Einkauf"/>
    <s v="Brot und Gebäck"/>
    <n v="-30"/>
    <s v="EUR"/>
    <x v="4"/>
    <x v="9"/>
    <x v="3"/>
    <n v="30"/>
    <x v="1"/>
  </r>
  <r>
    <d v="2018-10-15T00:00:00"/>
    <s v="Arbeitgeber"/>
    <s v="Gutschrift"/>
    <s v="Lohn"/>
    <n v="1000"/>
    <s v="EUR"/>
    <x v="0"/>
    <x v="9"/>
    <x v="3"/>
    <n v="1000"/>
    <x v="0"/>
  </r>
  <r>
    <d v="2018-10-16T00:00:00"/>
    <s v="Netflix"/>
    <s v="Abonnement"/>
    <s v="Streaming-Dienst"/>
    <n v="-15"/>
    <s v="EUR"/>
    <x v="1"/>
    <x v="9"/>
    <x v="3"/>
    <n v="15"/>
    <x v="1"/>
  </r>
  <r>
    <d v="2018-10-17T00:00:00"/>
    <s v="Autohändler"/>
    <s v="KFZ-Zahlung"/>
    <s v="Auto-Rate"/>
    <n v="-350"/>
    <s v="EUR"/>
    <x v="2"/>
    <x v="9"/>
    <x v="3"/>
    <n v="350"/>
    <x v="1"/>
  </r>
  <r>
    <d v="2018-10-18T00:00:00"/>
    <s v="Versicherungsgesellschaft"/>
    <s v="Versicherungsprämie"/>
    <s v="Kfz-Versicherung"/>
    <n v="-120"/>
    <s v="EUR"/>
    <x v="3"/>
    <x v="9"/>
    <x v="3"/>
    <n v="120"/>
    <x v="1"/>
  </r>
  <r>
    <d v="2018-10-19T00:00:00"/>
    <s v="Supermarkt"/>
    <s v="Lebensmittel-Einkauf"/>
    <s v="Wochenendeinkauf"/>
    <n v="-80"/>
    <s v="EUR"/>
    <x v="4"/>
    <x v="9"/>
    <x v="3"/>
    <n v="80"/>
    <x v="1"/>
  </r>
  <r>
    <d v="2018-10-20T00:00:00"/>
    <s v="Arbeitgeber"/>
    <s v="Gutschrift"/>
    <s v="Lohn"/>
    <n v="1000"/>
    <s v="EUR"/>
    <x v="0"/>
    <x v="9"/>
    <x v="3"/>
    <n v="1000"/>
    <x v="0"/>
  </r>
  <r>
    <d v="2018-10-21T00:00:00"/>
    <s v="Spotify"/>
    <s v="Abonnement"/>
    <s v="Music-Streaming"/>
    <n v="-10"/>
    <s v="EUR"/>
    <x v="1"/>
    <x v="9"/>
    <x v="3"/>
    <n v="10"/>
    <x v="1"/>
  </r>
  <r>
    <d v="2018-10-22T00:00:00"/>
    <s v="Tankstelle"/>
    <s v="Kraftstoff"/>
    <s v="Auto-Tankfüllung"/>
    <n v="-65"/>
    <s v="EUR"/>
    <x v="2"/>
    <x v="9"/>
    <x v="3"/>
    <n v="65"/>
    <x v="1"/>
  </r>
  <r>
    <d v="2018-10-23T00:00:00"/>
    <s v="Versicherungsgesellschaft"/>
    <s v="Versicherungsprämie"/>
    <s v="Haftpflichtversicherung"/>
    <n v="-80"/>
    <s v="EUR"/>
    <x v="3"/>
    <x v="9"/>
    <x v="3"/>
    <n v="80"/>
    <x v="1"/>
  </r>
  <r>
    <d v="2018-10-24T00:00:00"/>
    <s v="Bäckerei"/>
    <s v="Lebensmittel-Einkauf"/>
    <s v="Brot und Gebäck"/>
    <n v="-35"/>
    <s v="EUR"/>
    <x v="4"/>
    <x v="9"/>
    <x v="3"/>
    <n v="35"/>
    <x v="1"/>
  </r>
  <r>
    <d v="2018-10-25T00:00:00"/>
    <s v="Arbeitgeber"/>
    <s v="Gutschrift"/>
    <s v="Lohn"/>
    <n v="1000"/>
    <s v="EUR"/>
    <x v="0"/>
    <x v="9"/>
    <x v="3"/>
    <n v="1000"/>
    <x v="0"/>
  </r>
  <r>
    <d v="2018-10-26T00:00:00"/>
    <s v="Arbeitgeber"/>
    <s v="Gutschrift"/>
    <s v="Lohn"/>
    <n v="1000"/>
    <s v="EUR"/>
    <x v="0"/>
    <x v="9"/>
    <x v="3"/>
    <n v="1000"/>
    <x v="0"/>
  </r>
  <r>
    <d v="2018-10-27T00:00:00"/>
    <s v="Netflix"/>
    <s v="Abonnement"/>
    <s v="Streaming-Dienst"/>
    <n v="-15"/>
    <s v="EUR"/>
    <x v="1"/>
    <x v="9"/>
    <x v="3"/>
    <n v="15"/>
    <x v="1"/>
  </r>
  <r>
    <d v="2018-10-28T00:00:00"/>
    <s v="Autohändler"/>
    <s v="KFZ-Zahlung"/>
    <s v="Auto-Rate"/>
    <n v="-350"/>
    <s v="EUR"/>
    <x v="2"/>
    <x v="9"/>
    <x v="3"/>
    <n v="350"/>
    <x v="1"/>
  </r>
  <r>
    <d v="2018-10-29T00:00:00"/>
    <s v="Versicherungsgesellschaft"/>
    <s v="Versicherungsprämie"/>
    <s v="Kfz-Versicherung"/>
    <n v="-120"/>
    <s v="EUR"/>
    <x v="3"/>
    <x v="9"/>
    <x v="3"/>
    <n v="120"/>
    <x v="1"/>
  </r>
  <r>
    <d v="2018-10-30T00:00:00"/>
    <s v="Supermarkt"/>
    <s v="Lebensmittel-Einkauf"/>
    <s v="Wochenendeinkauf"/>
    <n v="-50"/>
    <s v="EUR"/>
    <x v="4"/>
    <x v="9"/>
    <x v="3"/>
    <n v="50"/>
    <x v="1"/>
  </r>
  <r>
    <d v="2018-10-31T00:00:00"/>
    <s v="Arbeitgeber"/>
    <s v="Gutschrift"/>
    <s v="Lohn"/>
    <n v="1000"/>
    <s v="EUR"/>
    <x v="0"/>
    <x v="9"/>
    <x v="3"/>
    <n v="1000"/>
    <x v="0"/>
  </r>
  <r>
    <d v="2018-11-01T00:00:00"/>
    <s v="Spotify"/>
    <s v="Abonnement"/>
    <s v="Music-Streaming"/>
    <n v="-10"/>
    <s v="EUR"/>
    <x v="1"/>
    <x v="10"/>
    <x v="3"/>
    <n v="10"/>
    <x v="1"/>
  </r>
  <r>
    <d v="2018-11-02T00:00:00"/>
    <s v="Tankstelle"/>
    <s v="Kraftstoff"/>
    <s v="Auto-Tankfüllung"/>
    <n v="-60"/>
    <s v="EUR"/>
    <x v="2"/>
    <x v="10"/>
    <x v="3"/>
    <n v="60"/>
    <x v="1"/>
  </r>
  <r>
    <d v="2018-11-03T00:00:00"/>
    <s v="Versicherungsgesellschaft"/>
    <s v="Versicherungsprämie"/>
    <s v="Haftpflichtversicherung"/>
    <n v="-80"/>
    <s v="EUR"/>
    <x v="3"/>
    <x v="10"/>
    <x v="3"/>
    <n v="80"/>
    <x v="1"/>
  </r>
  <r>
    <d v="2018-11-04T00:00:00"/>
    <s v="Bäckerei"/>
    <s v="Lebensmittel-Einkauf"/>
    <s v="Brot und Gebäck"/>
    <n v="-20"/>
    <s v="EUR"/>
    <x v="4"/>
    <x v="10"/>
    <x v="3"/>
    <n v="20"/>
    <x v="1"/>
  </r>
  <r>
    <d v="2018-11-05T00:00:00"/>
    <s v="Arbeitgeber"/>
    <s v="Gutschrift"/>
    <s v="Lohn"/>
    <n v="1000"/>
    <s v="EUR"/>
    <x v="0"/>
    <x v="10"/>
    <x v="3"/>
    <n v="1000"/>
    <x v="0"/>
  </r>
  <r>
    <d v="2018-11-06T00:00:00"/>
    <s v="Netflix"/>
    <s v="Abonnement"/>
    <s v="Streaming-Dienst"/>
    <n v="-15"/>
    <s v="EUR"/>
    <x v="1"/>
    <x v="10"/>
    <x v="3"/>
    <n v="15"/>
    <x v="1"/>
  </r>
  <r>
    <d v="2018-11-07T00:00:00"/>
    <s v="Autohändler"/>
    <s v="KFZ-Zahlung"/>
    <s v="Auto-Rate"/>
    <n v="-350"/>
    <s v="EUR"/>
    <x v="2"/>
    <x v="10"/>
    <x v="3"/>
    <n v="350"/>
    <x v="1"/>
  </r>
  <r>
    <d v="2018-11-08T00:00:00"/>
    <s v="Versicherungsgesellschaft"/>
    <s v="Versicherungsprämie"/>
    <s v="Kfz-Versicherung"/>
    <n v="-120"/>
    <s v="EUR"/>
    <x v="3"/>
    <x v="10"/>
    <x v="3"/>
    <n v="120"/>
    <x v="1"/>
  </r>
  <r>
    <d v="2018-11-09T00:00:00"/>
    <s v="Supermarkt"/>
    <s v="Lebensmittel-Einkauf"/>
    <s v="Wochenendeinkauf"/>
    <n v="-60"/>
    <s v="EUR"/>
    <x v="4"/>
    <x v="10"/>
    <x v="3"/>
    <n v="60"/>
    <x v="1"/>
  </r>
  <r>
    <d v="2018-11-10T00:00:00"/>
    <s v="Arbeitgeber"/>
    <s v="Gutschrift"/>
    <s v="Lohn"/>
    <n v="1000"/>
    <s v="EUR"/>
    <x v="0"/>
    <x v="10"/>
    <x v="3"/>
    <n v="1000"/>
    <x v="0"/>
  </r>
  <r>
    <d v="2018-11-11T00:00:00"/>
    <s v="Spotify"/>
    <s v="Abonnement"/>
    <s v="Music-Streaming"/>
    <n v="-10"/>
    <s v="EUR"/>
    <x v="1"/>
    <x v="10"/>
    <x v="3"/>
    <n v="10"/>
    <x v="1"/>
  </r>
  <r>
    <d v="2018-11-12T00:00:00"/>
    <s v="Tankstelle"/>
    <s v="Kraftstoff"/>
    <s v="Auto-Tankfüllung"/>
    <n v="-70"/>
    <s v="EUR"/>
    <x v="2"/>
    <x v="10"/>
    <x v="3"/>
    <n v="70"/>
    <x v="1"/>
  </r>
  <r>
    <d v="2018-11-13T00:00:00"/>
    <s v="Versicherungsgesellschaft"/>
    <s v="Versicherungsprämie"/>
    <s v="Haftpflichtversicherung"/>
    <n v="-80"/>
    <s v="EUR"/>
    <x v="3"/>
    <x v="10"/>
    <x v="3"/>
    <n v="80"/>
    <x v="1"/>
  </r>
  <r>
    <d v="2018-11-14T00:00:00"/>
    <s v="Bäckerei"/>
    <s v="Lebensmittel-Einkauf"/>
    <s v="Brot und Gebäck"/>
    <n v="-25"/>
    <s v="EUR"/>
    <x v="4"/>
    <x v="10"/>
    <x v="3"/>
    <n v="25"/>
    <x v="1"/>
  </r>
  <r>
    <d v="2018-11-15T00:00:00"/>
    <s v="Arbeitgeber"/>
    <s v="Gutschrift"/>
    <s v="Lohn"/>
    <n v="1000"/>
    <s v="EUR"/>
    <x v="0"/>
    <x v="10"/>
    <x v="3"/>
    <n v="1000"/>
    <x v="0"/>
  </r>
  <r>
    <d v="2018-11-16T00:00:00"/>
    <s v="Netflix"/>
    <s v="Abonnement"/>
    <s v="Streaming-Dienst"/>
    <n v="-15"/>
    <s v="EUR"/>
    <x v="1"/>
    <x v="10"/>
    <x v="3"/>
    <n v="15"/>
    <x v="1"/>
  </r>
  <r>
    <d v="2018-11-17T00:00:00"/>
    <s v="Autohändler"/>
    <s v="KFZ-Zahlung"/>
    <s v="Auto-Rate"/>
    <n v="-350"/>
    <s v="EUR"/>
    <x v="2"/>
    <x v="10"/>
    <x v="3"/>
    <n v="350"/>
    <x v="1"/>
  </r>
  <r>
    <d v="2018-11-18T00:00:00"/>
    <s v="Versicherungsgesellschaft"/>
    <s v="Versicherungsprämie"/>
    <s v="Kfz-Versicherung"/>
    <n v="-120"/>
    <s v="EUR"/>
    <x v="3"/>
    <x v="10"/>
    <x v="3"/>
    <n v="120"/>
    <x v="1"/>
  </r>
  <r>
    <d v="2018-11-19T00:00:00"/>
    <s v="Supermarkt"/>
    <s v="Lebensmittel-Einkauf"/>
    <s v="Wochenendeinkauf"/>
    <n v="-70"/>
    <s v="EUR"/>
    <x v="4"/>
    <x v="10"/>
    <x v="3"/>
    <n v="70"/>
    <x v="1"/>
  </r>
  <r>
    <d v="2018-11-20T00:00:00"/>
    <s v="Arbeitgeber"/>
    <s v="Gutschrift"/>
    <s v="Lohn"/>
    <n v="1000"/>
    <s v="EUR"/>
    <x v="0"/>
    <x v="10"/>
    <x v="3"/>
    <n v="1000"/>
    <x v="0"/>
  </r>
  <r>
    <d v="2018-11-21T00:00:00"/>
    <s v="Spotify"/>
    <s v="Abonnement"/>
    <s v="Music-Streaming"/>
    <n v="-10"/>
    <s v="EUR"/>
    <x v="1"/>
    <x v="10"/>
    <x v="3"/>
    <n v="10"/>
    <x v="1"/>
  </r>
  <r>
    <d v="2018-11-22T00:00:00"/>
    <s v="Tankstelle"/>
    <s v="Kraftstoff"/>
    <s v="Auto-Tankfüllung"/>
    <n v="-60"/>
    <s v="EUR"/>
    <x v="2"/>
    <x v="10"/>
    <x v="3"/>
    <n v="60"/>
    <x v="1"/>
  </r>
  <r>
    <d v="2018-11-23T00:00:00"/>
    <s v="Versicherungsgesellschaft"/>
    <s v="Versicherungsprämie"/>
    <s v="Haftpflichtversicherung"/>
    <n v="-80"/>
    <s v="EUR"/>
    <x v="3"/>
    <x v="10"/>
    <x v="3"/>
    <n v="80"/>
    <x v="1"/>
  </r>
  <r>
    <d v="2018-11-24T00:00:00"/>
    <s v="Bäckerei"/>
    <s v="Lebensmittel-Einkauf"/>
    <s v="Brot und Gebäck"/>
    <n v="-30"/>
    <s v="EUR"/>
    <x v="4"/>
    <x v="10"/>
    <x v="3"/>
    <n v="30"/>
    <x v="1"/>
  </r>
  <r>
    <d v="2018-11-25T00:00:00"/>
    <s v="Arbeitgeber"/>
    <s v="Gutschrift"/>
    <s v="Lohn"/>
    <n v="1000"/>
    <s v="EUR"/>
    <x v="0"/>
    <x v="10"/>
    <x v="3"/>
    <n v="1000"/>
    <x v="0"/>
  </r>
  <r>
    <d v="2018-11-26T00:00:00"/>
    <s v="Netflix"/>
    <s v="Abonnement"/>
    <s v="Streaming-Dienst"/>
    <n v="-15"/>
    <s v="EUR"/>
    <x v="1"/>
    <x v="10"/>
    <x v="3"/>
    <n v="15"/>
    <x v="1"/>
  </r>
  <r>
    <d v="2018-11-27T00:00:00"/>
    <s v="Autohändler"/>
    <s v="KFZ-Zahlung"/>
    <s v="Auto-Rate"/>
    <n v="-350"/>
    <s v="EUR"/>
    <x v="2"/>
    <x v="10"/>
    <x v="3"/>
    <n v="350"/>
    <x v="1"/>
  </r>
  <r>
    <d v="2018-11-28T00:00:00"/>
    <s v="Versicherungsgesellschaft"/>
    <s v="Versicherungsprämie"/>
    <s v="Kfz-Versicherung"/>
    <n v="-120"/>
    <s v="EUR"/>
    <x v="3"/>
    <x v="10"/>
    <x v="3"/>
    <n v="120"/>
    <x v="1"/>
  </r>
  <r>
    <d v="2018-11-29T00:00:00"/>
    <s v="Supermarkt"/>
    <s v="Lebensmittel-Einkauf"/>
    <s v="Wochenendeinkauf"/>
    <n v="-80"/>
    <s v="EUR"/>
    <x v="4"/>
    <x v="10"/>
    <x v="3"/>
    <n v="80"/>
    <x v="1"/>
  </r>
  <r>
    <d v="2018-11-30T00:00:00"/>
    <s v="Arbeitgeber"/>
    <s v="Gutschrift"/>
    <s v="Lohn"/>
    <n v="1000"/>
    <s v="EUR"/>
    <x v="0"/>
    <x v="10"/>
    <x v="3"/>
    <n v="1000"/>
    <x v="0"/>
  </r>
  <r>
    <d v="2018-12-01T00:00:00"/>
    <s v="Spotify"/>
    <s v="Abonnement"/>
    <s v="Music-Streaming"/>
    <n v="-10"/>
    <s v="EUR"/>
    <x v="1"/>
    <x v="11"/>
    <x v="3"/>
    <n v="10"/>
    <x v="1"/>
  </r>
  <r>
    <d v="2018-12-02T00:00:00"/>
    <s v="Tankstelle"/>
    <s v="Kraftstoff"/>
    <s v="Auto-Tankfüllung"/>
    <n v="-65"/>
    <s v="EUR"/>
    <x v="2"/>
    <x v="11"/>
    <x v="3"/>
    <n v="65"/>
    <x v="1"/>
  </r>
  <r>
    <d v="2018-12-03T00:00:00"/>
    <s v="Versicherungsgesellschaft"/>
    <s v="Versicherungsprämie"/>
    <s v="Haftpflichtversicherung"/>
    <n v="-80"/>
    <s v="EUR"/>
    <x v="3"/>
    <x v="11"/>
    <x v="3"/>
    <n v="80"/>
    <x v="1"/>
  </r>
  <r>
    <d v="2018-12-04T00:00:00"/>
    <s v="Bäckerei"/>
    <s v="Lebensmittel-Einkauf"/>
    <s v="Brot und Gebäck"/>
    <n v="-35"/>
    <s v="EUR"/>
    <x v="4"/>
    <x v="11"/>
    <x v="3"/>
    <n v="35"/>
    <x v="1"/>
  </r>
  <r>
    <d v="2018-12-05T00:00:00"/>
    <s v="Arbeitgeber"/>
    <s v="Gutschrift"/>
    <s v="Lohn"/>
    <n v="1000"/>
    <s v="EUR"/>
    <x v="0"/>
    <x v="11"/>
    <x v="3"/>
    <n v="1000"/>
    <x v="0"/>
  </r>
  <r>
    <d v="2018-12-06T00:00:00"/>
    <s v="Arbeitgeber"/>
    <s v="Gutschrift"/>
    <s v="Lohn"/>
    <n v="1000"/>
    <s v="EUR"/>
    <x v="0"/>
    <x v="11"/>
    <x v="3"/>
    <n v="1000"/>
    <x v="0"/>
  </r>
  <r>
    <d v="2018-12-07T00:00:00"/>
    <s v="Netflix"/>
    <s v="Abonnement"/>
    <s v="Streaming-Dienst"/>
    <n v="-15"/>
    <s v="EUR"/>
    <x v="1"/>
    <x v="11"/>
    <x v="3"/>
    <n v="15"/>
    <x v="1"/>
  </r>
  <r>
    <d v="2018-12-08T00:00:00"/>
    <s v="Autohändler"/>
    <s v="KFZ-Zahlung"/>
    <s v="Auto-Rate"/>
    <n v="-350"/>
    <s v="EUR"/>
    <x v="2"/>
    <x v="11"/>
    <x v="3"/>
    <n v="350"/>
    <x v="1"/>
  </r>
  <r>
    <d v="2018-12-09T00:00:00"/>
    <s v="Versicherungsgesellschaft"/>
    <s v="Versicherungsprämie"/>
    <s v="Kfz-Versicherung"/>
    <n v="-120"/>
    <s v="EUR"/>
    <x v="3"/>
    <x v="11"/>
    <x v="3"/>
    <n v="120"/>
    <x v="1"/>
  </r>
  <r>
    <d v="2018-12-10T00:00:00"/>
    <s v="Supermarkt"/>
    <s v="Lebensmittel-Einkauf"/>
    <s v="Wochenendeinkauf"/>
    <n v="-50"/>
    <s v="EUR"/>
    <x v="4"/>
    <x v="11"/>
    <x v="3"/>
    <n v="50"/>
    <x v="1"/>
  </r>
  <r>
    <d v="2018-12-11T00:00:00"/>
    <s v="Arbeitgeber"/>
    <s v="Gutschrift"/>
    <s v="Lohn"/>
    <n v="1000"/>
    <s v="EUR"/>
    <x v="0"/>
    <x v="11"/>
    <x v="3"/>
    <n v="1000"/>
    <x v="0"/>
  </r>
  <r>
    <d v="2018-12-12T00:00:00"/>
    <s v="Spotify"/>
    <s v="Abonnement"/>
    <s v="Music-Streaming"/>
    <n v="-10"/>
    <s v="EUR"/>
    <x v="1"/>
    <x v="11"/>
    <x v="3"/>
    <n v="10"/>
    <x v="1"/>
  </r>
  <r>
    <d v="2018-12-13T00:00:00"/>
    <s v="Tankstelle"/>
    <s v="Kraftstoff"/>
    <s v="Auto-Tankfüllung"/>
    <n v="-60"/>
    <s v="EUR"/>
    <x v="2"/>
    <x v="11"/>
    <x v="3"/>
    <n v="60"/>
    <x v="1"/>
  </r>
  <r>
    <d v="2018-12-14T00:00:00"/>
    <s v="Versicherungsgesellschaft"/>
    <s v="Versicherungsprämie"/>
    <s v="Haftpflichtversicherung"/>
    <n v="-80"/>
    <s v="EUR"/>
    <x v="3"/>
    <x v="11"/>
    <x v="3"/>
    <n v="80"/>
    <x v="1"/>
  </r>
  <r>
    <d v="2018-12-15T00:00:00"/>
    <s v="Bäckerei"/>
    <s v="Lebensmittel-Einkauf"/>
    <s v="Brot und Gebäck"/>
    <n v="-20"/>
    <s v="EUR"/>
    <x v="4"/>
    <x v="11"/>
    <x v="3"/>
    <n v="20"/>
    <x v="1"/>
  </r>
  <r>
    <d v="2018-12-16T00:00:00"/>
    <s v="Arbeitgeber"/>
    <s v="Gutschrift"/>
    <s v="Lohn"/>
    <n v="1000"/>
    <s v="EUR"/>
    <x v="0"/>
    <x v="11"/>
    <x v="3"/>
    <n v="1000"/>
    <x v="0"/>
  </r>
  <r>
    <d v="2018-12-17T00:00:00"/>
    <s v="Netflix"/>
    <s v="Abonnement"/>
    <s v="Streaming-Dienst"/>
    <n v="-15"/>
    <s v="EUR"/>
    <x v="1"/>
    <x v="11"/>
    <x v="3"/>
    <n v="15"/>
    <x v="1"/>
  </r>
  <r>
    <d v="2018-12-18T00:00:00"/>
    <s v="Autohändler"/>
    <s v="KFZ-Zahlung"/>
    <s v="Auto-Rate"/>
    <n v="-350"/>
    <s v="EUR"/>
    <x v="2"/>
    <x v="11"/>
    <x v="3"/>
    <n v="350"/>
    <x v="1"/>
  </r>
  <r>
    <d v="2018-12-19T00:00:00"/>
    <s v="Versicherungsgesellschaft"/>
    <s v="Versicherungsprämie"/>
    <s v="Kfz-Versicherung"/>
    <n v="-120"/>
    <s v="EUR"/>
    <x v="3"/>
    <x v="11"/>
    <x v="3"/>
    <n v="120"/>
    <x v="1"/>
  </r>
  <r>
    <d v="2018-12-20T00:00:00"/>
    <s v="Supermarkt"/>
    <s v="Lebensmittel-Einkauf"/>
    <s v="Wochenendeinkauf"/>
    <n v="-60"/>
    <s v="EUR"/>
    <x v="4"/>
    <x v="11"/>
    <x v="3"/>
    <n v="60"/>
    <x v="1"/>
  </r>
  <r>
    <d v="2018-12-21T00:00:00"/>
    <s v="Arbeitgeber"/>
    <s v="Gutschrift"/>
    <s v="Lohn"/>
    <n v="1000"/>
    <s v="EUR"/>
    <x v="0"/>
    <x v="11"/>
    <x v="3"/>
    <n v="1000"/>
    <x v="0"/>
  </r>
  <r>
    <d v="2018-12-22T00:00:00"/>
    <s v="Spotify"/>
    <s v="Abonnement"/>
    <s v="Music-Streaming"/>
    <n v="-10"/>
    <s v="EUR"/>
    <x v="1"/>
    <x v="11"/>
    <x v="3"/>
    <n v="10"/>
    <x v="1"/>
  </r>
  <r>
    <d v="2018-12-23T00:00:00"/>
    <s v="Tankstelle"/>
    <s v="Kraftstoff"/>
    <s v="Auto-Tankfüllung"/>
    <n v="-70"/>
    <s v="EUR"/>
    <x v="2"/>
    <x v="11"/>
    <x v="3"/>
    <n v="70"/>
    <x v="1"/>
  </r>
  <r>
    <d v="2018-12-24T00:00:00"/>
    <s v="Versicherungsgesellschaft"/>
    <s v="Versicherungsprämie"/>
    <s v="Haftpflichtversicherung"/>
    <n v="-80"/>
    <s v="EUR"/>
    <x v="3"/>
    <x v="11"/>
    <x v="3"/>
    <n v="80"/>
    <x v="1"/>
  </r>
  <r>
    <d v="2018-12-25T00:00:00"/>
    <s v="Bäckerei"/>
    <s v="Lebensmittel-Einkauf"/>
    <s v="Brot und Gebäck"/>
    <n v="-25"/>
    <s v="EUR"/>
    <x v="4"/>
    <x v="11"/>
    <x v="3"/>
    <n v="25"/>
    <x v="1"/>
  </r>
  <r>
    <d v="2018-12-26T00:00:00"/>
    <s v="Arbeitgeber"/>
    <s v="Gutschrift"/>
    <s v="Lohn"/>
    <n v="1000"/>
    <s v="EUR"/>
    <x v="0"/>
    <x v="11"/>
    <x v="3"/>
    <n v="1000"/>
    <x v="0"/>
  </r>
  <r>
    <d v="2018-12-27T00:00:00"/>
    <s v="Netflix"/>
    <s v="Abonnement"/>
    <s v="Streaming-Dienst"/>
    <n v="-15"/>
    <s v="EUR"/>
    <x v="1"/>
    <x v="11"/>
    <x v="3"/>
    <n v="15"/>
    <x v="1"/>
  </r>
  <r>
    <d v="2018-12-28T00:00:00"/>
    <s v="Autohändler"/>
    <s v="KFZ-Zahlung"/>
    <s v="Auto-Rate"/>
    <n v="-350"/>
    <s v="EUR"/>
    <x v="2"/>
    <x v="11"/>
    <x v="3"/>
    <n v="350"/>
    <x v="1"/>
  </r>
  <r>
    <d v="2018-12-29T00:00:00"/>
    <s v="Versicherungsgesellschaft"/>
    <s v="Versicherungsprämie"/>
    <s v="Kfz-Versicherung"/>
    <n v="-120"/>
    <s v="EUR"/>
    <x v="3"/>
    <x v="11"/>
    <x v="3"/>
    <n v="120"/>
    <x v="1"/>
  </r>
  <r>
    <d v="2018-12-30T00:00:00"/>
    <s v="Supermarkt"/>
    <s v="Lebensmittel-Einkauf"/>
    <s v="Wochenendeinkauf"/>
    <n v="-70"/>
    <s v="EUR"/>
    <x v="4"/>
    <x v="11"/>
    <x v="3"/>
    <n v="70"/>
    <x v="1"/>
  </r>
  <r>
    <d v="2018-12-31T00:00:00"/>
    <s v="Arbeitgeber"/>
    <s v="Gutschrift"/>
    <s v="Lohn"/>
    <n v="1000"/>
    <s v="EUR"/>
    <x v="0"/>
    <x v="11"/>
    <x v="3"/>
    <n v="1000"/>
    <x v="0"/>
  </r>
  <r>
    <d v="2019-01-01T00:00:00"/>
    <s v="Spotify"/>
    <s v="Abonnement"/>
    <s v="Music-Streaming"/>
    <n v="-10"/>
    <s v="EUR"/>
    <x v="1"/>
    <x v="0"/>
    <x v="4"/>
    <n v="10"/>
    <x v="1"/>
  </r>
  <r>
    <d v="2019-01-02T00:00:00"/>
    <s v="Tankstelle"/>
    <s v="Kraftstoff"/>
    <s v="Auto-Tankfüllung"/>
    <n v="-60"/>
    <s v="EUR"/>
    <x v="2"/>
    <x v="0"/>
    <x v="4"/>
    <n v="60"/>
    <x v="1"/>
  </r>
  <r>
    <d v="2019-01-03T00:00:00"/>
    <s v="Versicherungsgesellschaft"/>
    <s v="Versicherungsprämie"/>
    <s v="Haftpflichtversicherung"/>
    <n v="-80"/>
    <s v="EUR"/>
    <x v="3"/>
    <x v="0"/>
    <x v="4"/>
    <n v="80"/>
    <x v="1"/>
  </r>
  <r>
    <d v="2019-01-04T00:00:00"/>
    <s v="Bäckerei"/>
    <s v="Lebensmittel-Einkauf"/>
    <s v="Brot und Gebäck"/>
    <n v="-30"/>
    <s v="EUR"/>
    <x v="4"/>
    <x v="0"/>
    <x v="4"/>
    <n v="30"/>
    <x v="1"/>
  </r>
  <r>
    <d v="2019-01-05T00:00:00"/>
    <s v="Arbeitgeber"/>
    <s v="Gutschrift"/>
    <s v="Lohn"/>
    <n v="1000"/>
    <s v="EUR"/>
    <x v="0"/>
    <x v="0"/>
    <x v="4"/>
    <n v="1000"/>
    <x v="0"/>
  </r>
  <r>
    <d v="2019-01-06T00:00:00"/>
    <s v="Netflix"/>
    <s v="Abonnement"/>
    <s v="Streaming-Dienst"/>
    <n v="-15"/>
    <s v="EUR"/>
    <x v="1"/>
    <x v="0"/>
    <x v="4"/>
    <n v="15"/>
    <x v="1"/>
  </r>
  <r>
    <d v="2019-01-07T00:00:00"/>
    <s v="Autohändler"/>
    <s v="KFZ-Zahlung"/>
    <s v="Auto-Rate"/>
    <n v="-350"/>
    <s v="EUR"/>
    <x v="2"/>
    <x v="0"/>
    <x v="4"/>
    <n v="350"/>
    <x v="1"/>
  </r>
  <r>
    <d v="2019-01-08T00:00:00"/>
    <s v="Versicherungsgesellschaft"/>
    <s v="Versicherungsprämie"/>
    <s v="Kfz-Versicherung"/>
    <n v="-120"/>
    <s v="EUR"/>
    <x v="3"/>
    <x v="0"/>
    <x v="4"/>
    <n v="120"/>
    <x v="1"/>
  </r>
  <r>
    <d v="2019-01-09T00:00:00"/>
    <s v="Supermarkt"/>
    <s v="Lebensmittel-Einkauf"/>
    <s v="Wochenendeinkauf"/>
    <n v="-80"/>
    <s v="EUR"/>
    <x v="4"/>
    <x v="0"/>
    <x v="4"/>
    <n v="80"/>
    <x v="1"/>
  </r>
  <r>
    <d v="2019-01-10T00:00:00"/>
    <s v="Arbeitgeber"/>
    <s v="Gutschrift"/>
    <s v="Lohn"/>
    <n v="1000"/>
    <s v="EUR"/>
    <x v="0"/>
    <x v="0"/>
    <x v="4"/>
    <n v="1000"/>
    <x v="0"/>
  </r>
  <r>
    <d v="2019-01-11T00:00:00"/>
    <s v="Spotify"/>
    <s v="Abonnement"/>
    <s v="Music-Streaming"/>
    <n v="-10"/>
    <s v="EUR"/>
    <x v="1"/>
    <x v="0"/>
    <x v="4"/>
    <n v="10"/>
    <x v="1"/>
  </r>
  <r>
    <d v="2019-01-12T00:00:00"/>
    <s v="Tankstelle"/>
    <s v="Kraftstoff"/>
    <s v="Auto-Tankfüllung"/>
    <n v="-65"/>
    <s v="EUR"/>
    <x v="2"/>
    <x v="0"/>
    <x v="4"/>
    <n v="65"/>
    <x v="1"/>
  </r>
  <r>
    <d v="2019-01-13T00:00:00"/>
    <s v="Versicherungsgesellschaft"/>
    <s v="Versicherungsprämie"/>
    <s v="Haftpflichtversicherung"/>
    <n v="-80"/>
    <s v="EUR"/>
    <x v="3"/>
    <x v="0"/>
    <x v="4"/>
    <n v="80"/>
    <x v="1"/>
  </r>
  <r>
    <d v="2019-01-14T00:00:00"/>
    <s v="Bäckerei"/>
    <s v="Lebensmittel-Einkauf"/>
    <s v="Brot und Gebäck"/>
    <n v="-35"/>
    <s v="EUR"/>
    <x v="4"/>
    <x v="0"/>
    <x v="4"/>
    <n v="35"/>
    <x v="1"/>
  </r>
  <r>
    <d v="2019-01-15T00:00:00"/>
    <s v="Arbeitgeber"/>
    <s v="Gutschrift"/>
    <s v="Lohn"/>
    <n v="1000"/>
    <s v="EUR"/>
    <x v="0"/>
    <x v="0"/>
    <x v="4"/>
    <n v="1000"/>
    <x v="0"/>
  </r>
  <r>
    <d v="2019-01-16T00:00:00"/>
    <s v="Arbeitgeber"/>
    <s v="Gutschrift"/>
    <s v="Lohn"/>
    <n v="1000"/>
    <s v="EUR"/>
    <x v="0"/>
    <x v="0"/>
    <x v="4"/>
    <n v="1000"/>
    <x v="0"/>
  </r>
  <r>
    <d v="2019-01-17T00:00:00"/>
    <s v="Netflix"/>
    <s v="Abonnement"/>
    <s v="Streaming-Dienst"/>
    <n v="-15"/>
    <s v="EUR"/>
    <x v="1"/>
    <x v="0"/>
    <x v="4"/>
    <n v="15"/>
    <x v="1"/>
  </r>
  <r>
    <d v="2019-01-18T00:00:00"/>
    <s v="Autohändler"/>
    <s v="KFZ-Zahlung"/>
    <s v="Auto-Rate"/>
    <n v="-350"/>
    <s v="EUR"/>
    <x v="2"/>
    <x v="0"/>
    <x v="4"/>
    <n v="350"/>
    <x v="1"/>
  </r>
  <r>
    <d v="2019-01-19T00:00:00"/>
    <s v="Versicherungsgesellschaft"/>
    <s v="Versicherungsprämie"/>
    <s v="Kfz-Versicherung"/>
    <n v="-120"/>
    <s v="EUR"/>
    <x v="3"/>
    <x v="0"/>
    <x v="4"/>
    <n v="120"/>
    <x v="1"/>
  </r>
  <r>
    <d v="2019-01-20T00:00:00"/>
    <s v="Supermarkt"/>
    <s v="Lebensmittel-Einkauf"/>
    <s v="Wochenendeinkauf"/>
    <n v="-50"/>
    <s v="EUR"/>
    <x v="4"/>
    <x v="0"/>
    <x v="4"/>
    <n v="50"/>
    <x v="1"/>
  </r>
  <r>
    <d v="2019-01-21T00:00:00"/>
    <s v="Arbeitgeber"/>
    <s v="Gutschrift"/>
    <s v="Lohn"/>
    <n v="1000"/>
    <s v="EUR"/>
    <x v="0"/>
    <x v="0"/>
    <x v="4"/>
    <n v="1000"/>
    <x v="0"/>
  </r>
  <r>
    <d v="2019-01-22T00:00:00"/>
    <s v="Spotify"/>
    <s v="Abonnement"/>
    <s v="Music-Streaming"/>
    <n v="-10"/>
    <s v="EUR"/>
    <x v="1"/>
    <x v="0"/>
    <x v="4"/>
    <n v="10"/>
    <x v="1"/>
  </r>
  <r>
    <d v="2019-01-23T00:00:00"/>
    <s v="Tankstelle"/>
    <s v="Kraftstoff"/>
    <s v="Auto-Tankfüllung"/>
    <n v="-60"/>
    <s v="EUR"/>
    <x v="2"/>
    <x v="0"/>
    <x v="4"/>
    <n v="60"/>
    <x v="1"/>
  </r>
  <r>
    <d v="2019-01-24T00:00:00"/>
    <s v="Versicherungsgesellschaft"/>
    <s v="Versicherungsprämie"/>
    <s v="Haftpflichtversicherung"/>
    <n v="-80"/>
    <s v="EUR"/>
    <x v="3"/>
    <x v="0"/>
    <x v="4"/>
    <n v="80"/>
    <x v="1"/>
  </r>
  <r>
    <d v="2019-01-25T00:00:00"/>
    <s v="Bäckerei"/>
    <s v="Lebensmittel-Einkauf"/>
    <s v="Brot und Gebäck"/>
    <n v="-20"/>
    <s v="EUR"/>
    <x v="4"/>
    <x v="0"/>
    <x v="4"/>
    <n v="20"/>
    <x v="1"/>
  </r>
  <r>
    <d v="2019-01-26T00:00:00"/>
    <s v="Arbeitgeber"/>
    <s v="Gutschrift"/>
    <s v="Lohn"/>
    <n v="1000"/>
    <s v="EUR"/>
    <x v="0"/>
    <x v="0"/>
    <x v="4"/>
    <n v="1000"/>
    <x v="0"/>
  </r>
  <r>
    <d v="2019-01-27T00:00:00"/>
    <s v="Netflix"/>
    <s v="Abonnement"/>
    <s v="Streaming-Dienst"/>
    <n v="-15"/>
    <s v="EUR"/>
    <x v="1"/>
    <x v="0"/>
    <x v="4"/>
    <n v="15"/>
    <x v="1"/>
  </r>
  <r>
    <d v="2019-01-28T00:00:00"/>
    <s v="Autohändler"/>
    <s v="KFZ-Zahlung"/>
    <s v="Auto-Rate"/>
    <n v="-350"/>
    <s v="EUR"/>
    <x v="2"/>
    <x v="0"/>
    <x v="4"/>
    <n v="350"/>
    <x v="1"/>
  </r>
  <r>
    <d v="2019-01-29T00:00:00"/>
    <s v="Versicherungsgesellschaft"/>
    <s v="Versicherungsprämie"/>
    <s v="Kfz-Versicherung"/>
    <n v="-120"/>
    <s v="EUR"/>
    <x v="3"/>
    <x v="0"/>
    <x v="4"/>
    <n v="120"/>
    <x v="1"/>
  </r>
  <r>
    <d v="2019-01-30T00:00:00"/>
    <s v="Supermarkt"/>
    <s v="Lebensmittel-Einkauf"/>
    <s v="Wochenendeinkauf"/>
    <n v="-60"/>
    <s v="EUR"/>
    <x v="4"/>
    <x v="0"/>
    <x v="4"/>
    <n v="60"/>
    <x v="1"/>
  </r>
  <r>
    <d v="2019-01-31T00:00:00"/>
    <s v="Arbeitgeber"/>
    <s v="Gutschrift"/>
    <s v="Lohn"/>
    <n v="1000"/>
    <s v="EUR"/>
    <x v="0"/>
    <x v="0"/>
    <x v="4"/>
    <n v="1000"/>
    <x v="0"/>
  </r>
  <r>
    <d v="2019-02-01T00:00:00"/>
    <s v="Spotify"/>
    <s v="Abonnement"/>
    <s v="Music-Streaming"/>
    <n v="-10"/>
    <s v="EUR"/>
    <x v="1"/>
    <x v="1"/>
    <x v="4"/>
    <n v="10"/>
    <x v="1"/>
  </r>
  <r>
    <d v="2019-02-02T00:00:00"/>
    <s v="Tankstelle"/>
    <s v="Kraftstoff"/>
    <s v="Auto-Tankfüllung"/>
    <n v="-70"/>
    <s v="EUR"/>
    <x v="2"/>
    <x v="1"/>
    <x v="4"/>
    <n v="70"/>
    <x v="1"/>
  </r>
  <r>
    <d v="2019-02-03T00:00:00"/>
    <s v="Versicherungsgesellschaft"/>
    <s v="Versicherungsprämie"/>
    <s v="Haftpflichtversicherung"/>
    <n v="-80"/>
    <s v="EUR"/>
    <x v="3"/>
    <x v="1"/>
    <x v="4"/>
    <n v="80"/>
    <x v="1"/>
  </r>
  <r>
    <d v="2019-02-04T00:00:00"/>
    <s v="Bäckerei"/>
    <s v="Lebensmittel-Einkauf"/>
    <s v="Brot und Gebäck"/>
    <n v="-25"/>
    <s v="EUR"/>
    <x v="4"/>
    <x v="1"/>
    <x v="4"/>
    <n v="25"/>
    <x v="1"/>
  </r>
  <r>
    <d v="2019-02-05T00:00:00"/>
    <s v="Arbeitgeber"/>
    <s v="Gutschrift"/>
    <s v="Lohn"/>
    <n v="1000"/>
    <s v="EUR"/>
    <x v="0"/>
    <x v="1"/>
    <x v="4"/>
    <n v="1000"/>
    <x v="0"/>
  </r>
  <r>
    <d v="2019-02-06T00:00:00"/>
    <s v="Netflix"/>
    <s v="Abonnement"/>
    <s v="Streaming-Dienst"/>
    <n v="-15"/>
    <s v="EUR"/>
    <x v="1"/>
    <x v="1"/>
    <x v="4"/>
    <n v="15"/>
    <x v="1"/>
  </r>
  <r>
    <d v="2019-02-07T00:00:00"/>
    <s v="Autohändler"/>
    <s v="KFZ-Zahlung"/>
    <s v="Auto-Rate"/>
    <n v="-350"/>
    <s v="EUR"/>
    <x v="2"/>
    <x v="1"/>
    <x v="4"/>
    <n v="350"/>
    <x v="1"/>
  </r>
  <r>
    <d v="2019-02-08T00:00:00"/>
    <s v="Versicherungsgesellschaft"/>
    <s v="Versicherungsprämie"/>
    <s v="Kfz-Versicherung"/>
    <n v="-120"/>
    <s v="EUR"/>
    <x v="3"/>
    <x v="1"/>
    <x v="4"/>
    <n v="120"/>
    <x v="1"/>
  </r>
  <r>
    <d v="2019-02-09T00:00:00"/>
    <s v="Supermarkt"/>
    <s v="Lebensmittel-Einkauf"/>
    <s v="Wochenendeinkauf"/>
    <n v="-70"/>
    <s v="EUR"/>
    <x v="4"/>
    <x v="1"/>
    <x v="4"/>
    <n v="70"/>
    <x v="1"/>
  </r>
  <r>
    <d v="2019-02-10T00:00:00"/>
    <s v="Arbeitgeber"/>
    <s v="Gutschrift"/>
    <s v="Lohn"/>
    <n v="1000"/>
    <s v="EUR"/>
    <x v="0"/>
    <x v="1"/>
    <x v="4"/>
    <n v="1000"/>
    <x v="0"/>
  </r>
  <r>
    <d v="2019-02-11T00:00:00"/>
    <s v="Spotify"/>
    <s v="Abonnement"/>
    <s v="Music-Streaming"/>
    <n v="-10"/>
    <s v="EUR"/>
    <x v="1"/>
    <x v="1"/>
    <x v="4"/>
    <n v="10"/>
    <x v="1"/>
  </r>
  <r>
    <d v="2019-02-12T00:00:00"/>
    <s v="Tankstelle"/>
    <s v="Kraftstoff"/>
    <s v="Auto-Tankfüllung"/>
    <n v="-60"/>
    <s v="EUR"/>
    <x v="2"/>
    <x v="1"/>
    <x v="4"/>
    <n v="60"/>
    <x v="1"/>
  </r>
  <r>
    <d v="2019-02-13T00:00:00"/>
    <s v="Versicherungsgesellschaft"/>
    <s v="Versicherungsprämie"/>
    <s v="Haftpflichtversicherung"/>
    <n v="-80"/>
    <s v="EUR"/>
    <x v="3"/>
    <x v="1"/>
    <x v="4"/>
    <n v="80"/>
    <x v="1"/>
  </r>
  <r>
    <d v="2019-02-14T00:00:00"/>
    <s v="Bäckerei"/>
    <s v="Lebensmittel-Einkauf"/>
    <s v="Brot und Gebäck"/>
    <n v="-30"/>
    <s v="EUR"/>
    <x v="4"/>
    <x v="1"/>
    <x v="4"/>
    <n v="30"/>
    <x v="1"/>
  </r>
  <r>
    <d v="2019-02-15T00:00:00"/>
    <s v="Arbeitgeber"/>
    <s v="Gutschrift"/>
    <s v="Lohn"/>
    <n v="1000"/>
    <s v="EUR"/>
    <x v="0"/>
    <x v="1"/>
    <x v="4"/>
    <n v="1000"/>
    <x v="0"/>
  </r>
  <r>
    <d v="2019-02-16T00:00:00"/>
    <s v="Netflix"/>
    <s v="Abonnement"/>
    <s v="Streaming-Dienst"/>
    <n v="-15"/>
    <s v="EUR"/>
    <x v="1"/>
    <x v="1"/>
    <x v="4"/>
    <n v="15"/>
    <x v="1"/>
  </r>
  <r>
    <d v="2019-02-17T00:00:00"/>
    <s v="Autohändler"/>
    <s v="KFZ-Zahlung"/>
    <s v="Auto-Rate"/>
    <n v="-350"/>
    <s v="EUR"/>
    <x v="2"/>
    <x v="1"/>
    <x v="4"/>
    <n v="350"/>
    <x v="1"/>
  </r>
  <r>
    <d v="2019-02-18T00:00:00"/>
    <s v="Versicherungsgesellschaft"/>
    <s v="Versicherungsprämie"/>
    <s v="Kfz-Versicherung"/>
    <n v="-120"/>
    <s v="EUR"/>
    <x v="3"/>
    <x v="1"/>
    <x v="4"/>
    <n v="120"/>
    <x v="1"/>
  </r>
  <r>
    <d v="2019-02-19T00:00:00"/>
    <s v="Supermarkt"/>
    <s v="Lebensmittel-Einkauf"/>
    <s v="Wochenendeinkauf"/>
    <n v="-80"/>
    <s v="EUR"/>
    <x v="4"/>
    <x v="1"/>
    <x v="4"/>
    <n v="80"/>
    <x v="1"/>
  </r>
  <r>
    <d v="2019-02-20T00:00:00"/>
    <s v="Arbeitgeber"/>
    <s v="Gutschrift"/>
    <s v="Lohn"/>
    <n v="1000"/>
    <s v="EUR"/>
    <x v="0"/>
    <x v="1"/>
    <x v="4"/>
    <n v="1000"/>
    <x v="0"/>
  </r>
  <r>
    <d v="2019-02-21T00:00:00"/>
    <s v="Spotify"/>
    <s v="Abonnement"/>
    <s v="Music-Streaming"/>
    <n v="-10"/>
    <s v="EUR"/>
    <x v="1"/>
    <x v="1"/>
    <x v="4"/>
    <n v="10"/>
    <x v="1"/>
  </r>
  <r>
    <d v="2019-02-22T00:00:00"/>
    <s v="Tankstelle"/>
    <s v="Kraftstoff"/>
    <s v="Auto-Tankfüllung"/>
    <n v="-65"/>
    <s v="EUR"/>
    <x v="2"/>
    <x v="1"/>
    <x v="4"/>
    <n v="65"/>
    <x v="1"/>
  </r>
  <r>
    <d v="2019-02-23T00:00:00"/>
    <s v="Versicherungsgesellschaft"/>
    <s v="Versicherungsprämie"/>
    <s v="Haftpflichtversicherung"/>
    <n v="-80"/>
    <s v="EUR"/>
    <x v="3"/>
    <x v="1"/>
    <x v="4"/>
    <n v="80"/>
    <x v="1"/>
  </r>
  <r>
    <d v="2019-02-24T00:00:00"/>
    <s v="Bäckerei"/>
    <s v="Lebensmittel-Einkauf"/>
    <s v="Brot und Gebäck"/>
    <n v="-35"/>
    <s v="EUR"/>
    <x v="4"/>
    <x v="1"/>
    <x v="4"/>
    <n v="35"/>
    <x v="1"/>
  </r>
  <r>
    <d v="2019-02-25T00:00:00"/>
    <s v="Arbeitgeber"/>
    <s v="Gutschrift"/>
    <s v="Lohn"/>
    <n v="1000"/>
    <s v="EUR"/>
    <x v="0"/>
    <x v="1"/>
    <x v="4"/>
    <n v="1000"/>
    <x v="0"/>
  </r>
  <r>
    <d v="2019-02-26T00:00:00"/>
    <s v="Arbeitgeber"/>
    <s v="Gutschrift"/>
    <s v="Lohn"/>
    <n v="1000"/>
    <s v="EUR"/>
    <x v="0"/>
    <x v="1"/>
    <x v="4"/>
    <n v="1000"/>
    <x v="0"/>
  </r>
  <r>
    <d v="2019-02-27T00:00:00"/>
    <s v="Netflix"/>
    <s v="Abonnement"/>
    <s v="Streaming-Dienst"/>
    <n v="-15"/>
    <s v="EUR"/>
    <x v="1"/>
    <x v="1"/>
    <x v="4"/>
    <n v="15"/>
    <x v="1"/>
  </r>
  <r>
    <d v="2019-02-28T00:00:00"/>
    <s v="Autohändler"/>
    <s v="KFZ-Zahlung"/>
    <s v="Auto-Rate"/>
    <n v="-350"/>
    <s v="EUR"/>
    <x v="2"/>
    <x v="1"/>
    <x v="4"/>
    <n v="350"/>
    <x v="1"/>
  </r>
  <r>
    <d v="2019-03-01T00:00:00"/>
    <s v="Versicherungsgesellschaft"/>
    <s v="Versicherungsprämie"/>
    <s v="Kfz-Versicherung"/>
    <n v="-120"/>
    <s v="EUR"/>
    <x v="3"/>
    <x v="2"/>
    <x v="4"/>
    <n v="120"/>
    <x v="1"/>
  </r>
  <r>
    <d v="2019-03-02T00:00:00"/>
    <s v="Supermarkt"/>
    <s v="Lebensmittel-Einkauf"/>
    <s v="Wochenendeinkauf"/>
    <n v="-50"/>
    <s v="EUR"/>
    <x v="4"/>
    <x v="2"/>
    <x v="4"/>
    <n v="50"/>
    <x v="1"/>
  </r>
  <r>
    <d v="2019-03-03T00:00:00"/>
    <s v="Arbeitgeber"/>
    <s v="Gutschrift"/>
    <s v="Lohn"/>
    <n v="1000"/>
    <s v="EUR"/>
    <x v="0"/>
    <x v="2"/>
    <x v="4"/>
    <n v="1000"/>
    <x v="0"/>
  </r>
  <r>
    <d v="2019-03-04T00:00:00"/>
    <s v="Spotify"/>
    <s v="Abonnement"/>
    <s v="Music-Streaming"/>
    <n v="-10"/>
    <s v="EUR"/>
    <x v="1"/>
    <x v="2"/>
    <x v="4"/>
    <n v="10"/>
    <x v="1"/>
  </r>
  <r>
    <d v="2019-03-05T00:00:00"/>
    <s v="Tankstelle"/>
    <s v="Kraftstoff"/>
    <s v="Auto-Tankfüllung"/>
    <n v="-60"/>
    <s v="EUR"/>
    <x v="2"/>
    <x v="2"/>
    <x v="4"/>
    <n v="60"/>
    <x v="1"/>
  </r>
  <r>
    <d v="2019-03-06T00:00:00"/>
    <s v="Versicherungsgesellschaft"/>
    <s v="Versicherungsprämie"/>
    <s v="Haftpflichtversicherung"/>
    <n v="-80"/>
    <s v="EUR"/>
    <x v="3"/>
    <x v="2"/>
    <x v="4"/>
    <n v="80"/>
    <x v="1"/>
  </r>
  <r>
    <d v="2019-03-07T00:00:00"/>
    <s v="Bäckerei"/>
    <s v="Lebensmittel-Einkauf"/>
    <s v="Brot und Gebäck"/>
    <n v="-20"/>
    <s v="EUR"/>
    <x v="4"/>
    <x v="2"/>
    <x v="4"/>
    <n v="20"/>
    <x v="1"/>
  </r>
  <r>
    <d v="2019-03-08T00:00:00"/>
    <s v="Arbeitgeber"/>
    <s v="Gutschrift"/>
    <s v="Lohn"/>
    <n v="1000"/>
    <s v="EUR"/>
    <x v="0"/>
    <x v="2"/>
    <x v="4"/>
    <n v="1000"/>
    <x v="0"/>
  </r>
  <r>
    <d v="2019-03-09T00:00:00"/>
    <s v="Netflix"/>
    <s v="Abonnement"/>
    <s v="Streaming-Dienst"/>
    <n v="-15"/>
    <s v="EUR"/>
    <x v="1"/>
    <x v="2"/>
    <x v="4"/>
    <n v="15"/>
    <x v="1"/>
  </r>
  <r>
    <d v="2019-03-10T00:00:00"/>
    <s v="Autohändler"/>
    <s v="KFZ-Zahlung"/>
    <s v="Auto-Rate"/>
    <n v="-350"/>
    <s v="EUR"/>
    <x v="2"/>
    <x v="2"/>
    <x v="4"/>
    <n v="350"/>
    <x v="1"/>
  </r>
  <r>
    <d v="2019-03-11T00:00:00"/>
    <s v="Versicherungsgesellschaft"/>
    <s v="Versicherungsprämie"/>
    <s v="Kfz-Versicherung"/>
    <n v="-120"/>
    <s v="EUR"/>
    <x v="3"/>
    <x v="2"/>
    <x v="4"/>
    <n v="120"/>
    <x v="1"/>
  </r>
  <r>
    <d v="2019-03-12T00:00:00"/>
    <s v="Supermarkt"/>
    <s v="Lebensmittel-Einkauf"/>
    <s v="Wochenendeinkauf"/>
    <n v="-60"/>
    <s v="EUR"/>
    <x v="4"/>
    <x v="2"/>
    <x v="4"/>
    <n v="60"/>
    <x v="1"/>
  </r>
  <r>
    <d v="2019-03-13T00:00:00"/>
    <s v="Arbeitgeber"/>
    <s v="Gutschrift"/>
    <s v="Lohn"/>
    <n v="1000"/>
    <s v="EUR"/>
    <x v="0"/>
    <x v="2"/>
    <x v="4"/>
    <n v="1000"/>
    <x v="0"/>
  </r>
  <r>
    <d v="2019-03-14T00:00:00"/>
    <s v="Spotify"/>
    <s v="Abonnement"/>
    <s v="Music-Streaming"/>
    <n v="-10"/>
    <s v="EUR"/>
    <x v="1"/>
    <x v="2"/>
    <x v="4"/>
    <n v="10"/>
    <x v="1"/>
  </r>
  <r>
    <d v="2019-03-15T00:00:00"/>
    <s v="Tankstelle"/>
    <s v="Kraftstoff"/>
    <s v="Auto-Tankfüllung"/>
    <n v="-70"/>
    <s v="EUR"/>
    <x v="2"/>
    <x v="2"/>
    <x v="4"/>
    <n v="70"/>
    <x v="1"/>
  </r>
  <r>
    <d v="2019-03-16T00:00:00"/>
    <s v="Versicherungsgesellschaft"/>
    <s v="Versicherungsprämie"/>
    <s v="Haftpflichtversicherung"/>
    <n v="-80"/>
    <s v="EUR"/>
    <x v="3"/>
    <x v="2"/>
    <x v="4"/>
    <n v="80"/>
    <x v="1"/>
  </r>
  <r>
    <d v="2019-03-17T00:00:00"/>
    <s v="Bäckerei"/>
    <s v="Lebensmittel-Einkauf"/>
    <s v="Brot und Gebäck"/>
    <n v="-25"/>
    <s v="EUR"/>
    <x v="4"/>
    <x v="2"/>
    <x v="4"/>
    <n v="25"/>
    <x v="1"/>
  </r>
  <r>
    <d v="2019-03-18T00:00:00"/>
    <s v="Arbeitgeber"/>
    <s v="Gutschrift"/>
    <s v="Lohn"/>
    <n v="1000"/>
    <s v="EUR"/>
    <x v="0"/>
    <x v="2"/>
    <x v="4"/>
    <n v="1000"/>
    <x v="0"/>
  </r>
  <r>
    <d v="2019-03-19T00:00:00"/>
    <s v="Netflix"/>
    <s v="Abonnement"/>
    <s v="Streaming-Dienst"/>
    <n v="-15"/>
    <s v="EUR"/>
    <x v="1"/>
    <x v="2"/>
    <x v="4"/>
    <n v="15"/>
    <x v="1"/>
  </r>
  <r>
    <d v="2019-03-20T00:00:00"/>
    <s v="Autohändler"/>
    <s v="KFZ-Zahlung"/>
    <s v="Auto-Rate"/>
    <n v="-350"/>
    <s v="EUR"/>
    <x v="2"/>
    <x v="2"/>
    <x v="4"/>
    <n v="350"/>
    <x v="1"/>
  </r>
  <r>
    <d v="2019-03-21T00:00:00"/>
    <s v="Versicherungsgesellschaft"/>
    <s v="Versicherungsprämie"/>
    <s v="Kfz-Versicherung"/>
    <n v="-120"/>
    <s v="EUR"/>
    <x v="3"/>
    <x v="2"/>
    <x v="4"/>
    <n v="120"/>
    <x v="1"/>
  </r>
  <r>
    <d v="2019-03-22T00:00:00"/>
    <s v="Supermarkt"/>
    <s v="Lebensmittel-Einkauf"/>
    <s v="Wochenendeinkauf"/>
    <n v="-70"/>
    <s v="EUR"/>
    <x v="4"/>
    <x v="2"/>
    <x v="4"/>
    <n v="70"/>
    <x v="1"/>
  </r>
  <r>
    <d v="2019-03-23T00:00:00"/>
    <s v="Arbeitgeber"/>
    <s v="Gutschrift"/>
    <s v="Lohn"/>
    <n v="1000"/>
    <s v="EUR"/>
    <x v="0"/>
    <x v="2"/>
    <x v="4"/>
    <n v="1000"/>
    <x v="0"/>
  </r>
  <r>
    <d v="2019-03-24T00:00:00"/>
    <s v="Spotify"/>
    <s v="Abonnement"/>
    <s v="Music-Streaming"/>
    <n v="-10"/>
    <s v="EUR"/>
    <x v="1"/>
    <x v="2"/>
    <x v="4"/>
    <n v="10"/>
    <x v="1"/>
  </r>
  <r>
    <d v="2019-03-25T00:00:00"/>
    <s v="Tankstelle"/>
    <s v="Kraftstoff"/>
    <s v="Auto-Tankfüllung"/>
    <n v="-60"/>
    <s v="EUR"/>
    <x v="2"/>
    <x v="2"/>
    <x v="4"/>
    <n v="60"/>
    <x v="1"/>
  </r>
  <r>
    <d v="2019-03-26T00:00:00"/>
    <s v="Versicherungsgesellschaft"/>
    <s v="Versicherungsprämie"/>
    <s v="Haftpflichtversicherung"/>
    <n v="-80"/>
    <s v="EUR"/>
    <x v="3"/>
    <x v="2"/>
    <x v="4"/>
    <n v="80"/>
    <x v="1"/>
  </r>
  <r>
    <d v="2019-03-27T00:00:00"/>
    <s v="Bäckerei"/>
    <s v="Lebensmittel-Einkauf"/>
    <s v="Brot und Gebäck"/>
    <n v="-30"/>
    <s v="EUR"/>
    <x v="4"/>
    <x v="2"/>
    <x v="4"/>
    <n v="30"/>
    <x v="1"/>
  </r>
  <r>
    <d v="2019-03-28T00:00:00"/>
    <s v="Arbeitgeber"/>
    <s v="Gutschrift"/>
    <s v="Lohn"/>
    <n v="1000"/>
    <s v="EUR"/>
    <x v="0"/>
    <x v="2"/>
    <x v="4"/>
    <n v="1000"/>
    <x v="0"/>
  </r>
  <r>
    <d v="2019-03-29T00:00:00"/>
    <s v="Netflix"/>
    <s v="Abonnement"/>
    <s v="Streaming-Dienst"/>
    <n v="-15"/>
    <s v="EUR"/>
    <x v="1"/>
    <x v="2"/>
    <x v="4"/>
    <n v="15"/>
    <x v="1"/>
  </r>
  <r>
    <d v="2019-03-30T00:00:00"/>
    <s v="Autohändler"/>
    <s v="KFZ-Zahlung"/>
    <s v="Auto-Rate"/>
    <n v="-350"/>
    <s v="EUR"/>
    <x v="2"/>
    <x v="2"/>
    <x v="4"/>
    <n v="350"/>
    <x v="1"/>
  </r>
  <r>
    <d v="2019-03-31T00:00:00"/>
    <s v="Versicherungsgesellschaft"/>
    <s v="Versicherungsprämie"/>
    <s v="Kfz-Versicherung"/>
    <n v="-120"/>
    <s v="EUR"/>
    <x v="3"/>
    <x v="2"/>
    <x v="4"/>
    <n v="120"/>
    <x v="1"/>
  </r>
  <r>
    <d v="2019-04-01T00:00:00"/>
    <s v="Supermarkt"/>
    <s v="Lebensmittel-Einkauf"/>
    <s v="Wochenendeinkauf"/>
    <n v="-80"/>
    <s v="EUR"/>
    <x v="4"/>
    <x v="3"/>
    <x v="4"/>
    <n v="80"/>
    <x v="1"/>
  </r>
  <r>
    <d v="2019-04-02T00:00:00"/>
    <s v="Arbeitgeber"/>
    <s v="Gutschrift"/>
    <s v="Lohn"/>
    <n v="1000"/>
    <s v="EUR"/>
    <x v="0"/>
    <x v="3"/>
    <x v="4"/>
    <n v="1000"/>
    <x v="0"/>
  </r>
  <r>
    <d v="2019-04-03T00:00:00"/>
    <s v="Spotify"/>
    <s v="Abonnement"/>
    <s v="Music-Streaming"/>
    <n v="-10"/>
    <s v="EUR"/>
    <x v="1"/>
    <x v="3"/>
    <x v="4"/>
    <n v="10"/>
    <x v="1"/>
  </r>
  <r>
    <d v="2019-04-04T00:00:00"/>
    <s v="Tankstelle"/>
    <s v="Kraftstoff"/>
    <s v="Auto-Tankfüllung"/>
    <n v="-65"/>
    <s v="EUR"/>
    <x v="2"/>
    <x v="3"/>
    <x v="4"/>
    <n v="65"/>
    <x v="1"/>
  </r>
  <r>
    <d v="2019-04-05T00:00:00"/>
    <s v="Versicherungsgesellschaft"/>
    <s v="Versicherungsprämie"/>
    <s v="Haftpflichtversicherung"/>
    <n v="-80"/>
    <s v="EUR"/>
    <x v="3"/>
    <x v="3"/>
    <x v="4"/>
    <n v="80"/>
    <x v="1"/>
  </r>
  <r>
    <d v="2019-04-06T00:00:00"/>
    <s v="Bäckerei"/>
    <s v="Lebensmittel-Einkauf"/>
    <s v="Brot und Gebäck"/>
    <n v="-35"/>
    <s v="EUR"/>
    <x v="4"/>
    <x v="3"/>
    <x v="4"/>
    <n v="35"/>
    <x v="1"/>
  </r>
  <r>
    <d v="2019-04-07T00:00:00"/>
    <s v="Arbeitgeber"/>
    <s v="Gutschrift"/>
    <s v="Lohn"/>
    <n v="1000"/>
    <s v="EUR"/>
    <x v="0"/>
    <x v="3"/>
    <x v="4"/>
    <n v="1000"/>
    <x v="0"/>
  </r>
  <r>
    <d v="2019-04-08T00:00:00"/>
    <s v="Arbeitgeber"/>
    <s v="Gutschrift"/>
    <s v="Lohn"/>
    <n v="1000"/>
    <s v="EUR"/>
    <x v="0"/>
    <x v="3"/>
    <x v="4"/>
    <n v="1000"/>
    <x v="0"/>
  </r>
  <r>
    <d v="2019-04-09T00:00:00"/>
    <s v="Netflix"/>
    <s v="Abonnement"/>
    <s v="Streaming-Dienst"/>
    <n v="-15"/>
    <s v="EUR"/>
    <x v="1"/>
    <x v="3"/>
    <x v="4"/>
    <n v="15"/>
    <x v="1"/>
  </r>
  <r>
    <d v="2019-04-10T00:00:00"/>
    <s v="Autohändler"/>
    <s v="KFZ-Zahlung"/>
    <s v="Auto-Rate"/>
    <n v="-350"/>
    <s v="EUR"/>
    <x v="2"/>
    <x v="3"/>
    <x v="4"/>
    <n v="350"/>
    <x v="1"/>
  </r>
  <r>
    <d v="2019-04-11T00:00:00"/>
    <s v="Versicherungsgesellschaft"/>
    <s v="Versicherungsprämie"/>
    <s v="Kfz-Versicherung"/>
    <n v="-120"/>
    <s v="EUR"/>
    <x v="3"/>
    <x v="3"/>
    <x v="4"/>
    <n v="120"/>
    <x v="1"/>
  </r>
  <r>
    <d v="2019-04-12T00:00:00"/>
    <s v="Supermarkt"/>
    <s v="Lebensmittel-Einkauf"/>
    <s v="Wochenendeinkauf"/>
    <n v="-50"/>
    <s v="EUR"/>
    <x v="4"/>
    <x v="3"/>
    <x v="4"/>
    <n v="50"/>
    <x v="1"/>
  </r>
  <r>
    <d v="2019-04-13T00:00:00"/>
    <s v="Arbeitgeber"/>
    <s v="Gutschrift"/>
    <s v="Lohn"/>
    <n v="1000"/>
    <s v="EUR"/>
    <x v="0"/>
    <x v="3"/>
    <x v="4"/>
    <n v="1000"/>
    <x v="0"/>
  </r>
  <r>
    <d v="2019-04-14T00:00:00"/>
    <s v="Spotify"/>
    <s v="Abonnement"/>
    <s v="Music-Streaming"/>
    <n v="-10"/>
    <s v="EUR"/>
    <x v="1"/>
    <x v="3"/>
    <x v="4"/>
    <n v="10"/>
    <x v="1"/>
  </r>
  <r>
    <d v="2019-04-15T00:00:00"/>
    <s v="Tankstelle"/>
    <s v="Kraftstoff"/>
    <s v="Auto-Tankfüllung"/>
    <n v="-60"/>
    <s v="EUR"/>
    <x v="2"/>
    <x v="3"/>
    <x v="4"/>
    <n v="60"/>
    <x v="1"/>
  </r>
  <r>
    <d v="2019-04-16T00:00:00"/>
    <s v="Versicherungsgesellschaft"/>
    <s v="Versicherungsprämie"/>
    <s v="Haftpflichtversicherung"/>
    <n v="-80"/>
    <s v="EUR"/>
    <x v="3"/>
    <x v="3"/>
    <x v="4"/>
    <n v="80"/>
    <x v="1"/>
  </r>
  <r>
    <d v="2019-04-17T00:00:00"/>
    <s v="Bäckerei"/>
    <s v="Lebensmittel-Einkauf"/>
    <s v="Brot und Gebäck"/>
    <n v="-20"/>
    <s v="EUR"/>
    <x v="4"/>
    <x v="3"/>
    <x v="4"/>
    <n v="20"/>
    <x v="1"/>
  </r>
  <r>
    <d v="2019-04-18T00:00:00"/>
    <s v="Arbeitgeber"/>
    <s v="Gutschrift"/>
    <s v="Lohn"/>
    <n v="1000"/>
    <s v="EUR"/>
    <x v="0"/>
    <x v="3"/>
    <x v="4"/>
    <n v="1000"/>
    <x v="0"/>
  </r>
  <r>
    <d v="2019-04-19T00:00:00"/>
    <s v="Netflix"/>
    <s v="Abonnement"/>
    <s v="Streaming-Dienst"/>
    <n v="-15"/>
    <s v="EUR"/>
    <x v="1"/>
    <x v="3"/>
    <x v="4"/>
    <n v="15"/>
    <x v="1"/>
  </r>
  <r>
    <d v="2019-04-20T00:00:00"/>
    <s v="Autohändler"/>
    <s v="KFZ-Zahlung"/>
    <s v="Auto-Rate"/>
    <n v="-350"/>
    <s v="EUR"/>
    <x v="2"/>
    <x v="3"/>
    <x v="4"/>
    <n v="350"/>
    <x v="1"/>
  </r>
  <r>
    <d v="2019-04-21T00:00:00"/>
    <s v="Versicherungsgesellschaft"/>
    <s v="Versicherungsprämie"/>
    <s v="Kfz-Versicherung"/>
    <n v="-120"/>
    <s v="EUR"/>
    <x v="3"/>
    <x v="3"/>
    <x v="4"/>
    <n v="120"/>
    <x v="1"/>
  </r>
  <r>
    <d v="2019-04-22T00:00:00"/>
    <s v="Supermarkt"/>
    <s v="Lebensmittel-Einkauf"/>
    <s v="Wochenendeinkauf"/>
    <n v="-60"/>
    <s v="EUR"/>
    <x v="4"/>
    <x v="3"/>
    <x v="4"/>
    <n v="60"/>
    <x v="1"/>
  </r>
  <r>
    <d v="2019-04-23T00:00:00"/>
    <s v="Arbeitgeber"/>
    <s v="Gutschrift"/>
    <s v="Lohn"/>
    <n v="1000"/>
    <s v="EUR"/>
    <x v="0"/>
    <x v="3"/>
    <x v="4"/>
    <n v="1000"/>
    <x v="0"/>
  </r>
  <r>
    <d v="2019-04-24T00:00:00"/>
    <s v="Spotify"/>
    <s v="Abonnement"/>
    <s v="Music-Streaming"/>
    <n v="-10"/>
    <s v="EUR"/>
    <x v="1"/>
    <x v="3"/>
    <x v="4"/>
    <n v="10"/>
    <x v="1"/>
  </r>
  <r>
    <d v="2019-04-25T00:00:00"/>
    <s v="Tankstelle"/>
    <s v="Kraftstoff"/>
    <s v="Auto-Tankfüllung"/>
    <n v="-70"/>
    <s v="EUR"/>
    <x v="2"/>
    <x v="3"/>
    <x v="4"/>
    <n v="70"/>
    <x v="1"/>
  </r>
  <r>
    <d v="2019-04-26T00:00:00"/>
    <s v="Versicherungsgesellschaft"/>
    <s v="Versicherungsprämie"/>
    <s v="Haftpflichtversicherung"/>
    <n v="-80"/>
    <s v="EUR"/>
    <x v="3"/>
    <x v="3"/>
    <x v="4"/>
    <n v="80"/>
    <x v="1"/>
  </r>
  <r>
    <d v="2019-04-27T00:00:00"/>
    <s v="Bäckerei"/>
    <s v="Lebensmittel-Einkauf"/>
    <s v="Brot und Gebäck"/>
    <n v="-25"/>
    <s v="EUR"/>
    <x v="4"/>
    <x v="3"/>
    <x v="4"/>
    <n v="25"/>
    <x v="1"/>
  </r>
  <r>
    <d v="2019-04-28T00:00:00"/>
    <s v="Arbeitgeber"/>
    <s v="Gutschrift"/>
    <s v="Lohn"/>
    <n v="1000"/>
    <s v="EUR"/>
    <x v="0"/>
    <x v="3"/>
    <x v="4"/>
    <n v="1000"/>
    <x v="0"/>
  </r>
  <r>
    <d v="2019-04-29T00:00:00"/>
    <s v="Netflix"/>
    <s v="Abonnement"/>
    <s v="Streaming-Dienst"/>
    <n v="-15"/>
    <s v="EUR"/>
    <x v="1"/>
    <x v="3"/>
    <x v="4"/>
    <n v="15"/>
    <x v="1"/>
  </r>
  <r>
    <d v="2019-04-30T00:00:00"/>
    <s v="Autohändler"/>
    <s v="KFZ-Zahlung"/>
    <s v="Auto-Rate"/>
    <n v="-350"/>
    <s v="EUR"/>
    <x v="2"/>
    <x v="3"/>
    <x v="4"/>
    <n v="350"/>
    <x v="1"/>
  </r>
  <r>
    <d v="2019-05-01T00:00:00"/>
    <s v="Versicherungsgesellschaft"/>
    <s v="Versicherungsprämie"/>
    <s v="Kfz-Versicherung"/>
    <n v="-120"/>
    <s v="EUR"/>
    <x v="3"/>
    <x v="4"/>
    <x v="4"/>
    <n v="120"/>
    <x v="1"/>
  </r>
  <r>
    <d v="2019-05-02T00:00:00"/>
    <s v="Supermarkt"/>
    <s v="Lebensmittel-Einkauf"/>
    <s v="Wochenendeinkauf"/>
    <n v="-70"/>
    <s v="EUR"/>
    <x v="4"/>
    <x v="4"/>
    <x v="4"/>
    <n v="70"/>
    <x v="1"/>
  </r>
  <r>
    <d v="2019-05-03T00:00:00"/>
    <s v="Arbeitgeber"/>
    <s v="Gutschrift"/>
    <s v="Lohn"/>
    <n v="1000"/>
    <s v="EUR"/>
    <x v="0"/>
    <x v="4"/>
    <x v="4"/>
    <n v="1000"/>
    <x v="0"/>
  </r>
  <r>
    <d v="2019-05-04T00:00:00"/>
    <s v="Spotify"/>
    <s v="Abonnement"/>
    <s v="Music-Streaming"/>
    <n v="-10"/>
    <s v="EUR"/>
    <x v="1"/>
    <x v="4"/>
    <x v="4"/>
    <n v="10"/>
    <x v="1"/>
  </r>
  <r>
    <d v="2019-05-05T00:00:00"/>
    <s v="Tankstelle"/>
    <s v="Kraftstoff"/>
    <s v="Auto-Tankfüllung"/>
    <n v="-60"/>
    <s v="EUR"/>
    <x v="2"/>
    <x v="4"/>
    <x v="4"/>
    <n v="60"/>
    <x v="1"/>
  </r>
  <r>
    <d v="2019-05-06T00:00:00"/>
    <s v="Versicherungsgesellschaft"/>
    <s v="Versicherungsprämie"/>
    <s v="Haftpflichtversicherung"/>
    <n v="-80"/>
    <s v="EUR"/>
    <x v="3"/>
    <x v="4"/>
    <x v="4"/>
    <n v="80"/>
    <x v="1"/>
  </r>
  <r>
    <d v="2019-05-07T00:00:00"/>
    <s v="Bäckerei"/>
    <s v="Lebensmittel-Einkauf"/>
    <s v="Brot und Gebäck"/>
    <n v="-30"/>
    <s v="EUR"/>
    <x v="4"/>
    <x v="4"/>
    <x v="4"/>
    <n v="30"/>
    <x v="1"/>
  </r>
  <r>
    <d v="2019-05-08T00:00:00"/>
    <s v="Arbeitgeber"/>
    <s v="Gutschrift"/>
    <s v="Lohn"/>
    <n v="1000"/>
    <s v="EUR"/>
    <x v="0"/>
    <x v="4"/>
    <x v="4"/>
    <n v="1000"/>
    <x v="0"/>
  </r>
  <r>
    <d v="2019-05-09T00:00:00"/>
    <s v="Netflix"/>
    <s v="Abonnement"/>
    <s v="Streaming-Dienst"/>
    <n v="-15"/>
    <s v="EUR"/>
    <x v="1"/>
    <x v="4"/>
    <x v="4"/>
    <n v="15"/>
    <x v="1"/>
  </r>
  <r>
    <d v="2019-05-10T00:00:00"/>
    <s v="Autohändler"/>
    <s v="KFZ-Zahlung"/>
    <s v="Auto-Rate"/>
    <n v="-350"/>
    <s v="EUR"/>
    <x v="2"/>
    <x v="4"/>
    <x v="4"/>
    <n v="350"/>
    <x v="1"/>
  </r>
  <r>
    <d v="2019-05-11T00:00:00"/>
    <s v="Versicherungsgesellschaft"/>
    <s v="Versicherungsprämie"/>
    <s v="Kfz-Versicherung"/>
    <n v="-120"/>
    <s v="EUR"/>
    <x v="3"/>
    <x v="4"/>
    <x v="4"/>
    <n v="120"/>
    <x v="1"/>
  </r>
  <r>
    <d v="2019-05-12T00:00:00"/>
    <s v="Supermarkt"/>
    <s v="Lebensmittel-Einkauf"/>
    <s v="Wochenendeinkauf"/>
    <n v="-80"/>
    <s v="EUR"/>
    <x v="4"/>
    <x v="4"/>
    <x v="4"/>
    <n v="80"/>
    <x v="1"/>
  </r>
  <r>
    <d v="2019-05-13T00:00:00"/>
    <s v="Arbeitgeber"/>
    <s v="Gutschrift"/>
    <s v="Lohn"/>
    <n v="1000"/>
    <s v="EUR"/>
    <x v="0"/>
    <x v="4"/>
    <x v="4"/>
    <n v="1000"/>
    <x v="0"/>
  </r>
  <r>
    <d v="2019-05-14T00:00:00"/>
    <s v="Spotify"/>
    <s v="Abonnement"/>
    <s v="Music-Streaming"/>
    <n v="-10"/>
    <s v="EUR"/>
    <x v="1"/>
    <x v="4"/>
    <x v="4"/>
    <n v="10"/>
    <x v="1"/>
  </r>
  <r>
    <d v="2019-05-15T00:00:00"/>
    <s v="Tankstelle"/>
    <s v="Kraftstoff"/>
    <s v="Auto-Tankfüllung"/>
    <n v="-65"/>
    <s v="EUR"/>
    <x v="2"/>
    <x v="4"/>
    <x v="4"/>
    <n v="65"/>
    <x v="1"/>
  </r>
  <r>
    <d v="2019-05-16T00:00:00"/>
    <s v="Versicherungsgesellschaft"/>
    <s v="Versicherungsprämie"/>
    <s v="Haftpflichtversicherung"/>
    <n v="-80"/>
    <s v="EUR"/>
    <x v="3"/>
    <x v="4"/>
    <x v="4"/>
    <n v="80"/>
    <x v="1"/>
  </r>
  <r>
    <d v="2019-05-17T00:00:00"/>
    <s v="Bäckerei"/>
    <s v="Lebensmittel-Einkauf"/>
    <s v="Brot und Gebäck"/>
    <n v="-35"/>
    <s v="EUR"/>
    <x v="4"/>
    <x v="4"/>
    <x v="4"/>
    <n v="35"/>
    <x v="1"/>
  </r>
  <r>
    <d v="2019-05-18T00:00:00"/>
    <s v="Arbeitgeber"/>
    <s v="Gutschrift"/>
    <s v="Lohn"/>
    <n v="1000"/>
    <s v="EUR"/>
    <x v="0"/>
    <x v="4"/>
    <x v="4"/>
    <n v="1000"/>
    <x v="0"/>
  </r>
  <r>
    <d v="2019-05-19T00:00:00"/>
    <s v="Arbeitgeber"/>
    <s v="Gutschrift"/>
    <s v="Lohn"/>
    <n v="1000"/>
    <s v="EUR"/>
    <x v="0"/>
    <x v="4"/>
    <x v="4"/>
    <n v="1000"/>
    <x v="0"/>
  </r>
  <r>
    <d v="2019-05-20T00:00:00"/>
    <s v="Netflix"/>
    <s v="Abonnement"/>
    <s v="Streaming-Dienst"/>
    <n v="-15"/>
    <s v="EUR"/>
    <x v="1"/>
    <x v="4"/>
    <x v="4"/>
    <n v="15"/>
    <x v="1"/>
  </r>
  <r>
    <d v="2019-05-21T00:00:00"/>
    <s v="Autohändler"/>
    <s v="KFZ-Zahlung"/>
    <s v="Auto-Rate"/>
    <n v="-350"/>
    <s v="EUR"/>
    <x v="2"/>
    <x v="4"/>
    <x v="4"/>
    <n v="350"/>
    <x v="1"/>
  </r>
  <r>
    <d v="2019-05-22T00:00:00"/>
    <s v="Versicherungsgesellschaft"/>
    <s v="Versicherungsprämie"/>
    <s v="Kfz-Versicherung"/>
    <n v="-120"/>
    <s v="EUR"/>
    <x v="3"/>
    <x v="4"/>
    <x v="4"/>
    <n v="120"/>
    <x v="1"/>
  </r>
  <r>
    <d v="2019-05-23T00:00:00"/>
    <s v="Supermarkt"/>
    <s v="Lebensmittel-Einkauf"/>
    <s v="Wochenendeinkauf"/>
    <n v="-50"/>
    <s v="EUR"/>
    <x v="4"/>
    <x v="4"/>
    <x v="4"/>
    <n v="50"/>
    <x v="1"/>
  </r>
  <r>
    <d v="2019-05-24T00:00:00"/>
    <s v="Arbeitgeber"/>
    <s v="Gutschrift"/>
    <s v="Lohn"/>
    <n v="1000"/>
    <s v="EUR"/>
    <x v="0"/>
    <x v="4"/>
    <x v="4"/>
    <n v="1000"/>
    <x v="0"/>
  </r>
  <r>
    <d v="2019-05-25T00:00:00"/>
    <s v="Spotify"/>
    <s v="Abonnement"/>
    <s v="Music-Streaming"/>
    <n v="-10"/>
    <s v="EUR"/>
    <x v="1"/>
    <x v="4"/>
    <x v="4"/>
    <n v="10"/>
    <x v="1"/>
  </r>
  <r>
    <d v="2019-05-26T00:00:00"/>
    <s v="Tankstelle"/>
    <s v="Kraftstoff"/>
    <s v="Auto-Tankfüllung"/>
    <n v="-60"/>
    <s v="EUR"/>
    <x v="2"/>
    <x v="4"/>
    <x v="4"/>
    <n v="60"/>
    <x v="1"/>
  </r>
  <r>
    <d v="2019-05-27T00:00:00"/>
    <s v="Versicherungsgesellschaft"/>
    <s v="Versicherungsprämie"/>
    <s v="Haftpflichtversicherung"/>
    <n v="-80"/>
    <s v="EUR"/>
    <x v="3"/>
    <x v="4"/>
    <x v="4"/>
    <n v="80"/>
    <x v="1"/>
  </r>
  <r>
    <d v="2019-05-28T00:00:00"/>
    <s v="Bäckerei"/>
    <s v="Lebensmittel-Einkauf"/>
    <s v="Brot und Gebäck"/>
    <n v="-20"/>
    <s v="EUR"/>
    <x v="4"/>
    <x v="4"/>
    <x v="4"/>
    <n v="20"/>
    <x v="1"/>
  </r>
  <r>
    <d v="2019-05-29T00:00:00"/>
    <s v="Arbeitgeber"/>
    <s v="Gutschrift"/>
    <s v="Lohn"/>
    <n v="1000"/>
    <s v="EUR"/>
    <x v="0"/>
    <x v="4"/>
    <x v="4"/>
    <n v="1000"/>
    <x v="0"/>
  </r>
  <r>
    <d v="2019-05-30T00:00:00"/>
    <s v="Netflix"/>
    <s v="Abonnement"/>
    <s v="Streaming-Dienst"/>
    <n v="-15"/>
    <s v="EUR"/>
    <x v="1"/>
    <x v="4"/>
    <x v="4"/>
    <n v="15"/>
    <x v="1"/>
  </r>
  <r>
    <d v="2019-05-31T00:00:00"/>
    <s v="Autohändler"/>
    <s v="KFZ-Zahlung"/>
    <s v="Auto-Rate"/>
    <n v="-350"/>
    <s v="EUR"/>
    <x v="2"/>
    <x v="4"/>
    <x v="4"/>
    <n v="350"/>
    <x v="1"/>
  </r>
  <r>
    <d v="2019-06-01T00:00:00"/>
    <s v="Versicherungsgesellschaft"/>
    <s v="Versicherungsprämie"/>
    <s v="Kfz-Versicherung"/>
    <n v="-120"/>
    <s v="EUR"/>
    <x v="3"/>
    <x v="5"/>
    <x v="4"/>
    <n v="120"/>
    <x v="1"/>
  </r>
  <r>
    <d v="2019-06-02T00:00:00"/>
    <s v="Supermarkt"/>
    <s v="Lebensmittel-Einkauf"/>
    <s v="Wochenendeinkauf"/>
    <n v="-60"/>
    <s v="EUR"/>
    <x v="4"/>
    <x v="5"/>
    <x v="4"/>
    <n v="60"/>
    <x v="1"/>
  </r>
  <r>
    <d v="2019-06-03T00:00:00"/>
    <s v="Arbeitgeber"/>
    <s v="Gutschrift"/>
    <s v="Lohn"/>
    <n v="1000"/>
    <s v="EUR"/>
    <x v="0"/>
    <x v="5"/>
    <x v="4"/>
    <n v="1000"/>
    <x v="0"/>
  </r>
  <r>
    <d v="2019-06-04T00:00:00"/>
    <s v="Spotify"/>
    <s v="Abonnement"/>
    <s v="Music-Streaming"/>
    <n v="-10"/>
    <s v="EUR"/>
    <x v="1"/>
    <x v="5"/>
    <x v="4"/>
    <n v="10"/>
    <x v="1"/>
  </r>
  <r>
    <d v="2019-06-05T00:00:00"/>
    <s v="Tankstelle"/>
    <s v="Kraftstoff"/>
    <s v="Auto-Tankfüllung"/>
    <n v="-70"/>
    <s v="EUR"/>
    <x v="2"/>
    <x v="5"/>
    <x v="4"/>
    <n v="70"/>
    <x v="1"/>
  </r>
  <r>
    <d v="2019-06-06T00:00:00"/>
    <s v="Versicherungsgesellschaft"/>
    <s v="Versicherungsprämie"/>
    <s v="Haftpflichtversicherung"/>
    <n v="-80"/>
    <s v="EUR"/>
    <x v="3"/>
    <x v="5"/>
    <x v="4"/>
    <n v="80"/>
    <x v="1"/>
  </r>
  <r>
    <d v="2019-06-07T00:00:00"/>
    <s v="Bäckerei"/>
    <s v="Lebensmittel-Einkauf"/>
    <s v="Brot und Gebäck"/>
    <n v="-25"/>
    <s v="EUR"/>
    <x v="4"/>
    <x v="5"/>
    <x v="4"/>
    <n v="25"/>
    <x v="1"/>
  </r>
  <r>
    <d v="2019-06-08T00:00:00"/>
    <s v="Arbeitgeber"/>
    <s v="Gutschrift"/>
    <s v="Lohn"/>
    <n v="1000"/>
    <s v="EUR"/>
    <x v="0"/>
    <x v="5"/>
    <x v="4"/>
    <n v="1000"/>
    <x v="0"/>
  </r>
  <r>
    <d v="2019-06-09T00:00:00"/>
    <s v="Netflix"/>
    <s v="Abonnement"/>
    <s v="Streaming-Dienst"/>
    <n v="-15"/>
    <s v="EUR"/>
    <x v="1"/>
    <x v="5"/>
    <x v="4"/>
    <n v="15"/>
    <x v="1"/>
  </r>
  <r>
    <d v="2019-06-10T00:00:00"/>
    <s v="Autohändler"/>
    <s v="KFZ-Zahlung"/>
    <s v="Auto-Rate"/>
    <n v="-350"/>
    <s v="EUR"/>
    <x v="2"/>
    <x v="5"/>
    <x v="4"/>
    <n v="350"/>
    <x v="1"/>
  </r>
  <r>
    <d v="2019-06-11T00:00:00"/>
    <s v="Versicherungsgesellschaft"/>
    <s v="Versicherungsprämie"/>
    <s v="Kfz-Versicherung"/>
    <n v="-120"/>
    <s v="EUR"/>
    <x v="3"/>
    <x v="5"/>
    <x v="4"/>
    <n v="120"/>
    <x v="1"/>
  </r>
  <r>
    <d v="2019-06-12T00:00:00"/>
    <s v="Supermarkt"/>
    <s v="Lebensmittel-Einkauf"/>
    <s v="Wochenendeinkauf"/>
    <n v="-70"/>
    <s v="EUR"/>
    <x v="4"/>
    <x v="5"/>
    <x v="4"/>
    <n v="70"/>
    <x v="1"/>
  </r>
  <r>
    <d v="2019-06-13T00:00:00"/>
    <s v="Arbeitgeber"/>
    <s v="Gutschrift"/>
    <s v="Lohn"/>
    <n v="1000"/>
    <s v="EUR"/>
    <x v="0"/>
    <x v="5"/>
    <x v="4"/>
    <n v="1000"/>
    <x v="0"/>
  </r>
  <r>
    <d v="2019-06-14T00:00:00"/>
    <s v="Spotify"/>
    <s v="Abonnement"/>
    <s v="Music-Streaming"/>
    <n v="-10"/>
    <s v="EUR"/>
    <x v="1"/>
    <x v="5"/>
    <x v="4"/>
    <n v="10"/>
    <x v="1"/>
  </r>
  <r>
    <d v="2019-06-15T00:00:00"/>
    <s v="Tankstelle"/>
    <s v="Kraftstoff"/>
    <s v="Auto-Tankfüllung"/>
    <n v="-60"/>
    <s v="EUR"/>
    <x v="2"/>
    <x v="5"/>
    <x v="4"/>
    <n v="60"/>
    <x v="1"/>
  </r>
  <r>
    <d v="2019-06-16T00:00:00"/>
    <s v="Versicherungsgesellschaft"/>
    <s v="Versicherungsprämie"/>
    <s v="Haftpflichtversicherung"/>
    <n v="-80"/>
    <s v="EUR"/>
    <x v="3"/>
    <x v="5"/>
    <x v="4"/>
    <n v="80"/>
    <x v="1"/>
  </r>
  <r>
    <d v="2019-06-17T00:00:00"/>
    <s v="Bäckerei"/>
    <s v="Lebensmittel-Einkauf"/>
    <s v="Brot und Gebäck"/>
    <n v="-30"/>
    <s v="EUR"/>
    <x v="4"/>
    <x v="5"/>
    <x v="4"/>
    <n v="30"/>
    <x v="1"/>
  </r>
  <r>
    <d v="2019-06-18T00:00:00"/>
    <s v="Arbeitgeber"/>
    <s v="Gutschrift"/>
    <s v="Lohn"/>
    <n v="1000"/>
    <s v="EUR"/>
    <x v="0"/>
    <x v="5"/>
    <x v="4"/>
    <n v="1000"/>
    <x v="0"/>
  </r>
  <r>
    <d v="2019-06-19T00:00:00"/>
    <s v="Netflix"/>
    <s v="Abonnement"/>
    <s v="Streaming-Dienst"/>
    <n v="-15"/>
    <s v="EUR"/>
    <x v="1"/>
    <x v="5"/>
    <x v="4"/>
    <n v="15"/>
    <x v="1"/>
  </r>
  <r>
    <d v="2019-06-20T00:00:00"/>
    <s v="Autohändler"/>
    <s v="KFZ-Zahlung"/>
    <s v="Auto-Rate"/>
    <n v="-350"/>
    <s v="EUR"/>
    <x v="2"/>
    <x v="5"/>
    <x v="4"/>
    <n v="350"/>
    <x v="1"/>
  </r>
  <r>
    <d v="2019-06-21T00:00:00"/>
    <s v="Versicherungsgesellschaft"/>
    <s v="Versicherungsprämie"/>
    <s v="Kfz-Versicherung"/>
    <n v="-120"/>
    <s v="EUR"/>
    <x v="3"/>
    <x v="5"/>
    <x v="4"/>
    <n v="120"/>
    <x v="1"/>
  </r>
  <r>
    <d v="2019-06-22T00:00:00"/>
    <s v="Supermarkt"/>
    <s v="Lebensmittel-Einkauf"/>
    <s v="Wochenendeinkauf"/>
    <n v="-80"/>
    <s v="EUR"/>
    <x v="4"/>
    <x v="5"/>
    <x v="4"/>
    <n v="80"/>
    <x v="1"/>
  </r>
  <r>
    <d v="2019-06-23T00:00:00"/>
    <s v="Arbeitgeber"/>
    <s v="Gutschrift"/>
    <s v="Lohn"/>
    <n v="1000"/>
    <s v="EUR"/>
    <x v="0"/>
    <x v="5"/>
    <x v="4"/>
    <n v="1000"/>
    <x v="0"/>
  </r>
  <r>
    <d v="2019-06-24T00:00:00"/>
    <s v="Spotify"/>
    <s v="Abonnement"/>
    <s v="Music-Streaming"/>
    <n v="-10"/>
    <s v="EUR"/>
    <x v="1"/>
    <x v="5"/>
    <x v="4"/>
    <n v="10"/>
    <x v="1"/>
  </r>
  <r>
    <d v="2019-06-25T00:00:00"/>
    <s v="Tankstelle"/>
    <s v="Kraftstoff"/>
    <s v="Auto-Tankfüllung"/>
    <n v="-65"/>
    <s v="EUR"/>
    <x v="2"/>
    <x v="5"/>
    <x v="4"/>
    <n v="65"/>
    <x v="1"/>
  </r>
  <r>
    <d v="2019-06-26T00:00:00"/>
    <s v="Versicherungsgesellschaft"/>
    <s v="Versicherungsprämie"/>
    <s v="Haftpflichtversicherung"/>
    <n v="-80"/>
    <s v="EUR"/>
    <x v="3"/>
    <x v="5"/>
    <x v="4"/>
    <n v="80"/>
    <x v="1"/>
  </r>
  <r>
    <d v="2019-06-27T00:00:00"/>
    <s v="Bäckerei"/>
    <s v="Lebensmittel-Einkauf"/>
    <s v="Brot und Gebäck"/>
    <n v="-35"/>
    <s v="EUR"/>
    <x v="4"/>
    <x v="5"/>
    <x v="4"/>
    <n v="35"/>
    <x v="1"/>
  </r>
  <r>
    <d v="2019-06-28T00:00:00"/>
    <s v="Arbeitgeber"/>
    <s v="Gutschrift"/>
    <s v="Lohn"/>
    <n v="1000"/>
    <s v="EUR"/>
    <x v="0"/>
    <x v="5"/>
    <x v="4"/>
    <n v="1000"/>
    <x v="0"/>
  </r>
  <r>
    <d v="2019-06-29T00:00:00"/>
    <s v="Arbeitgeber"/>
    <s v="Gutschrift"/>
    <s v="Lohn"/>
    <n v="1000"/>
    <s v="EUR"/>
    <x v="0"/>
    <x v="5"/>
    <x v="4"/>
    <n v="1000"/>
    <x v="0"/>
  </r>
  <r>
    <d v="2019-06-30T00:00:00"/>
    <s v="Netflix"/>
    <s v="Abonnement"/>
    <s v="Streaming-Dienst"/>
    <n v="-15"/>
    <s v="EUR"/>
    <x v="1"/>
    <x v="5"/>
    <x v="4"/>
    <n v="15"/>
    <x v="1"/>
  </r>
  <r>
    <d v="2019-07-01T00:00:00"/>
    <s v="Autohändler"/>
    <s v="KFZ-Zahlung"/>
    <s v="Auto-Rate"/>
    <n v="-350"/>
    <s v="EUR"/>
    <x v="2"/>
    <x v="6"/>
    <x v="4"/>
    <n v="350"/>
    <x v="1"/>
  </r>
  <r>
    <d v="2019-07-02T00:00:00"/>
    <s v="Versicherungsgesellschaft"/>
    <s v="Versicherungsprämie"/>
    <s v="Kfz-Versicherung"/>
    <n v="-120"/>
    <s v="EUR"/>
    <x v="3"/>
    <x v="6"/>
    <x v="4"/>
    <n v="120"/>
    <x v="1"/>
  </r>
  <r>
    <d v="2019-07-03T00:00:00"/>
    <s v="Supermarkt"/>
    <s v="Lebensmittel-Einkauf"/>
    <s v="Wochenendeinkauf"/>
    <n v="-50"/>
    <s v="EUR"/>
    <x v="4"/>
    <x v="6"/>
    <x v="4"/>
    <n v="50"/>
    <x v="1"/>
  </r>
  <r>
    <d v="2019-07-04T00:00:00"/>
    <s v="Arbeitgeber"/>
    <s v="Gutschrift"/>
    <s v="Lohn"/>
    <n v="1000"/>
    <s v="EUR"/>
    <x v="0"/>
    <x v="6"/>
    <x v="4"/>
    <n v="1000"/>
    <x v="0"/>
  </r>
  <r>
    <d v="2019-07-05T00:00:00"/>
    <s v="Spotify"/>
    <s v="Abonnement"/>
    <s v="Music-Streaming"/>
    <n v="-10"/>
    <s v="EUR"/>
    <x v="1"/>
    <x v="6"/>
    <x v="4"/>
    <n v="10"/>
    <x v="1"/>
  </r>
  <r>
    <d v="2019-07-06T00:00:00"/>
    <s v="Tankstelle"/>
    <s v="Kraftstoff"/>
    <s v="Auto-Tankfüllung"/>
    <n v="-60"/>
    <s v="EUR"/>
    <x v="2"/>
    <x v="6"/>
    <x v="4"/>
    <n v="60"/>
    <x v="1"/>
  </r>
  <r>
    <d v="2019-07-07T00:00:00"/>
    <s v="Versicherungsgesellschaft"/>
    <s v="Versicherungsprämie"/>
    <s v="Haftpflichtversicherung"/>
    <n v="-80"/>
    <s v="EUR"/>
    <x v="3"/>
    <x v="6"/>
    <x v="4"/>
    <n v="80"/>
    <x v="1"/>
  </r>
  <r>
    <d v="2019-07-08T00:00:00"/>
    <s v="Bäckerei"/>
    <s v="Lebensmittel-Einkauf"/>
    <s v="Brot und Gebäck"/>
    <n v="-20"/>
    <s v="EUR"/>
    <x v="4"/>
    <x v="6"/>
    <x v="4"/>
    <n v="20"/>
    <x v="1"/>
  </r>
  <r>
    <d v="2019-07-09T00:00:00"/>
    <s v="Arbeitgeber"/>
    <s v="Gutschrift"/>
    <s v="Lohn"/>
    <n v="1000"/>
    <s v="EUR"/>
    <x v="0"/>
    <x v="6"/>
    <x v="4"/>
    <n v="1000"/>
    <x v="0"/>
  </r>
  <r>
    <d v="2019-07-10T00:00:00"/>
    <s v="Netflix"/>
    <s v="Abonnement"/>
    <s v="Streaming-Dienst"/>
    <n v="-15"/>
    <s v="EUR"/>
    <x v="1"/>
    <x v="6"/>
    <x v="4"/>
    <n v="15"/>
    <x v="1"/>
  </r>
  <r>
    <d v="2019-07-11T00:00:00"/>
    <s v="Autohändler"/>
    <s v="KFZ-Zahlung"/>
    <s v="Auto-Rate"/>
    <n v="-350"/>
    <s v="EUR"/>
    <x v="2"/>
    <x v="6"/>
    <x v="4"/>
    <n v="350"/>
    <x v="1"/>
  </r>
  <r>
    <d v="2019-07-12T00:00:00"/>
    <s v="Versicherungsgesellschaft"/>
    <s v="Versicherungsprämie"/>
    <s v="Kfz-Versicherung"/>
    <n v="-120"/>
    <s v="EUR"/>
    <x v="3"/>
    <x v="6"/>
    <x v="4"/>
    <n v="120"/>
    <x v="1"/>
  </r>
  <r>
    <d v="2019-07-13T00:00:00"/>
    <s v="Supermarkt"/>
    <s v="Lebensmittel-Einkauf"/>
    <s v="Wochenendeinkauf"/>
    <n v="-60"/>
    <s v="EUR"/>
    <x v="4"/>
    <x v="6"/>
    <x v="4"/>
    <n v="60"/>
    <x v="1"/>
  </r>
  <r>
    <d v="2019-07-14T00:00:00"/>
    <s v="Arbeitgeber"/>
    <s v="Gutschrift"/>
    <s v="Lohn"/>
    <n v="1000"/>
    <s v="EUR"/>
    <x v="0"/>
    <x v="6"/>
    <x v="4"/>
    <n v="1000"/>
    <x v="0"/>
  </r>
  <r>
    <d v="2019-07-15T00:00:00"/>
    <s v="Spotify"/>
    <s v="Abonnement"/>
    <s v="Music-Streaming"/>
    <n v="-10"/>
    <s v="EUR"/>
    <x v="1"/>
    <x v="6"/>
    <x v="4"/>
    <n v="10"/>
    <x v="1"/>
  </r>
  <r>
    <d v="2019-07-16T00:00:00"/>
    <s v="Tankstelle"/>
    <s v="Kraftstoff"/>
    <s v="Auto-Tankfüllung"/>
    <n v="-70"/>
    <s v="EUR"/>
    <x v="2"/>
    <x v="6"/>
    <x v="4"/>
    <n v="70"/>
    <x v="1"/>
  </r>
  <r>
    <d v="2019-07-17T00:00:00"/>
    <s v="Versicherungsgesellschaft"/>
    <s v="Versicherungsprämie"/>
    <s v="Haftpflichtversicherung"/>
    <n v="-80"/>
    <s v="EUR"/>
    <x v="3"/>
    <x v="6"/>
    <x v="4"/>
    <n v="80"/>
    <x v="1"/>
  </r>
  <r>
    <d v="2019-07-18T00:00:00"/>
    <s v="Bäckerei"/>
    <s v="Lebensmittel-Einkauf"/>
    <s v="Brot und Gebäck"/>
    <n v="-25"/>
    <s v="EUR"/>
    <x v="4"/>
    <x v="6"/>
    <x v="4"/>
    <n v="25"/>
    <x v="1"/>
  </r>
  <r>
    <d v="2019-07-19T00:00:00"/>
    <s v="Arbeitgeber"/>
    <s v="Gutschrift"/>
    <s v="Lohn"/>
    <n v="1000"/>
    <s v="EUR"/>
    <x v="0"/>
    <x v="6"/>
    <x v="4"/>
    <n v="1000"/>
    <x v="0"/>
  </r>
  <r>
    <d v="2019-07-20T00:00:00"/>
    <s v="Netflix"/>
    <s v="Abonnement"/>
    <s v="Streaming-Dienst"/>
    <n v="-15"/>
    <s v="EUR"/>
    <x v="1"/>
    <x v="6"/>
    <x v="4"/>
    <n v="15"/>
    <x v="1"/>
  </r>
  <r>
    <d v="2019-07-21T00:00:00"/>
    <s v="Autohändler"/>
    <s v="KFZ-Zahlung"/>
    <s v="Auto-Rate"/>
    <n v="-350"/>
    <s v="EUR"/>
    <x v="2"/>
    <x v="6"/>
    <x v="4"/>
    <n v="350"/>
    <x v="1"/>
  </r>
  <r>
    <d v="2019-07-22T00:00:00"/>
    <s v="Versicherungsgesellschaft"/>
    <s v="Versicherungsprämie"/>
    <s v="Kfz-Versicherung"/>
    <n v="-120"/>
    <s v="EUR"/>
    <x v="3"/>
    <x v="6"/>
    <x v="4"/>
    <n v="120"/>
    <x v="1"/>
  </r>
  <r>
    <d v="2019-07-23T00:00:00"/>
    <s v="Supermarkt"/>
    <s v="Lebensmittel-Einkauf"/>
    <s v="Wochenendeinkauf"/>
    <n v="-70"/>
    <s v="EUR"/>
    <x v="4"/>
    <x v="6"/>
    <x v="4"/>
    <n v="70"/>
    <x v="1"/>
  </r>
  <r>
    <d v="2019-07-24T00:00:00"/>
    <s v="Arbeitgeber"/>
    <s v="Gutschrift"/>
    <s v="Lohn"/>
    <n v="1000"/>
    <s v="EUR"/>
    <x v="0"/>
    <x v="6"/>
    <x v="4"/>
    <n v="1000"/>
    <x v="0"/>
  </r>
  <r>
    <d v="2019-07-25T00:00:00"/>
    <s v="Spotify"/>
    <s v="Abonnement"/>
    <s v="Music-Streaming"/>
    <n v="-10"/>
    <s v="EUR"/>
    <x v="1"/>
    <x v="6"/>
    <x v="4"/>
    <n v="10"/>
    <x v="1"/>
  </r>
  <r>
    <d v="2019-07-26T00:00:00"/>
    <s v="Tankstelle"/>
    <s v="Kraftstoff"/>
    <s v="Auto-Tankfüllung"/>
    <n v="-60"/>
    <s v="EUR"/>
    <x v="2"/>
    <x v="6"/>
    <x v="4"/>
    <n v="60"/>
    <x v="1"/>
  </r>
  <r>
    <d v="2019-07-27T00:00:00"/>
    <s v="Versicherungsgesellschaft"/>
    <s v="Versicherungsprämie"/>
    <s v="Haftpflichtversicherung"/>
    <n v="-80"/>
    <s v="EUR"/>
    <x v="3"/>
    <x v="6"/>
    <x v="4"/>
    <n v="80"/>
    <x v="1"/>
  </r>
  <r>
    <d v="2019-07-28T00:00:00"/>
    <s v="Bäckerei"/>
    <s v="Lebensmittel-Einkauf"/>
    <s v="Brot und Gebäck"/>
    <n v="-30"/>
    <s v="EUR"/>
    <x v="4"/>
    <x v="6"/>
    <x v="4"/>
    <n v="30"/>
    <x v="1"/>
  </r>
  <r>
    <d v="2019-07-29T00:00:00"/>
    <s v="Arbeitgeber"/>
    <s v="Gutschrift"/>
    <s v="Lohn"/>
    <n v="1000"/>
    <s v="EUR"/>
    <x v="0"/>
    <x v="6"/>
    <x v="4"/>
    <n v="1000"/>
    <x v="0"/>
  </r>
  <r>
    <d v="2019-07-30T00:00:00"/>
    <s v="Netflix"/>
    <s v="Abonnement"/>
    <s v="Streaming-Dienst"/>
    <n v="-15"/>
    <s v="EUR"/>
    <x v="1"/>
    <x v="6"/>
    <x v="4"/>
    <n v="15"/>
    <x v="1"/>
  </r>
  <r>
    <d v="2019-07-31T00:00:00"/>
    <s v="Autohändler"/>
    <s v="KFZ-Zahlung"/>
    <s v="Auto-Rate"/>
    <n v="-350"/>
    <s v="EUR"/>
    <x v="2"/>
    <x v="6"/>
    <x v="4"/>
    <n v="350"/>
    <x v="1"/>
  </r>
  <r>
    <d v="2019-08-01T00:00:00"/>
    <s v="Versicherungsgesellschaft"/>
    <s v="Versicherungsprämie"/>
    <s v="Kfz-Versicherung"/>
    <n v="-120"/>
    <s v="EUR"/>
    <x v="3"/>
    <x v="7"/>
    <x v="4"/>
    <n v="120"/>
    <x v="1"/>
  </r>
  <r>
    <d v="2019-08-02T00:00:00"/>
    <s v="Supermarkt"/>
    <s v="Lebensmittel-Einkauf"/>
    <s v="Wochenendeinkauf"/>
    <n v="-80"/>
    <s v="EUR"/>
    <x v="4"/>
    <x v="7"/>
    <x v="4"/>
    <n v="80"/>
    <x v="1"/>
  </r>
  <r>
    <d v="2019-08-03T00:00:00"/>
    <s v="Arbeitgeber"/>
    <s v="Gutschrift"/>
    <s v="Lohn"/>
    <n v="1000"/>
    <s v="EUR"/>
    <x v="0"/>
    <x v="7"/>
    <x v="4"/>
    <n v="1000"/>
    <x v="0"/>
  </r>
  <r>
    <d v="2019-08-04T00:00:00"/>
    <s v="Spotify"/>
    <s v="Abonnement"/>
    <s v="Music-Streaming"/>
    <n v="-10"/>
    <s v="EUR"/>
    <x v="1"/>
    <x v="7"/>
    <x v="4"/>
    <n v="10"/>
    <x v="1"/>
  </r>
  <r>
    <d v="2019-08-05T00:00:00"/>
    <s v="Tankstelle"/>
    <s v="Kraftstoff"/>
    <s v="Auto-Tankfüllung"/>
    <n v="-65"/>
    <s v="EUR"/>
    <x v="2"/>
    <x v="7"/>
    <x v="4"/>
    <n v="65"/>
    <x v="1"/>
  </r>
  <r>
    <d v="2019-08-06T00:00:00"/>
    <s v="Versicherungsgesellschaft"/>
    <s v="Versicherungsprämie"/>
    <s v="Haftpflichtversicherung"/>
    <n v="-80"/>
    <s v="EUR"/>
    <x v="3"/>
    <x v="7"/>
    <x v="4"/>
    <n v="80"/>
    <x v="1"/>
  </r>
  <r>
    <d v="2019-08-07T00:00:00"/>
    <s v="Bäckerei"/>
    <s v="Lebensmittel-Einkauf"/>
    <s v="Brot und Gebäck"/>
    <n v="-35"/>
    <s v="EUR"/>
    <x v="4"/>
    <x v="7"/>
    <x v="4"/>
    <n v="35"/>
    <x v="1"/>
  </r>
  <r>
    <d v="2019-08-08T00:00:00"/>
    <s v="Arbeitgeber"/>
    <s v="Gutschrift"/>
    <s v="Lohn"/>
    <n v="1000"/>
    <s v="EUR"/>
    <x v="0"/>
    <x v="7"/>
    <x v="4"/>
    <n v="1000"/>
    <x v="0"/>
  </r>
  <r>
    <d v="2019-08-09T00:00:00"/>
    <s v="Arbeitgeber"/>
    <s v="Gutschrift"/>
    <s v="Lohn"/>
    <n v="1000"/>
    <s v="EUR"/>
    <x v="0"/>
    <x v="7"/>
    <x v="4"/>
    <n v="1000"/>
    <x v="0"/>
  </r>
  <r>
    <d v="2019-08-10T00:00:00"/>
    <s v="Netflix"/>
    <s v="Abonnement"/>
    <s v="Streaming-Dienst"/>
    <n v="-15"/>
    <s v="EUR"/>
    <x v="1"/>
    <x v="7"/>
    <x v="4"/>
    <n v="15"/>
    <x v="1"/>
  </r>
  <r>
    <d v="2019-08-11T00:00:00"/>
    <s v="Autohändler"/>
    <s v="KFZ-Zahlung"/>
    <s v="Auto-Rate"/>
    <n v="-350"/>
    <s v="EUR"/>
    <x v="2"/>
    <x v="7"/>
    <x v="4"/>
    <n v="350"/>
    <x v="1"/>
  </r>
  <r>
    <d v="2019-08-12T00:00:00"/>
    <s v="Versicherungsgesellschaft"/>
    <s v="Versicherungsprämie"/>
    <s v="Kfz-Versicherung"/>
    <n v="-120"/>
    <s v="EUR"/>
    <x v="3"/>
    <x v="7"/>
    <x v="4"/>
    <n v="120"/>
    <x v="1"/>
  </r>
  <r>
    <d v="2019-08-13T00:00:00"/>
    <s v="Supermarkt"/>
    <s v="Lebensmittel-Einkauf"/>
    <s v="Wochenendeinkauf"/>
    <n v="-50"/>
    <s v="EUR"/>
    <x v="4"/>
    <x v="7"/>
    <x v="4"/>
    <n v="50"/>
    <x v="1"/>
  </r>
  <r>
    <d v="2019-08-14T00:00:00"/>
    <s v="Arbeitgeber"/>
    <s v="Gutschrift"/>
    <s v="Lohn"/>
    <n v="1000"/>
    <s v="EUR"/>
    <x v="0"/>
    <x v="7"/>
    <x v="4"/>
    <n v="1000"/>
    <x v="0"/>
  </r>
  <r>
    <d v="2019-08-15T00:00:00"/>
    <s v="Spotify"/>
    <s v="Abonnement"/>
    <s v="Music-Streaming"/>
    <n v="-10"/>
    <s v="EUR"/>
    <x v="1"/>
    <x v="7"/>
    <x v="4"/>
    <n v="10"/>
    <x v="1"/>
  </r>
  <r>
    <d v="2019-08-16T00:00:00"/>
    <s v="Tankstelle"/>
    <s v="Kraftstoff"/>
    <s v="Auto-Tankfüllung"/>
    <n v="-60"/>
    <s v="EUR"/>
    <x v="2"/>
    <x v="7"/>
    <x v="4"/>
    <n v="60"/>
    <x v="1"/>
  </r>
  <r>
    <d v="2019-08-17T00:00:00"/>
    <s v="Versicherungsgesellschaft"/>
    <s v="Versicherungsprämie"/>
    <s v="Haftpflichtversicherung"/>
    <n v="-80"/>
    <s v="EUR"/>
    <x v="3"/>
    <x v="7"/>
    <x v="4"/>
    <n v="80"/>
    <x v="1"/>
  </r>
  <r>
    <d v="2019-08-18T00:00:00"/>
    <s v="Bäckerei"/>
    <s v="Lebensmittel-Einkauf"/>
    <s v="Brot und Gebäck"/>
    <n v="-20"/>
    <s v="EUR"/>
    <x v="4"/>
    <x v="7"/>
    <x v="4"/>
    <n v="20"/>
    <x v="1"/>
  </r>
  <r>
    <d v="2019-08-19T00:00:00"/>
    <s v="Arbeitgeber"/>
    <s v="Gutschrift"/>
    <s v="Lohn"/>
    <n v="1000"/>
    <s v="EUR"/>
    <x v="0"/>
    <x v="7"/>
    <x v="4"/>
    <n v="1000"/>
    <x v="0"/>
  </r>
  <r>
    <d v="2019-08-20T00:00:00"/>
    <s v="Netflix"/>
    <s v="Abonnement"/>
    <s v="Streaming-Dienst"/>
    <n v="-15"/>
    <s v="EUR"/>
    <x v="1"/>
    <x v="7"/>
    <x v="4"/>
    <n v="15"/>
    <x v="1"/>
  </r>
  <r>
    <d v="2019-08-21T00:00:00"/>
    <s v="Autohändler"/>
    <s v="KFZ-Zahlung"/>
    <s v="Auto-Rate"/>
    <n v="-350"/>
    <s v="EUR"/>
    <x v="2"/>
    <x v="7"/>
    <x v="4"/>
    <n v="350"/>
    <x v="1"/>
  </r>
  <r>
    <d v="2019-08-22T00:00:00"/>
    <s v="Versicherungsgesellschaft"/>
    <s v="Versicherungsprämie"/>
    <s v="Kfz-Versicherung"/>
    <n v="-120"/>
    <s v="EUR"/>
    <x v="3"/>
    <x v="7"/>
    <x v="4"/>
    <n v="120"/>
    <x v="1"/>
  </r>
  <r>
    <d v="2019-08-23T00:00:00"/>
    <s v="Supermarkt"/>
    <s v="Lebensmittel-Einkauf"/>
    <s v="Wochenendeinkauf"/>
    <n v="-60"/>
    <s v="EUR"/>
    <x v="4"/>
    <x v="7"/>
    <x v="4"/>
    <n v="60"/>
    <x v="1"/>
  </r>
  <r>
    <d v="2019-08-24T00:00:00"/>
    <s v="Arbeitgeber"/>
    <s v="Gutschrift"/>
    <s v="Lohn"/>
    <n v="1000"/>
    <s v="EUR"/>
    <x v="0"/>
    <x v="7"/>
    <x v="4"/>
    <n v="1000"/>
    <x v="0"/>
  </r>
  <r>
    <d v="2019-08-25T00:00:00"/>
    <s v="Spotify"/>
    <s v="Abonnement"/>
    <s v="Music-Streaming"/>
    <n v="-10"/>
    <s v="EUR"/>
    <x v="1"/>
    <x v="7"/>
    <x v="4"/>
    <n v="10"/>
    <x v="1"/>
  </r>
  <r>
    <d v="2019-08-26T00:00:00"/>
    <s v="Tankstelle"/>
    <s v="Kraftstoff"/>
    <s v="Auto-Tankfüllung"/>
    <n v="-70"/>
    <s v="EUR"/>
    <x v="2"/>
    <x v="7"/>
    <x v="4"/>
    <n v="70"/>
    <x v="1"/>
  </r>
  <r>
    <d v="2019-08-27T00:00:00"/>
    <s v="Versicherungsgesellschaft"/>
    <s v="Versicherungsprämie"/>
    <s v="Haftpflichtversicherung"/>
    <n v="-80"/>
    <s v="EUR"/>
    <x v="3"/>
    <x v="7"/>
    <x v="4"/>
    <n v="80"/>
    <x v="1"/>
  </r>
  <r>
    <d v="2019-08-28T00:00:00"/>
    <s v="Bäckerei"/>
    <s v="Lebensmittel-Einkauf"/>
    <s v="Brot und Gebäck"/>
    <n v="-25"/>
    <s v="EUR"/>
    <x v="4"/>
    <x v="7"/>
    <x v="4"/>
    <n v="25"/>
    <x v="1"/>
  </r>
  <r>
    <d v="2019-08-29T00:00:00"/>
    <s v="Arbeitgeber"/>
    <s v="Gutschrift"/>
    <s v="Lohn"/>
    <n v="1000"/>
    <s v="EUR"/>
    <x v="0"/>
    <x v="7"/>
    <x v="4"/>
    <n v="1000"/>
    <x v="0"/>
  </r>
  <r>
    <d v="2019-08-30T00:00:00"/>
    <s v="Netflix"/>
    <s v="Abonnement"/>
    <s v="Streaming-Dienst"/>
    <n v="-15"/>
    <s v="EUR"/>
    <x v="1"/>
    <x v="7"/>
    <x v="4"/>
    <n v="15"/>
    <x v="1"/>
  </r>
  <r>
    <d v="2019-08-31T00:00:00"/>
    <s v="Autohändler"/>
    <s v="KFZ-Zahlung"/>
    <s v="Auto-Rate"/>
    <n v="-350"/>
    <s v="EUR"/>
    <x v="2"/>
    <x v="7"/>
    <x v="4"/>
    <n v="350"/>
    <x v="1"/>
  </r>
  <r>
    <d v="2019-09-01T00:00:00"/>
    <s v="Versicherungsgesellschaft"/>
    <s v="Versicherungsprämie"/>
    <s v="Kfz-Versicherung"/>
    <n v="-120"/>
    <s v="EUR"/>
    <x v="3"/>
    <x v="8"/>
    <x v="4"/>
    <n v="120"/>
    <x v="1"/>
  </r>
  <r>
    <d v="2019-09-02T00:00:00"/>
    <s v="Supermarkt"/>
    <s v="Lebensmittel-Einkauf"/>
    <s v="Wochenendeinkauf"/>
    <n v="-70"/>
    <s v="EUR"/>
    <x v="4"/>
    <x v="8"/>
    <x v="4"/>
    <n v="70"/>
    <x v="1"/>
  </r>
  <r>
    <d v="2019-09-03T00:00:00"/>
    <s v="Arbeitgeber"/>
    <s v="Gutschrift"/>
    <s v="Lohn"/>
    <n v="1000"/>
    <s v="EUR"/>
    <x v="0"/>
    <x v="8"/>
    <x v="4"/>
    <n v="1000"/>
    <x v="0"/>
  </r>
  <r>
    <d v="2019-09-04T00:00:00"/>
    <s v="Spotify"/>
    <s v="Abonnement"/>
    <s v="Music-Streaming"/>
    <n v="-10"/>
    <s v="EUR"/>
    <x v="1"/>
    <x v="8"/>
    <x v="4"/>
    <n v="10"/>
    <x v="1"/>
  </r>
  <r>
    <d v="2019-09-05T00:00:00"/>
    <s v="Tankstelle"/>
    <s v="Kraftstoff"/>
    <s v="Auto-Tankfüllung"/>
    <n v="-60"/>
    <s v="EUR"/>
    <x v="2"/>
    <x v="8"/>
    <x v="4"/>
    <n v="60"/>
    <x v="1"/>
  </r>
  <r>
    <d v="2019-09-06T00:00:00"/>
    <s v="Versicherungsgesellschaft"/>
    <s v="Versicherungsprämie"/>
    <s v="Haftpflichtversicherung"/>
    <n v="-80"/>
    <s v="EUR"/>
    <x v="3"/>
    <x v="8"/>
    <x v="4"/>
    <n v="80"/>
    <x v="1"/>
  </r>
  <r>
    <d v="2019-09-07T00:00:00"/>
    <s v="Bäckerei"/>
    <s v="Lebensmittel-Einkauf"/>
    <s v="Brot und Gebäck"/>
    <n v="-30"/>
    <s v="EUR"/>
    <x v="4"/>
    <x v="8"/>
    <x v="4"/>
    <n v="30"/>
    <x v="1"/>
  </r>
  <r>
    <d v="2019-09-08T00:00:00"/>
    <s v="Arbeitgeber"/>
    <s v="Gutschrift"/>
    <s v="Lohn"/>
    <n v="1000"/>
    <s v="EUR"/>
    <x v="0"/>
    <x v="8"/>
    <x v="4"/>
    <n v="1000"/>
    <x v="0"/>
  </r>
  <r>
    <d v="2019-09-09T00:00:00"/>
    <s v="Netflix"/>
    <s v="Abonnement"/>
    <s v="Streaming-Dienst"/>
    <n v="-15"/>
    <s v="EUR"/>
    <x v="1"/>
    <x v="8"/>
    <x v="4"/>
    <n v="15"/>
    <x v="1"/>
  </r>
  <r>
    <d v="2019-09-10T00:00:00"/>
    <s v="Autohändler"/>
    <s v="KFZ-Zahlung"/>
    <s v="Auto-Rate"/>
    <n v="-350"/>
    <s v="EUR"/>
    <x v="2"/>
    <x v="8"/>
    <x v="4"/>
    <n v="350"/>
    <x v="1"/>
  </r>
  <r>
    <d v="2019-09-11T00:00:00"/>
    <s v="Versicherungsgesellschaft"/>
    <s v="Versicherungsprämie"/>
    <s v="Kfz-Versicherung"/>
    <n v="-120"/>
    <s v="EUR"/>
    <x v="3"/>
    <x v="8"/>
    <x v="4"/>
    <n v="120"/>
    <x v="1"/>
  </r>
  <r>
    <d v="2019-09-12T00:00:00"/>
    <s v="Supermarkt"/>
    <s v="Lebensmittel-Einkauf"/>
    <s v="Wochenendeinkauf"/>
    <n v="-80"/>
    <s v="EUR"/>
    <x v="4"/>
    <x v="8"/>
    <x v="4"/>
    <n v="80"/>
    <x v="1"/>
  </r>
  <r>
    <d v="2019-09-13T00:00:00"/>
    <s v="Arbeitgeber"/>
    <s v="Gutschrift"/>
    <s v="Lohn"/>
    <n v="1000"/>
    <s v="EUR"/>
    <x v="0"/>
    <x v="8"/>
    <x v="4"/>
    <n v="1000"/>
    <x v="0"/>
  </r>
  <r>
    <d v="2019-09-14T00:00:00"/>
    <s v="Spotify"/>
    <s v="Abonnement"/>
    <s v="Music-Streaming"/>
    <n v="-10"/>
    <s v="EUR"/>
    <x v="1"/>
    <x v="8"/>
    <x v="4"/>
    <n v="10"/>
    <x v="1"/>
  </r>
  <r>
    <d v="2019-09-15T00:00:00"/>
    <s v="Tankstelle"/>
    <s v="Kraftstoff"/>
    <s v="Auto-Tankfüllung"/>
    <n v="-65"/>
    <s v="EUR"/>
    <x v="2"/>
    <x v="8"/>
    <x v="4"/>
    <n v="65"/>
    <x v="1"/>
  </r>
  <r>
    <d v="2019-09-16T00:00:00"/>
    <s v="Versicherungsgesellschaft"/>
    <s v="Versicherungsprämie"/>
    <s v="Haftpflichtversicherung"/>
    <n v="-80"/>
    <s v="EUR"/>
    <x v="3"/>
    <x v="8"/>
    <x v="4"/>
    <n v="80"/>
    <x v="1"/>
  </r>
  <r>
    <d v="2019-09-17T00:00:00"/>
    <s v="Bäckerei"/>
    <s v="Lebensmittel-Einkauf"/>
    <s v="Brot und Gebäck"/>
    <n v="-35"/>
    <s v="EUR"/>
    <x v="4"/>
    <x v="8"/>
    <x v="4"/>
    <n v="35"/>
    <x v="1"/>
  </r>
  <r>
    <d v="2019-09-18T00:00:00"/>
    <s v="Arbeitgeber"/>
    <s v="Gutschrift"/>
    <s v="Lohn"/>
    <n v="1000"/>
    <s v="EUR"/>
    <x v="0"/>
    <x v="8"/>
    <x v="4"/>
    <n v="1000"/>
    <x v="0"/>
  </r>
  <r>
    <d v="2019-09-19T00:00:00"/>
    <s v="Arbeitgeber"/>
    <s v="Gutschrift"/>
    <s v="Lohn"/>
    <n v="1000"/>
    <s v="EUR"/>
    <x v="0"/>
    <x v="8"/>
    <x v="4"/>
    <n v="1000"/>
    <x v="0"/>
  </r>
  <r>
    <d v="2019-09-20T00:00:00"/>
    <s v="Netflix"/>
    <s v="Abonnement"/>
    <s v="Streaming-Dienst"/>
    <n v="-15"/>
    <s v="EUR"/>
    <x v="1"/>
    <x v="8"/>
    <x v="4"/>
    <n v="15"/>
    <x v="1"/>
  </r>
  <r>
    <d v="2019-09-21T00:00:00"/>
    <s v="Autohändler"/>
    <s v="KFZ-Zahlung"/>
    <s v="Auto-Rate"/>
    <n v="-350"/>
    <s v="EUR"/>
    <x v="2"/>
    <x v="8"/>
    <x v="4"/>
    <n v="350"/>
    <x v="1"/>
  </r>
  <r>
    <d v="2019-09-22T00:00:00"/>
    <s v="Versicherungsgesellschaft"/>
    <s v="Versicherungsprämie"/>
    <s v="Kfz-Versicherung"/>
    <n v="-120"/>
    <s v="EUR"/>
    <x v="3"/>
    <x v="8"/>
    <x v="4"/>
    <n v="120"/>
    <x v="1"/>
  </r>
  <r>
    <d v="2019-09-23T00:00:00"/>
    <s v="Supermarkt"/>
    <s v="Lebensmittel-Einkauf"/>
    <s v="Wochenendeinkauf"/>
    <n v="-50"/>
    <s v="EUR"/>
    <x v="4"/>
    <x v="8"/>
    <x v="4"/>
    <n v="50"/>
    <x v="1"/>
  </r>
  <r>
    <d v="2019-09-24T00:00:00"/>
    <s v="Arbeitgeber"/>
    <s v="Gutschrift"/>
    <s v="Lohn"/>
    <n v="1000"/>
    <s v="EUR"/>
    <x v="0"/>
    <x v="8"/>
    <x v="4"/>
    <n v="1000"/>
    <x v="0"/>
  </r>
  <r>
    <d v="2019-09-25T00:00:00"/>
    <s v="Spotify"/>
    <s v="Abonnement"/>
    <s v="Music-Streaming"/>
    <n v="-10"/>
    <s v="EUR"/>
    <x v="1"/>
    <x v="8"/>
    <x v="4"/>
    <n v="10"/>
    <x v="1"/>
  </r>
  <r>
    <d v="2019-09-26T00:00:00"/>
    <s v="Tankstelle"/>
    <s v="Kraftstoff"/>
    <s v="Auto-Tankfüllung"/>
    <n v="-60"/>
    <s v="EUR"/>
    <x v="2"/>
    <x v="8"/>
    <x v="4"/>
    <n v="60"/>
    <x v="1"/>
  </r>
  <r>
    <d v="2019-09-27T00:00:00"/>
    <s v="Versicherungsgesellschaft"/>
    <s v="Versicherungsprämie"/>
    <s v="Haftpflichtversicherung"/>
    <n v="-80"/>
    <s v="EUR"/>
    <x v="3"/>
    <x v="8"/>
    <x v="4"/>
    <n v="80"/>
    <x v="1"/>
  </r>
  <r>
    <d v="2019-09-28T00:00:00"/>
    <s v="Bäckerei"/>
    <s v="Lebensmittel-Einkauf"/>
    <s v="Brot und Gebäck"/>
    <n v="-20"/>
    <s v="EUR"/>
    <x v="4"/>
    <x v="8"/>
    <x v="4"/>
    <n v="20"/>
    <x v="1"/>
  </r>
  <r>
    <d v="2019-09-29T00:00:00"/>
    <s v="Arbeitgeber"/>
    <s v="Gutschrift"/>
    <s v="Lohn"/>
    <n v="1000"/>
    <s v="EUR"/>
    <x v="0"/>
    <x v="8"/>
    <x v="4"/>
    <n v="1000"/>
    <x v="0"/>
  </r>
  <r>
    <d v="2019-09-30T00:00:00"/>
    <s v="Netflix"/>
    <s v="Abonnement"/>
    <s v="Streaming-Dienst"/>
    <n v="-15"/>
    <s v="EUR"/>
    <x v="1"/>
    <x v="8"/>
    <x v="4"/>
    <n v="15"/>
    <x v="1"/>
  </r>
  <r>
    <d v="2019-10-01T00:00:00"/>
    <s v="Autohändler"/>
    <s v="KFZ-Zahlung"/>
    <s v="Auto-Rate"/>
    <n v="-350"/>
    <s v="EUR"/>
    <x v="2"/>
    <x v="9"/>
    <x v="4"/>
    <n v="350"/>
    <x v="1"/>
  </r>
  <r>
    <d v="2019-10-02T00:00:00"/>
    <s v="Versicherungsgesellschaft"/>
    <s v="Versicherungsprämie"/>
    <s v="Kfz-Versicherung"/>
    <n v="-120"/>
    <s v="EUR"/>
    <x v="3"/>
    <x v="9"/>
    <x v="4"/>
    <n v="120"/>
    <x v="1"/>
  </r>
  <r>
    <d v="2019-10-03T00:00:00"/>
    <s v="Supermarkt"/>
    <s v="Lebensmittel-Einkauf"/>
    <s v="Wochenendeinkauf"/>
    <n v="-60"/>
    <s v="EUR"/>
    <x v="4"/>
    <x v="9"/>
    <x v="4"/>
    <n v="60"/>
    <x v="1"/>
  </r>
  <r>
    <d v="2019-10-04T00:00:00"/>
    <s v="Arbeitgeber"/>
    <s v="Gutschrift"/>
    <s v="Lohn"/>
    <n v="1000"/>
    <s v="EUR"/>
    <x v="0"/>
    <x v="9"/>
    <x v="4"/>
    <n v="1000"/>
    <x v="0"/>
  </r>
  <r>
    <d v="2019-10-05T00:00:00"/>
    <s v="Spotify"/>
    <s v="Abonnement"/>
    <s v="Music-Streaming"/>
    <n v="-10"/>
    <s v="EUR"/>
    <x v="1"/>
    <x v="9"/>
    <x v="4"/>
    <n v="10"/>
    <x v="1"/>
  </r>
  <r>
    <d v="2019-10-06T00:00:00"/>
    <s v="Tankstelle"/>
    <s v="Kraftstoff"/>
    <s v="Auto-Tankfüllung"/>
    <n v="-70"/>
    <s v="EUR"/>
    <x v="2"/>
    <x v="9"/>
    <x v="4"/>
    <n v="70"/>
    <x v="1"/>
  </r>
  <r>
    <d v="2019-10-07T00:00:00"/>
    <s v="Versicherungsgesellschaft"/>
    <s v="Versicherungsprämie"/>
    <s v="Haftpflichtversicherung"/>
    <n v="-80"/>
    <s v="EUR"/>
    <x v="3"/>
    <x v="9"/>
    <x v="4"/>
    <n v="80"/>
    <x v="1"/>
  </r>
  <r>
    <d v="2019-10-08T00:00:00"/>
    <s v="Bäckerei"/>
    <s v="Lebensmittel-Einkauf"/>
    <s v="Brot und Gebäck"/>
    <n v="-25"/>
    <s v="EUR"/>
    <x v="4"/>
    <x v="9"/>
    <x v="4"/>
    <n v="25"/>
    <x v="1"/>
  </r>
  <r>
    <d v="2019-10-09T00:00:00"/>
    <s v="Arbeitgeber"/>
    <s v="Gutschrift"/>
    <s v="Lohn"/>
    <n v="1000"/>
    <s v="EUR"/>
    <x v="0"/>
    <x v="9"/>
    <x v="4"/>
    <n v="1000"/>
    <x v="0"/>
  </r>
  <r>
    <d v="2019-10-10T00:00:00"/>
    <s v="Netflix"/>
    <s v="Abonnement"/>
    <s v="Streaming-Dienst"/>
    <n v="-15"/>
    <s v="EUR"/>
    <x v="1"/>
    <x v="9"/>
    <x v="4"/>
    <n v="15"/>
    <x v="1"/>
  </r>
  <r>
    <d v="2019-10-11T00:00:00"/>
    <s v="Autohändler"/>
    <s v="KFZ-Zahlung"/>
    <s v="Auto-Rate"/>
    <n v="-350"/>
    <s v="EUR"/>
    <x v="2"/>
    <x v="9"/>
    <x v="4"/>
    <n v="350"/>
    <x v="1"/>
  </r>
  <r>
    <d v="2019-10-12T00:00:00"/>
    <s v="Versicherungsgesellschaft"/>
    <s v="Versicherungsprämie"/>
    <s v="Kfz-Versicherung"/>
    <n v="-120"/>
    <s v="EUR"/>
    <x v="3"/>
    <x v="9"/>
    <x v="4"/>
    <n v="120"/>
    <x v="1"/>
  </r>
  <r>
    <d v="2019-10-13T00:00:00"/>
    <s v="Supermarkt"/>
    <s v="Lebensmittel-Einkauf"/>
    <s v="Wochenendeinkauf"/>
    <n v="-70"/>
    <s v="EUR"/>
    <x v="4"/>
    <x v="9"/>
    <x v="4"/>
    <n v="70"/>
    <x v="1"/>
  </r>
  <r>
    <d v="2019-10-14T00:00:00"/>
    <s v="Arbeitgeber"/>
    <s v="Gutschrift"/>
    <s v="Lohn"/>
    <n v="1000"/>
    <s v="EUR"/>
    <x v="0"/>
    <x v="9"/>
    <x v="4"/>
    <n v="1000"/>
    <x v="0"/>
  </r>
  <r>
    <d v="2019-10-15T00:00:00"/>
    <s v="Spotify"/>
    <s v="Abonnement"/>
    <s v="Music-Streaming"/>
    <n v="-10"/>
    <s v="EUR"/>
    <x v="1"/>
    <x v="9"/>
    <x v="4"/>
    <n v="10"/>
    <x v="1"/>
  </r>
  <r>
    <d v="2019-10-16T00:00:00"/>
    <s v="Tankstelle"/>
    <s v="Kraftstoff"/>
    <s v="Auto-Tankfüllung"/>
    <n v="-60"/>
    <s v="EUR"/>
    <x v="2"/>
    <x v="9"/>
    <x v="4"/>
    <n v="60"/>
    <x v="1"/>
  </r>
  <r>
    <d v="2019-10-17T00:00:00"/>
    <s v="Versicherungsgesellschaft"/>
    <s v="Versicherungsprämie"/>
    <s v="Haftpflichtversicherung"/>
    <n v="-80"/>
    <s v="EUR"/>
    <x v="3"/>
    <x v="9"/>
    <x v="4"/>
    <n v="80"/>
    <x v="1"/>
  </r>
  <r>
    <d v="2019-10-18T00:00:00"/>
    <s v="Bäckerei"/>
    <s v="Lebensmittel-Einkauf"/>
    <s v="Brot und Gebäck"/>
    <n v="-30"/>
    <s v="EUR"/>
    <x v="4"/>
    <x v="9"/>
    <x v="4"/>
    <n v="30"/>
    <x v="1"/>
  </r>
  <r>
    <d v="2019-10-19T00:00:00"/>
    <s v="Arbeitgeber"/>
    <s v="Gutschrift"/>
    <s v="Lohn"/>
    <n v="1000"/>
    <s v="EUR"/>
    <x v="0"/>
    <x v="9"/>
    <x v="4"/>
    <n v="1000"/>
    <x v="0"/>
  </r>
  <r>
    <d v="2019-10-20T00:00:00"/>
    <s v="Netflix"/>
    <s v="Abonnement"/>
    <s v="Streaming-Dienst"/>
    <n v="-15"/>
    <s v="EUR"/>
    <x v="1"/>
    <x v="9"/>
    <x v="4"/>
    <n v="15"/>
    <x v="1"/>
  </r>
  <r>
    <d v="2019-10-21T00:00:00"/>
    <s v="Autohändler"/>
    <s v="KFZ-Zahlung"/>
    <s v="Auto-Rate"/>
    <n v="-350"/>
    <s v="EUR"/>
    <x v="2"/>
    <x v="9"/>
    <x v="4"/>
    <n v="350"/>
    <x v="1"/>
  </r>
  <r>
    <d v="2019-10-22T00:00:00"/>
    <s v="Versicherungsgesellschaft"/>
    <s v="Versicherungsprämie"/>
    <s v="Kfz-Versicherung"/>
    <n v="-120"/>
    <s v="EUR"/>
    <x v="3"/>
    <x v="9"/>
    <x v="4"/>
    <n v="120"/>
    <x v="1"/>
  </r>
  <r>
    <d v="2019-10-23T00:00:00"/>
    <s v="Supermarkt"/>
    <s v="Lebensmittel-Einkauf"/>
    <s v="Wochenendeinkauf"/>
    <n v="-80"/>
    <s v="EUR"/>
    <x v="4"/>
    <x v="9"/>
    <x v="4"/>
    <n v="80"/>
    <x v="1"/>
  </r>
  <r>
    <d v="2019-10-24T00:00:00"/>
    <s v="Arbeitgeber"/>
    <s v="Gutschrift"/>
    <s v="Lohn"/>
    <n v="1000"/>
    <s v="EUR"/>
    <x v="0"/>
    <x v="9"/>
    <x v="4"/>
    <n v="1000"/>
    <x v="0"/>
  </r>
  <r>
    <d v="2019-10-25T00:00:00"/>
    <s v="Spotify"/>
    <s v="Abonnement"/>
    <s v="Music-Streaming"/>
    <n v="-10"/>
    <s v="EUR"/>
    <x v="1"/>
    <x v="9"/>
    <x v="4"/>
    <n v="10"/>
    <x v="1"/>
  </r>
  <r>
    <d v="2019-10-26T00:00:00"/>
    <s v="Tankstelle"/>
    <s v="Kraftstoff"/>
    <s v="Auto-Tankfüllung"/>
    <n v="-65"/>
    <s v="EUR"/>
    <x v="2"/>
    <x v="9"/>
    <x v="4"/>
    <n v="65"/>
    <x v="1"/>
  </r>
  <r>
    <d v="2019-10-27T00:00:00"/>
    <s v="Versicherungsgesellschaft"/>
    <s v="Versicherungsprämie"/>
    <s v="Haftpflichtversicherung"/>
    <n v="-80"/>
    <s v="EUR"/>
    <x v="3"/>
    <x v="9"/>
    <x v="4"/>
    <n v="80"/>
    <x v="1"/>
  </r>
  <r>
    <d v="2019-10-28T00:00:00"/>
    <s v="Bäckerei"/>
    <s v="Lebensmittel-Einkauf"/>
    <s v="Brot und Gebäck"/>
    <n v="-35"/>
    <s v="EUR"/>
    <x v="4"/>
    <x v="9"/>
    <x v="4"/>
    <n v="35"/>
    <x v="1"/>
  </r>
  <r>
    <d v="2019-10-29T00:00:00"/>
    <s v="Arbeitgeber"/>
    <s v="Gutschrift"/>
    <s v="Lohn"/>
    <n v="1000"/>
    <s v="EUR"/>
    <x v="0"/>
    <x v="9"/>
    <x v="4"/>
    <n v="1000"/>
    <x v="0"/>
  </r>
  <r>
    <d v="2019-10-30T00:00:00"/>
    <s v="Arbeitgeber"/>
    <s v="Gutschrift"/>
    <s v="Lohn"/>
    <n v="1000"/>
    <s v="EUR"/>
    <x v="0"/>
    <x v="9"/>
    <x v="4"/>
    <n v="1000"/>
    <x v="0"/>
  </r>
  <r>
    <d v="2019-10-31T00:00:00"/>
    <s v="Netflix"/>
    <s v="Abonnement"/>
    <s v="Streaming-Dienst"/>
    <n v="-15"/>
    <s v="EUR"/>
    <x v="1"/>
    <x v="9"/>
    <x v="4"/>
    <n v="15"/>
    <x v="1"/>
  </r>
  <r>
    <d v="2019-11-01T00:00:00"/>
    <s v="Autohändler"/>
    <s v="KFZ-Zahlung"/>
    <s v="Auto-Rate"/>
    <n v="-350"/>
    <s v="EUR"/>
    <x v="2"/>
    <x v="10"/>
    <x v="4"/>
    <n v="350"/>
    <x v="1"/>
  </r>
  <r>
    <d v="2019-11-02T00:00:00"/>
    <s v="Versicherungsgesellschaft"/>
    <s v="Versicherungsprämie"/>
    <s v="Kfz-Versicherung"/>
    <n v="-120"/>
    <s v="EUR"/>
    <x v="3"/>
    <x v="10"/>
    <x v="4"/>
    <n v="120"/>
    <x v="1"/>
  </r>
  <r>
    <d v="2019-11-03T00:00:00"/>
    <s v="Supermarkt"/>
    <s v="Lebensmittel-Einkauf"/>
    <s v="Wochenendeinkauf"/>
    <n v="-50"/>
    <s v="EUR"/>
    <x v="4"/>
    <x v="10"/>
    <x v="4"/>
    <n v="50"/>
    <x v="1"/>
  </r>
  <r>
    <d v="2019-11-04T00:00:00"/>
    <s v="Arbeitgeber"/>
    <s v="Gutschrift"/>
    <s v="Lohn"/>
    <n v="1000"/>
    <s v="EUR"/>
    <x v="0"/>
    <x v="10"/>
    <x v="4"/>
    <n v="1000"/>
    <x v="0"/>
  </r>
  <r>
    <d v="2019-11-05T00:00:00"/>
    <s v="Spotify"/>
    <s v="Abonnement"/>
    <s v="Music-Streaming"/>
    <n v="-10"/>
    <s v="EUR"/>
    <x v="1"/>
    <x v="10"/>
    <x v="4"/>
    <n v="10"/>
    <x v="1"/>
  </r>
  <r>
    <d v="2019-11-06T00:00:00"/>
    <s v="Tankstelle"/>
    <s v="Kraftstoff"/>
    <s v="Auto-Tankfüllung"/>
    <n v="-60"/>
    <s v="EUR"/>
    <x v="2"/>
    <x v="10"/>
    <x v="4"/>
    <n v="60"/>
    <x v="1"/>
  </r>
  <r>
    <d v="2019-11-07T00:00:00"/>
    <s v="Versicherungsgesellschaft"/>
    <s v="Versicherungsprämie"/>
    <s v="Haftpflichtversicherung"/>
    <n v="-80"/>
    <s v="EUR"/>
    <x v="3"/>
    <x v="10"/>
    <x v="4"/>
    <n v="80"/>
    <x v="1"/>
  </r>
  <r>
    <d v="2019-11-08T00:00:00"/>
    <s v="Bäckerei"/>
    <s v="Lebensmittel-Einkauf"/>
    <s v="Brot und Gebäck"/>
    <n v="-20"/>
    <s v="EUR"/>
    <x v="4"/>
    <x v="10"/>
    <x v="4"/>
    <n v="20"/>
    <x v="1"/>
  </r>
  <r>
    <d v="2019-11-09T00:00:00"/>
    <s v="Arbeitgeber"/>
    <s v="Gutschrift"/>
    <s v="Lohn"/>
    <n v="1000"/>
    <s v="EUR"/>
    <x v="0"/>
    <x v="10"/>
    <x v="4"/>
    <n v="1000"/>
    <x v="0"/>
  </r>
  <r>
    <d v="2019-11-10T00:00:00"/>
    <s v="Netflix"/>
    <s v="Abonnement"/>
    <s v="Streaming-Dienst"/>
    <n v="-15"/>
    <s v="EUR"/>
    <x v="1"/>
    <x v="10"/>
    <x v="4"/>
    <n v="15"/>
    <x v="1"/>
  </r>
  <r>
    <d v="2019-11-11T00:00:00"/>
    <s v="Autohändler"/>
    <s v="KFZ-Zahlung"/>
    <s v="Auto-Rate"/>
    <n v="-350"/>
    <s v="EUR"/>
    <x v="2"/>
    <x v="10"/>
    <x v="4"/>
    <n v="350"/>
    <x v="1"/>
  </r>
  <r>
    <d v="2019-11-12T00:00:00"/>
    <s v="Versicherungsgesellschaft"/>
    <s v="Versicherungsprämie"/>
    <s v="Kfz-Versicherung"/>
    <n v="-120"/>
    <s v="EUR"/>
    <x v="3"/>
    <x v="10"/>
    <x v="4"/>
    <n v="120"/>
    <x v="1"/>
  </r>
  <r>
    <d v="2019-11-13T00:00:00"/>
    <s v="Supermarkt"/>
    <s v="Lebensmittel-Einkauf"/>
    <s v="Wochenendeinkauf"/>
    <n v="-60"/>
    <s v="EUR"/>
    <x v="4"/>
    <x v="10"/>
    <x v="4"/>
    <n v="60"/>
    <x v="1"/>
  </r>
  <r>
    <d v="2019-11-14T00:00:00"/>
    <s v="Arbeitgeber"/>
    <s v="Gutschrift"/>
    <s v="Lohn"/>
    <n v="1000"/>
    <s v="EUR"/>
    <x v="0"/>
    <x v="10"/>
    <x v="4"/>
    <n v="1000"/>
    <x v="0"/>
  </r>
  <r>
    <d v="2019-11-15T00:00:00"/>
    <s v="Spotify"/>
    <s v="Abonnement"/>
    <s v="Music-Streaming"/>
    <n v="-10"/>
    <s v="EUR"/>
    <x v="1"/>
    <x v="10"/>
    <x v="4"/>
    <n v="10"/>
    <x v="1"/>
  </r>
  <r>
    <d v="2019-11-16T00:00:00"/>
    <s v="Tankstelle"/>
    <s v="Kraftstoff"/>
    <s v="Auto-Tankfüllung"/>
    <n v="-70"/>
    <s v="EUR"/>
    <x v="2"/>
    <x v="10"/>
    <x v="4"/>
    <n v="70"/>
    <x v="1"/>
  </r>
  <r>
    <d v="2019-11-17T00:00:00"/>
    <s v="Versicherungsgesellschaft"/>
    <s v="Versicherungsprämie"/>
    <s v="Haftpflichtversicherung"/>
    <n v="-80"/>
    <s v="EUR"/>
    <x v="3"/>
    <x v="10"/>
    <x v="4"/>
    <n v="80"/>
    <x v="1"/>
  </r>
  <r>
    <d v="2019-11-18T00:00:00"/>
    <s v="Bäckerei"/>
    <s v="Lebensmittel-Einkauf"/>
    <s v="Brot und Gebäck"/>
    <n v="-25"/>
    <s v="EUR"/>
    <x v="4"/>
    <x v="10"/>
    <x v="4"/>
    <n v="25"/>
    <x v="1"/>
  </r>
  <r>
    <d v="2019-11-19T00:00:00"/>
    <s v="Arbeitgeber"/>
    <s v="Gutschrift"/>
    <s v="Lohn"/>
    <n v="1000"/>
    <s v="EUR"/>
    <x v="0"/>
    <x v="10"/>
    <x v="4"/>
    <n v="1000"/>
    <x v="0"/>
  </r>
  <r>
    <d v="2019-11-20T00:00:00"/>
    <s v="Netflix"/>
    <s v="Abonnement"/>
    <s v="Streaming-Dienst"/>
    <n v="-15"/>
    <s v="EUR"/>
    <x v="1"/>
    <x v="10"/>
    <x v="4"/>
    <n v="15"/>
    <x v="1"/>
  </r>
  <r>
    <d v="2019-11-21T00:00:00"/>
    <s v="Autohändler"/>
    <s v="KFZ-Zahlung"/>
    <s v="Auto-Rate"/>
    <n v="-350"/>
    <s v="EUR"/>
    <x v="2"/>
    <x v="10"/>
    <x v="4"/>
    <n v="350"/>
    <x v="1"/>
  </r>
  <r>
    <d v="2019-11-22T00:00:00"/>
    <s v="Versicherungsgesellschaft"/>
    <s v="Versicherungsprämie"/>
    <s v="Kfz-Versicherung"/>
    <n v="-120"/>
    <s v="EUR"/>
    <x v="3"/>
    <x v="10"/>
    <x v="4"/>
    <n v="120"/>
    <x v="1"/>
  </r>
  <r>
    <d v="2019-11-23T00:00:00"/>
    <s v="Supermarkt"/>
    <s v="Lebensmittel-Einkauf"/>
    <s v="Wochenendeinkauf"/>
    <n v="-70"/>
    <s v="EUR"/>
    <x v="4"/>
    <x v="10"/>
    <x v="4"/>
    <n v="70"/>
    <x v="1"/>
  </r>
  <r>
    <d v="2019-11-24T00:00:00"/>
    <s v="Arbeitgeber"/>
    <s v="Gutschrift"/>
    <s v="Lohn"/>
    <n v="1000"/>
    <s v="EUR"/>
    <x v="0"/>
    <x v="10"/>
    <x v="4"/>
    <n v="1000"/>
    <x v="0"/>
  </r>
  <r>
    <d v="2019-11-25T00:00:00"/>
    <s v="Spotify"/>
    <s v="Abonnement"/>
    <s v="Music-Streaming"/>
    <n v="-10"/>
    <s v="EUR"/>
    <x v="1"/>
    <x v="10"/>
    <x v="4"/>
    <n v="10"/>
    <x v="1"/>
  </r>
  <r>
    <d v="2019-11-26T00:00:00"/>
    <s v="Tankstelle"/>
    <s v="Kraftstoff"/>
    <s v="Auto-Tankfüllung"/>
    <n v="-60"/>
    <s v="EUR"/>
    <x v="2"/>
    <x v="10"/>
    <x v="4"/>
    <n v="60"/>
    <x v="1"/>
  </r>
  <r>
    <d v="2019-11-27T00:00:00"/>
    <s v="Versicherungsgesellschaft"/>
    <s v="Versicherungsprämie"/>
    <s v="Haftpflichtversicherung"/>
    <n v="-80"/>
    <s v="EUR"/>
    <x v="3"/>
    <x v="10"/>
    <x v="4"/>
    <n v="80"/>
    <x v="1"/>
  </r>
  <r>
    <d v="2019-11-28T00:00:00"/>
    <s v="Bäckerei"/>
    <s v="Lebensmittel-Einkauf"/>
    <s v="Brot und Gebäck"/>
    <n v="-30"/>
    <s v="EUR"/>
    <x v="4"/>
    <x v="10"/>
    <x v="4"/>
    <n v="30"/>
    <x v="1"/>
  </r>
  <r>
    <d v="2019-11-29T00:00:00"/>
    <s v="Arbeitgeber"/>
    <s v="Gutschrift"/>
    <s v="Lohn"/>
    <n v="1000"/>
    <s v="EUR"/>
    <x v="0"/>
    <x v="10"/>
    <x v="4"/>
    <n v="1000"/>
    <x v="0"/>
  </r>
  <r>
    <d v="2019-11-30T00:00:00"/>
    <s v="Netflix"/>
    <s v="Abonnement"/>
    <s v="Streaming-Dienst"/>
    <n v="-15"/>
    <s v="EUR"/>
    <x v="1"/>
    <x v="10"/>
    <x v="4"/>
    <n v="15"/>
    <x v="1"/>
  </r>
  <r>
    <d v="2019-12-01T00:00:00"/>
    <s v="Autohändler"/>
    <s v="KFZ-Zahlung"/>
    <s v="Auto-Rate"/>
    <n v="-350"/>
    <s v="EUR"/>
    <x v="2"/>
    <x v="11"/>
    <x v="4"/>
    <n v="350"/>
    <x v="1"/>
  </r>
  <r>
    <d v="2019-12-02T00:00:00"/>
    <s v="Versicherungsgesellschaft"/>
    <s v="Versicherungsprämie"/>
    <s v="Kfz-Versicherung"/>
    <n v="-120"/>
    <s v="EUR"/>
    <x v="3"/>
    <x v="11"/>
    <x v="4"/>
    <n v="120"/>
    <x v="1"/>
  </r>
  <r>
    <d v="2019-12-03T00:00:00"/>
    <s v="Supermarkt"/>
    <s v="Lebensmittel-Einkauf"/>
    <s v="Wochenendeinkauf"/>
    <n v="-80"/>
    <s v="EUR"/>
    <x v="4"/>
    <x v="11"/>
    <x v="4"/>
    <n v="80"/>
    <x v="1"/>
  </r>
  <r>
    <d v="2019-12-04T00:00:00"/>
    <s v="Arbeitgeber"/>
    <s v="Gutschrift"/>
    <s v="Lohn"/>
    <n v="1000"/>
    <s v="EUR"/>
    <x v="0"/>
    <x v="11"/>
    <x v="4"/>
    <n v="1000"/>
    <x v="0"/>
  </r>
  <r>
    <d v="2019-12-05T00:00:00"/>
    <s v="Spotify"/>
    <s v="Abonnement"/>
    <s v="Music-Streaming"/>
    <n v="-10"/>
    <s v="EUR"/>
    <x v="1"/>
    <x v="11"/>
    <x v="4"/>
    <n v="10"/>
    <x v="1"/>
  </r>
  <r>
    <d v="2019-12-06T00:00:00"/>
    <s v="Tankstelle"/>
    <s v="Kraftstoff"/>
    <s v="Auto-Tankfüllung"/>
    <n v="-65"/>
    <s v="EUR"/>
    <x v="2"/>
    <x v="11"/>
    <x v="4"/>
    <n v="65"/>
    <x v="1"/>
  </r>
  <r>
    <d v="2019-12-07T00:00:00"/>
    <s v="Versicherungsgesellschaft"/>
    <s v="Versicherungsprämie"/>
    <s v="Haftpflichtversicherung"/>
    <n v="-80"/>
    <s v="EUR"/>
    <x v="3"/>
    <x v="11"/>
    <x v="4"/>
    <n v="80"/>
    <x v="1"/>
  </r>
  <r>
    <d v="2019-12-08T00:00:00"/>
    <s v="Bäckerei"/>
    <s v="Lebensmittel-Einkauf"/>
    <s v="Brot und Gebäck"/>
    <n v="-35"/>
    <s v="EUR"/>
    <x v="4"/>
    <x v="11"/>
    <x v="4"/>
    <n v="35"/>
    <x v="1"/>
  </r>
  <r>
    <d v="2019-12-09T00:00:00"/>
    <s v="Arbeitgeber"/>
    <s v="Gutschrift"/>
    <s v="Lohn"/>
    <n v="1000"/>
    <s v="EUR"/>
    <x v="0"/>
    <x v="11"/>
    <x v="4"/>
    <n v="1000"/>
    <x v="0"/>
  </r>
  <r>
    <d v="2019-12-10T00:00:00"/>
    <s v="Arbeitgeber"/>
    <s v="Gutschrift"/>
    <s v="Lohn"/>
    <n v="1000"/>
    <s v="EUR"/>
    <x v="0"/>
    <x v="11"/>
    <x v="4"/>
    <n v="1000"/>
    <x v="0"/>
  </r>
  <r>
    <d v="2019-12-11T00:00:00"/>
    <s v="Netflix"/>
    <s v="Abonnement"/>
    <s v="Streaming-Dienst"/>
    <n v="-15"/>
    <s v="EUR"/>
    <x v="1"/>
    <x v="11"/>
    <x v="4"/>
    <n v="15"/>
    <x v="1"/>
  </r>
  <r>
    <d v="2019-12-12T00:00:00"/>
    <s v="Autohändler"/>
    <s v="KFZ-Zahlung"/>
    <s v="Auto-Rate"/>
    <n v="-350"/>
    <s v="EUR"/>
    <x v="2"/>
    <x v="11"/>
    <x v="4"/>
    <n v="350"/>
    <x v="1"/>
  </r>
  <r>
    <d v="2019-12-13T00:00:00"/>
    <s v="Versicherungsgesellschaft"/>
    <s v="Versicherungsprämie"/>
    <s v="Kfz-Versicherung"/>
    <n v="-120"/>
    <s v="EUR"/>
    <x v="3"/>
    <x v="11"/>
    <x v="4"/>
    <n v="120"/>
    <x v="1"/>
  </r>
  <r>
    <d v="2019-12-14T00:00:00"/>
    <s v="Supermarkt"/>
    <s v="Lebensmittel-Einkauf"/>
    <s v="Wochenendeinkauf"/>
    <n v="-50"/>
    <s v="EUR"/>
    <x v="4"/>
    <x v="11"/>
    <x v="4"/>
    <n v="50"/>
    <x v="1"/>
  </r>
  <r>
    <d v="2019-12-15T00:00:00"/>
    <s v="Arbeitgeber"/>
    <s v="Gutschrift"/>
    <s v="Lohn"/>
    <n v="1000"/>
    <s v="EUR"/>
    <x v="0"/>
    <x v="11"/>
    <x v="4"/>
    <n v="1000"/>
    <x v="0"/>
  </r>
  <r>
    <d v="2019-12-16T00:00:00"/>
    <s v="Spotify"/>
    <s v="Abonnement"/>
    <s v="Music-Streaming"/>
    <n v="-10"/>
    <s v="EUR"/>
    <x v="1"/>
    <x v="11"/>
    <x v="4"/>
    <n v="10"/>
    <x v="1"/>
  </r>
  <r>
    <d v="2019-12-17T00:00:00"/>
    <s v="Tankstelle"/>
    <s v="Kraftstoff"/>
    <s v="Auto-Tankfüllung"/>
    <n v="-60"/>
    <s v="EUR"/>
    <x v="2"/>
    <x v="11"/>
    <x v="4"/>
    <n v="60"/>
    <x v="1"/>
  </r>
  <r>
    <d v="2019-12-18T00:00:00"/>
    <s v="Versicherungsgesellschaft"/>
    <s v="Versicherungsprämie"/>
    <s v="Haftpflichtversicherung"/>
    <n v="-80"/>
    <s v="EUR"/>
    <x v="3"/>
    <x v="11"/>
    <x v="4"/>
    <n v="80"/>
    <x v="1"/>
  </r>
  <r>
    <d v="2019-12-19T00:00:00"/>
    <s v="Bäckerei"/>
    <s v="Lebensmittel-Einkauf"/>
    <s v="Brot und Gebäck"/>
    <n v="-20"/>
    <s v="EUR"/>
    <x v="4"/>
    <x v="11"/>
    <x v="4"/>
    <n v="20"/>
    <x v="1"/>
  </r>
  <r>
    <d v="2019-12-20T00:00:00"/>
    <s v="Arbeitgeber"/>
    <s v="Gutschrift"/>
    <s v="Lohn"/>
    <n v="1000"/>
    <s v="EUR"/>
    <x v="0"/>
    <x v="11"/>
    <x v="4"/>
    <n v="1000"/>
    <x v="0"/>
  </r>
  <r>
    <d v="2019-12-21T00:00:00"/>
    <s v="Netflix"/>
    <s v="Abonnement"/>
    <s v="Streaming-Dienst"/>
    <n v="-15"/>
    <s v="EUR"/>
    <x v="1"/>
    <x v="11"/>
    <x v="4"/>
    <n v="15"/>
    <x v="1"/>
  </r>
  <r>
    <d v="2019-12-22T00:00:00"/>
    <s v="Autohändler"/>
    <s v="KFZ-Zahlung"/>
    <s v="Auto-Rate"/>
    <n v="-350"/>
    <s v="EUR"/>
    <x v="2"/>
    <x v="11"/>
    <x v="4"/>
    <n v="350"/>
    <x v="1"/>
  </r>
  <r>
    <d v="2019-12-23T00:00:00"/>
    <s v="Versicherungsgesellschaft"/>
    <s v="Versicherungsprämie"/>
    <s v="Kfz-Versicherung"/>
    <n v="-120"/>
    <s v="EUR"/>
    <x v="3"/>
    <x v="11"/>
    <x v="4"/>
    <n v="120"/>
    <x v="1"/>
  </r>
  <r>
    <d v="2019-12-24T00:00:00"/>
    <s v="Supermarkt"/>
    <s v="Lebensmittel-Einkauf"/>
    <s v="Wochenendeinkauf"/>
    <n v="-60"/>
    <s v="EUR"/>
    <x v="4"/>
    <x v="11"/>
    <x v="4"/>
    <n v="60"/>
    <x v="1"/>
  </r>
  <r>
    <d v="2019-12-25T00:00:00"/>
    <s v="Arbeitgeber"/>
    <s v="Gutschrift"/>
    <s v="Lohn"/>
    <n v="1000"/>
    <s v="EUR"/>
    <x v="0"/>
    <x v="11"/>
    <x v="4"/>
    <n v="1000"/>
    <x v="0"/>
  </r>
  <r>
    <d v="2019-12-26T00:00:00"/>
    <s v="Spotify"/>
    <s v="Abonnement"/>
    <s v="Music-Streaming"/>
    <n v="-10"/>
    <s v="EUR"/>
    <x v="1"/>
    <x v="11"/>
    <x v="4"/>
    <n v="10"/>
    <x v="1"/>
  </r>
  <r>
    <d v="2019-12-27T00:00:00"/>
    <s v="Tankstelle"/>
    <s v="Kraftstoff"/>
    <s v="Auto-Tankfüllung"/>
    <n v="-70"/>
    <s v="EUR"/>
    <x v="2"/>
    <x v="11"/>
    <x v="4"/>
    <n v="70"/>
    <x v="1"/>
  </r>
  <r>
    <d v="2019-12-28T00:00:00"/>
    <s v="Versicherungsgesellschaft"/>
    <s v="Versicherungsprämie"/>
    <s v="Haftpflichtversicherung"/>
    <n v="-80"/>
    <s v="EUR"/>
    <x v="3"/>
    <x v="11"/>
    <x v="4"/>
    <n v="80"/>
    <x v="1"/>
  </r>
  <r>
    <d v="2019-12-29T00:00:00"/>
    <s v="Bäckerei"/>
    <s v="Lebensmittel-Einkauf"/>
    <s v="Brot und Gebäck"/>
    <n v="-25"/>
    <s v="EUR"/>
    <x v="4"/>
    <x v="11"/>
    <x v="4"/>
    <n v="25"/>
    <x v="1"/>
  </r>
  <r>
    <d v="2019-12-30T00:00:00"/>
    <s v="Arbeitgeber"/>
    <s v="Gutschrift"/>
    <s v="Lohn"/>
    <n v="1000"/>
    <s v="EUR"/>
    <x v="0"/>
    <x v="11"/>
    <x v="4"/>
    <n v="1000"/>
    <x v="0"/>
  </r>
  <r>
    <d v="2019-12-31T00:00:00"/>
    <s v="Netflix"/>
    <s v="Abonnement"/>
    <s v="Streaming-Dienst"/>
    <n v="-15"/>
    <s v="EUR"/>
    <x v="1"/>
    <x v="11"/>
    <x v="4"/>
    <n v="15"/>
    <x v="1"/>
  </r>
  <r>
    <d v="2020-01-01T00:00:00"/>
    <s v="Autohändler"/>
    <s v="KFZ-Zahlung"/>
    <s v="Auto-Rate"/>
    <n v="-350"/>
    <s v="EUR"/>
    <x v="2"/>
    <x v="0"/>
    <x v="5"/>
    <n v="350"/>
    <x v="1"/>
  </r>
  <r>
    <d v="2020-01-02T00:00:00"/>
    <s v="Versicherungsgesellschaft"/>
    <s v="Versicherungsprämie"/>
    <s v="Kfz-Versicherung"/>
    <n v="-120"/>
    <s v="EUR"/>
    <x v="3"/>
    <x v="0"/>
    <x v="5"/>
    <n v="120"/>
    <x v="1"/>
  </r>
  <r>
    <d v="2020-01-03T00:00:00"/>
    <s v="Supermarkt"/>
    <s v="Lebensmittel-Einkauf"/>
    <s v="Wochenendeinkauf"/>
    <n v="-70"/>
    <s v="EUR"/>
    <x v="4"/>
    <x v="0"/>
    <x v="5"/>
    <n v="70"/>
    <x v="1"/>
  </r>
  <r>
    <d v="2020-01-04T00:00:00"/>
    <s v="Arbeitgeber"/>
    <s v="Gutschrift"/>
    <s v="Lohn"/>
    <n v="1000"/>
    <s v="EUR"/>
    <x v="0"/>
    <x v="0"/>
    <x v="5"/>
    <n v="1000"/>
    <x v="0"/>
  </r>
  <r>
    <d v="2020-01-05T00:00:00"/>
    <s v="Spotify"/>
    <s v="Abonnement"/>
    <s v="Music-Streaming"/>
    <n v="-10"/>
    <s v="EUR"/>
    <x v="1"/>
    <x v="0"/>
    <x v="5"/>
    <n v="10"/>
    <x v="1"/>
  </r>
  <r>
    <d v="2020-01-06T00:00:00"/>
    <s v="Tankstelle"/>
    <s v="Kraftstoff"/>
    <s v="Auto-Tankfüllung"/>
    <n v="-60"/>
    <s v="EUR"/>
    <x v="2"/>
    <x v="0"/>
    <x v="5"/>
    <n v="60"/>
    <x v="1"/>
  </r>
  <r>
    <d v="2020-01-07T00:00:00"/>
    <s v="Versicherungsgesellschaft"/>
    <s v="Versicherungsprämie"/>
    <s v="Haftpflichtversicherung"/>
    <n v="-80"/>
    <s v="EUR"/>
    <x v="3"/>
    <x v="0"/>
    <x v="5"/>
    <n v="80"/>
    <x v="1"/>
  </r>
  <r>
    <d v="2020-01-08T00:00:00"/>
    <s v="Bäckerei"/>
    <s v="Lebensmittel-Einkauf"/>
    <s v="Brot und Gebäck"/>
    <n v="-30"/>
    <s v="EUR"/>
    <x v="4"/>
    <x v="0"/>
    <x v="5"/>
    <n v="30"/>
    <x v="1"/>
  </r>
  <r>
    <d v="2020-01-09T00:00:00"/>
    <s v="Arbeitgeber"/>
    <s v="Gutschrift"/>
    <s v="Lohn"/>
    <n v="1000"/>
    <s v="EUR"/>
    <x v="0"/>
    <x v="0"/>
    <x v="5"/>
    <n v="1000"/>
    <x v="0"/>
  </r>
  <r>
    <d v="2020-01-10T00:00:00"/>
    <s v="Netflix"/>
    <s v="Abonnement"/>
    <s v="Streaming-Dienst"/>
    <n v="-15"/>
    <s v="EUR"/>
    <x v="1"/>
    <x v="0"/>
    <x v="5"/>
    <n v="15"/>
    <x v="1"/>
  </r>
  <r>
    <d v="2020-01-11T00:00:00"/>
    <s v="Autohändler"/>
    <s v="KFZ-Zahlung"/>
    <s v="Auto-Rate"/>
    <n v="-350"/>
    <s v="EUR"/>
    <x v="2"/>
    <x v="0"/>
    <x v="5"/>
    <n v="350"/>
    <x v="1"/>
  </r>
  <r>
    <d v="2020-01-12T00:00:00"/>
    <s v="Versicherungsgesellschaft"/>
    <s v="Versicherungsprämie"/>
    <s v="Kfz-Versicherung"/>
    <n v="-120"/>
    <s v="EUR"/>
    <x v="3"/>
    <x v="0"/>
    <x v="5"/>
    <n v="120"/>
    <x v="1"/>
  </r>
  <r>
    <d v="2020-01-13T00:00:00"/>
    <s v="Supermarkt"/>
    <s v="Lebensmittel-Einkauf"/>
    <s v="Wochenendeinkauf"/>
    <n v="-80"/>
    <s v="EUR"/>
    <x v="4"/>
    <x v="0"/>
    <x v="5"/>
    <n v="80"/>
    <x v="1"/>
  </r>
  <r>
    <d v="2020-01-14T00:00:00"/>
    <s v="Arbeitgeber"/>
    <s v="Gutschrift"/>
    <s v="Lohn"/>
    <n v="1000"/>
    <s v="EUR"/>
    <x v="0"/>
    <x v="0"/>
    <x v="5"/>
    <n v="1000"/>
    <x v="0"/>
  </r>
  <r>
    <d v="2020-01-15T00:00:00"/>
    <s v="Spotify"/>
    <s v="Abonnement"/>
    <s v="Music-Streaming"/>
    <n v="-10"/>
    <s v="EUR"/>
    <x v="1"/>
    <x v="0"/>
    <x v="5"/>
    <n v="10"/>
    <x v="1"/>
  </r>
  <r>
    <d v="2020-01-16T00:00:00"/>
    <s v="Tankstelle"/>
    <s v="Kraftstoff"/>
    <s v="Auto-Tankfüllung"/>
    <n v="-65"/>
    <s v="EUR"/>
    <x v="2"/>
    <x v="0"/>
    <x v="5"/>
    <n v="65"/>
    <x v="1"/>
  </r>
  <r>
    <d v="2020-01-17T00:00:00"/>
    <s v="Versicherungsgesellschaft"/>
    <s v="Versicherungsprämie"/>
    <s v="Haftpflichtversicherung"/>
    <n v="-80"/>
    <s v="EUR"/>
    <x v="3"/>
    <x v="0"/>
    <x v="5"/>
    <n v="80"/>
    <x v="1"/>
  </r>
  <r>
    <d v="2020-01-18T00:00:00"/>
    <s v="Bäckerei"/>
    <s v="Lebensmittel-Einkauf"/>
    <s v="Brot und Gebäck"/>
    <n v="-35"/>
    <s v="EUR"/>
    <x v="4"/>
    <x v="0"/>
    <x v="5"/>
    <n v="35"/>
    <x v="1"/>
  </r>
  <r>
    <d v="2020-01-19T00:00:00"/>
    <s v="Arbeitgeber"/>
    <s v="Gutschrift"/>
    <s v="Lohn"/>
    <n v="1000"/>
    <s v="EUR"/>
    <x v="0"/>
    <x v="0"/>
    <x v="5"/>
    <n v="1000"/>
    <x v="0"/>
  </r>
  <r>
    <d v="2020-01-20T00:00:00"/>
    <s v="Arbeitgeber"/>
    <s v="Gutschrift"/>
    <s v="Lohn"/>
    <n v="1000"/>
    <s v="EUR"/>
    <x v="0"/>
    <x v="0"/>
    <x v="5"/>
    <n v="1000"/>
    <x v="0"/>
  </r>
  <r>
    <d v="2020-01-21T00:00:00"/>
    <s v="Netflix"/>
    <s v="Abonnement"/>
    <s v="Streaming-Dienst"/>
    <n v="-15"/>
    <s v="EUR"/>
    <x v="1"/>
    <x v="0"/>
    <x v="5"/>
    <n v="15"/>
    <x v="1"/>
  </r>
  <r>
    <d v="2020-01-22T00:00:00"/>
    <s v="Autohändler"/>
    <s v="KFZ-Zahlung"/>
    <s v="Auto-Rate"/>
    <n v="-350"/>
    <s v="EUR"/>
    <x v="2"/>
    <x v="0"/>
    <x v="5"/>
    <n v="350"/>
    <x v="1"/>
  </r>
  <r>
    <d v="2020-01-23T00:00:00"/>
    <s v="Versicherungsgesellschaft"/>
    <s v="Versicherungsprämie"/>
    <s v="Kfz-Versicherung"/>
    <n v="-120"/>
    <s v="EUR"/>
    <x v="3"/>
    <x v="0"/>
    <x v="5"/>
    <n v="120"/>
    <x v="1"/>
  </r>
  <r>
    <d v="2020-01-24T00:00:00"/>
    <s v="Supermarkt"/>
    <s v="Lebensmittel-Einkauf"/>
    <s v="Wochenendeinkauf"/>
    <n v="-50"/>
    <s v="EUR"/>
    <x v="4"/>
    <x v="0"/>
    <x v="5"/>
    <n v="50"/>
    <x v="1"/>
  </r>
  <r>
    <d v="2020-01-25T00:00:00"/>
    <s v="Arbeitgeber"/>
    <s v="Gutschrift"/>
    <s v="Lohn"/>
    <n v="1000"/>
    <s v="EUR"/>
    <x v="0"/>
    <x v="0"/>
    <x v="5"/>
    <n v="1000"/>
    <x v="0"/>
  </r>
  <r>
    <d v="2020-01-26T00:00:00"/>
    <s v="Spotify"/>
    <s v="Abonnement"/>
    <s v="Music-Streaming"/>
    <n v="-10"/>
    <s v="EUR"/>
    <x v="1"/>
    <x v="0"/>
    <x v="5"/>
    <n v="10"/>
    <x v="1"/>
  </r>
  <r>
    <d v="2020-01-27T00:00:00"/>
    <s v="Tankstelle"/>
    <s v="Kraftstoff"/>
    <s v="Auto-Tankfüllung"/>
    <n v="-60"/>
    <s v="EUR"/>
    <x v="2"/>
    <x v="0"/>
    <x v="5"/>
    <n v="60"/>
    <x v="1"/>
  </r>
  <r>
    <d v="2020-01-28T00:00:00"/>
    <s v="Versicherungsgesellschaft"/>
    <s v="Versicherungsprämie"/>
    <s v="Haftpflichtversicherung"/>
    <n v="-80"/>
    <s v="EUR"/>
    <x v="3"/>
    <x v="0"/>
    <x v="5"/>
    <n v="80"/>
    <x v="1"/>
  </r>
  <r>
    <d v="2020-01-29T00:00:00"/>
    <s v="Bäckerei"/>
    <s v="Lebensmittel-Einkauf"/>
    <s v="Brot und Gebäck"/>
    <n v="-20"/>
    <s v="EUR"/>
    <x v="4"/>
    <x v="0"/>
    <x v="5"/>
    <n v="20"/>
    <x v="1"/>
  </r>
  <r>
    <d v="2020-01-30T00:00:00"/>
    <s v="Arbeitgeber"/>
    <s v="Gutschrift"/>
    <s v="Lohn"/>
    <n v="1000"/>
    <s v="EUR"/>
    <x v="0"/>
    <x v="0"/>
    <x v="5"/>
    <n v="1000"/>
    <x v="0"/>
  </r>
  <r>
    <d v="2020-01-31T00:00:00"/>
    <s v="Netflix"/>
    <s v="Abonnement"/>
    <s v="Streaming-Dienst"/>
    <n v="-15"/>
    <s v="EUR"/>
    <x v="1"/>
    <x v="0"/>
    <x v="5"/>
    <n v="15"/>
    <x v="1"/>
  </r>
  <r>
    <d v="2020-02-01T00:00:00"/>
    <s v="Autohändler"/>
    <s v="KFZ-Zahlung"/>
    <s v="Auto-Rate"/>
    <n v="-350"/>
    <s v="EUR"/>
    <x v="2"/>
    <x v="1"/>
    <x v="5"/>
    <n v="350"/>
    <x v="1"/>
  </r>
  <r>
    <d v="2020-02-02T00:00:00"/>
    <s v="Versicherungsgesellschaft"/>
    <s v="Versicherungsprämie"/>
    <s v="Kfz-Versicherung"/>
    <n v="-120"/>
    <s v="EUR"/>
    <x v="3"/>
    <x v="1"/>
    <x v="5"/>
    <n v="120"/>
    <x v="1"/>
  </r>
  <r>
    <d v="2020-02-03T00:00:00"/>
    <s v="Supermarkt"/>
    <s v="Lebensmittel-Einkauf"/>
    <s v="Wochenendeinkauf"/>
    <n v="-60"/>
    <s v="EUR"/>
    <x v="4"/>
    <x v="1"/>
    <x v="5"/>
    <n v="60"/>
    <x v="1"/>
  </r>
  <r>
    <d v="2020-02-04T00:00:00"/>
    <s v="Arbeitgeber"/>
    <s v="Gutschrift"/>
    <s v="Lohn"/>
    <n v="1000"/>
    <s v="EUR"/>
    <x v="0"/>
    <x v="1"/>
    <x v="5"/>
    <n v="1000"/>
    <x v="0"/>
  </r>
  <r>
    <d v="2020-02-05T00:00:00"/>
    <s v="Spotify"/>
    <s v="Abonnement"/>
    <s v="Music-Streaming"/>
    <n v="-10"/>
    <s v="EUR"/>
    <x v="1"/>
    <x v="1"/>
    <x v="5"/>
    <n v="10"/>
    <x v="1"/>
  </r>
  <r>
    <d v="2020-02-06T00:00:00"/>
    <s v="Tankstelle"/>
    <s v="Kraftstoff"/>
    <s v="Auto-Tankfüllung"/>
    <n v="-70"/>
    <s v="EUR"/>
    <x v="2"/>
    <x v="1"/>
    <x v="5"/>
    <n v="70"/>
    <x v="1"/>
  </r>
  <r>
    <d v="2020-02-07T00:00:00"/>
    <s v="Versicherungsgesellschaft"/>
    <s v="Versicherungsprämie"/>
    <s v="Haftpflichtversicherung"/>
    <n v="-80"/>
    <s v="EUR"/>
    <x v="3"/>
    <x v="1"/>
    <x v="5"/>
    <n v="80"/>
    <x v="1"/>
  </r>
  <r>
    <d v="2020-02-08T00:00:00"/>
    <s v="Bäckerei"/>
    <s v="Lebensmittel-Einkauf"/>
    <s v="Brot und Gebäck"/>
    <n v="-25"/>
    <s v="EUR"/>
    <x v="4"/>
    <x v="1"/>
    <x v="5"/>
    <n v="25"/>
    <x v="1"/>
  </r>
  <r>
    <d v="2020-02-09T00:00:00"/>
    <s v="Arbeitgeber"/>
    <s v="Gutschrift"/>
    <s v="Lohn"/>
    <n v="1000"/>
    <s v="EUR"/>
    <x v="0"/>
    <x v="1"/>
    <x v="5"/>
    <n v="1000"/>
    <x v="0"/>
  </r>
  <r>
    <d v="2020-02-10T00:00:00"/>
    <s v="Netflix"/>
    <s v="Abonnement"/>
    <s v="Streaming-Dienst"/>
    <n v="-15"/>
    <s v="EUR"/>
    <x v="1"/>
    <x v="1"/>
    <x v="5"/>
    <n v="15"/>
    <x v="1"/>
  </r>
  <r>
    <d v="2020-02-11T00:00:00"/>
    <s v="Autohändler"/>
    <s v="KFZ-Zahlung"/>
    <s v="Auto-Rate"/>
    <n v="-350"/>
    <s v="EUR"/>
    <x v="2"/>
    <x v="1"/>
    <x v="5"/>
    <n v="350"/>
    <x v="1"/>
  </r>
  <r>
    <d v="2020-02-12T00:00:00"/>
    <s v="Versicherungsgesellschaft"/>
    <s v="Versicherungsprämie"/>
    <s v="Kfz-Versicherung"/>
    <n v="-120"/>
    <s v="EUR"/>
    <x v="3"/>
    <x v="1"/>
    <x v="5"/>
    <n v="120"/>
    <x v="1"/>
  </r>
  <r>
    <d v="2020-02-13T00:00:00"/>
    <s v="Supermarkt"/>
    <s v="Lebensmittel-Einkauf"/>
    <s v="Wochenendeinkauf"/>
    <n v="-70"/>
    <s v="EUR"/>
    <x v="4"/>
    <x v="1"/>
    <x v="5"/>
    <n v="70"/>
    <x v="1"/>
  </r>
  <r>
    <d v="2020-02-14T00:00:00"/>
    <s v="Arbeitgeber"/>
    <s v="Gutschrift"/>
    <s v="Lohn"/>
    <n v="1000"/>
    <s v="EUR"/>
    <x v="0"/>
    <x v="1"/>
    <x v="5"/>
    <n v="1000"/>
    <x v="0"/>
  </r>
  <r>
    <d v="2020-02-15T00:00:00"/>
    <s v="Spotify"/>
    <s v="Abonnement"/>
    <s v="Music-Streaming"/>
    <n v="-10"/>
    <s v="EUR"/>
    <x v="1"/>
    <x v="1"/>
    <x v="5"/>
    <n v="10"/>
    <x v="1"/>
  </r>
  <r>
    <d v="2020-02-16T00:00:00"/>
    <s v="Tankstelle"/>
    <s v="Kraftstoff"/>
    <s v="Auto-Tankfüllung"/>
    <n v="-60"/>
    <s v="EUR"/>
    <x v="2"/>
    <x v="1"/>
    <x v="5"/>
    <n v="60"/>
    <x v="1"/>
  </r>
  <r>
    <d v="2020-02-17T00:00:00"/>
    <s v="Versicherungsgesellschaft"/>
    <s v="Versicherungsprämie"/>
    <s v="Haftpflichtversicherung"/>
    <n v="-80"/>
    <s v="EUR"/>
    <x v="3"/>
    <x v="1"/>
    <x v="5"/>
    <n v="80"/>
    <x v="1"/>
  </r>
  <r>
    <d v="2020-02-18T00:00:00"/>
    <s v="Bäckerei"/>
    <s v="Lebensmittel-Einkauf"/>
    <s v="Brot und Gebäck"/>
    <n v="-30"/>
    <s v="EUR"/>
    <x v="4"/>
    <x v="1"/>
    <x v="5"/>
    <n v="30"/>
    <x v="1"/>
  </r>
  <r>
    <d v="2020-02-19T00:00:00"/>
    <s v="Arbeitgeber"/>
    <s v="Gutschrift"/>
    <s v="Lohn"/>
    <n v="1000"/>
    <s v="EUR"/>
    <x v="0"/>
    <x v="1"/>
    <x v="5"/>
    <n v="1000"/>
    <x v="0"/>
  </r>
  <r>
    <d v="2020-02-20T00:00:00"/>
    <s v="Netflix"/>
    <s v="Abonnement"/>
    <s v="Streaming-Dienst"/>
    <n v="-15"/>
    <s v="EUR"/>
    <x v="1"/>
    <x v="1"/>
    <x v="5"/>
    <n v="15"/>
    <x v="1"/>
  </r>
  <r>
    <d v="2020-02-21T00:00:00"/>
    <s v="Autohändler"/>
    <s v="KFZ-Zahlung"/>
    <s v="Auto-Rate"/>
    <n v="-350"/>
    <s v="EUR"/>
    <x v="2"/>
    <x v="1"/>
    <x v="5"/>
    <n v="350"/>
    <x v="1"/>
  </r>
  <r>
    <d v="2020-02-22T00:00:00"/>
    <s v="Versicherungsgesellschaft"/>
    <s v="Versicherungsprämie"/>
    <s v="Kfz-Versicherung"/>
    <n v="-120"/>
    <s v="EUR"/>
    <x v="3"/>
    <x v="1"/>
    <x v="5"/>
    <n v="120"/>
    <x v="1"/>
  </r>
  <r>
    <d v="2020-02-23T00:00:00"/>
    <s v="Supermarkt"/>
    <s v="Lebensmittel-Einkauf"/>
    <s v="Wochenendeinkauf"/>
    <n v="-80"/>
    <s v="EUR"/>
    <x v="4"/>
    <x v="1"/>
    <x v="5"/>
    <n v="80"/>
    <x v="1"/>
  </r>
  <r>
    <d v="2020-02-24T00:00:00"/>
    <s v="Arbeitgeber"/>
    <s v="Gutschrift"/>
    <s v="Lohn"/>
    <n v="1000"/>
    <s v="EUR"/>
    <x v="0"/>
    <x v="1"/>
    <x v="5"/>
    <n v="1000"/>
    <x v="0"/>
  </r>
  <r>
    <d v="2020-02-25T00:00:00"/>
    <s v="Spotify"/>
    <s v="Abonnement"/>
    <s v="Music-Streaming"/>
    <n v="-10"/>
    <s v="EUR"/>
    <x v="1"/>
    <x v="1"/>
    <x v="5"/>
    <n v="10"/>
    <x v="1"/>
  </r>
  <r>
    <d v="2020-02-26T00:00:00"/>
    <s v="Tankstelle"/>
    <s v="Kraftstoff"/>
    <s v="Auto-Tankfüllung"/>
    <n v="-65"/>
    <s v="EUR"/>
    <x v="2"/>
    <x v="1"/>
    <x v="5"/>
    <n v="65"/>
    <x v="1"/>
  </r>
  <r>
    <d v="2020-02-27T00:00:00"/>
    <s v="Versicherungsgesellschaft"/>
    <s v="Versicherungsprämie"/>
    <s v="Haftpflichtversicherung"/>
    <n v="-80"/>
    <s v="EUR"/>
    <x v="3"/>
    <x v="1"/>
    <x v="5"/>
    <n v="80"/>
    <x v="1"/>
  </r>
  <r>
    <d v="2020-02-28T00:00:00"/>
    <s v="Bäckerei"/>
    <s v="Lebensmittel-Einkauf"/>
    <s v="Brot und Gebäck"/>
    <n v="-35"/>
    <s v="EUR"/>
    <x v="4"/>
    <x v="1"/>
    <x v="5"/>
    <n v="35"/>
    <x v="1"/>
  </r>
  <r>
    <d v="2020-02-29T00:00:00"/>
    <s v="Arbeitgeber"/>
    <s v="Gutschrift"/>
    <s v="Lohn"/>
    <n v="1000"/>
    <s v="EUR"/>
    <x v="0"/>
    <x v="1"/>
    <x v="5"/>
    <n v="1000"/>
    <x v="0"/>
  </r>
  <r>
    <d v="2020-03-01T00:00:00"/>
    <s v="Arbeitgeber"/>
    <s v="Gutschrift"/>
    <s v="Lohn"/>
    <n v="1000"/>
    <s v="EUR"/>
    <x v="0"/>
    <x v="2"/>
    <x v="5"/>
    <n v="1000"/>
    <x v="0"/>
  </r>
  <r>
    <d v="2020-03-02T00:00:00"/>
    <s v="Netflix"/>
    <s v="Abonnement"/>
    <s v="Streaming-Dienst"/>
    <n v="-15"/>
    <s v="EUR"/>
    <x v="1"/>
    <x v="2"/>
    <x v="5"/>
    <n v="15"/>
    <x v="1"/>
  </r>
  <r>
    <d v="2020-03-03T00:00:00"/>
    <s v="Autohändler"/>
    <s v="KFZ-Zahlung"/>
    <s v="Auto-Rate"/>
    <n v="-350"/>
    <s v="EUR"/>
    <x v="2"/>
    <x v="2"/>
    <x v="5"/>
    <n v="350"/>
    <x v="1"/>
  </r>
  <r>
    <d v="2020-03-04T00:00:00"/>
    <s v="Versicherungsgesellschaft"/>
    <s v="Versicherungsprämie"/>
    <s v="Kfz-Versicherung"/>
    <n v="-120"/>
    <s v="EUR"/>
    <x v="3"/>
    <x v="2"/>
    <x v="5"/>
    <n v="120"/>
    <x v="1"/>
  </r>
  <r>
    <d v="2020-03-05T00:00:00"/>
    <s v="Supermarkt"/>
    <s v="Lebensmittel-Einkauf"/>
    <s v="Wochenendeinkauf"/>
    <n v="-50"/>
    <s v="EUR"/>
    <x v="4"/>
    <x v="2"/>
    <x v="5"/>
    <n v="50"/>
    <x v="1"/>
  </r>
  <r>
    <d v="2020-03-06T00:00:00"/>
    <s v="Arbeitgeber"/>
    <s v="Gutschrift"/>
    <s v="Lohn"/>
    <n v="1000"/>
    <s v="EUR"/>
    <x v="0"/>
    <x v="2"/>
    <x v="5"/>
    <n v="1000"/>
    <x v="0"/>
  </r>
  <r>
    <d v="2020-03-07T00:00:00"/>
    <s v="Spotify"/>
    <s v="Abonnement"/>
    <s v="Music-Streaming"/>
    <n v="-10"/>
    <s v="EUR"/>
    <x v="1"/>
    <x v="2"/>
    <x v="5"/>
    <n v="10"/>
    <x v="1"/>
  </r>
  <r>
    <d v="2020-03-08T00:00:00"/>
    <s v="Tankstelle"/>
    <s v="Kraftstoff"/>
    <s v="Auto-Tankfüllung"/>
    <n v="-60"/>
    <s v="EUR"/>
    <x v="2"/>
    <x v="2"/>
    <x v="5"/>
    <n v="60"/>
    <x v="1"/>
  </r>
  <r>
    <d v="2020-03-09T00:00:00"/>
    <s v="Versicherungsgesellschaft"/>
    <s v="Versicherungsprämie"/>
    <s v="Haftpflichtversicherung"/>
    <n v="-80"/>
    <s v="EUR"/>
    <x v="3"/>
    <x v="2"/>
    <x v="5"/>
    <n v="80"/>
    <x v="1"/>
  </r>
  <r>
    <d v="2020-03-10T00:00:00"/>
    <s v="Bäckerei"/>
    <s v="Lebensmittel-Einkauf"/>
    <s v="Brot und Gebäck"/>
    <n v="-20"/>
    <s v="EUR"/>
    <x v="4"/>
    <x v="2"/>
    <x v="5"/>
    <n v="20"/>
    <x v="1"/>
  </r>
  <r>
    <d v="2020-03-11T00:00:00"/>
    <s v="Arbeitgeber"/>
    <s v="Gutschrift"/>
    <s v="Lohn"/>
    <n v="1000"/>
    <s v="EUR"/>
    <x v="0"/>
    <x v="2"/>
    <x v="5"/>
    <n v="1000"/>
    <x v="0"/>
  </r>
  <r>
    <d v="2020-03-12T00:00:00"/>
    <s v="Netflix"/>
    <s v="Abonnement"/>
    <s v="Streaming-Dienst"/>
    <n v="-15"/>
    <s v="EUR"/>
    <x v="1"/>
    <x v="2"/>
    <x v="5"/>
    <n v="15"/>
    <x v="1"/>
  </r>
  <r>
    <d v="2020-03-13T00:00:00"/>
    <s v="Autohändler"/>
    <s v="KFZ-Zahlung"/>
    <s v="Auto-Rate"/>
    <n v="-350"/>
    <s v="EUR"/>
    <x v="2"/>
    <x v="2"/>
    <x v="5"/>
    <n v="350"/>
    <x v="1"/>
  </r>
  <r>
    <d v="2020-03-14T00:00:00"/>
    <s v="Versicherungsgesellschaft"/>
    <s v="Versicherungsprämie"/>
    <s v="Kfz-Versicherung"/>
    <n v="-120"/>
    <s v="EUR"/>
    <x v="3"/>
    <x v="2"/>
    <x v="5"/>
    <n v="120"/>
    <x v="1"/>
  </r>
  <r>
    <d v="2020-03-15T00:00:00"/>
    <s v="Supermarkt"/>
    <s v="Lebensmittel-Einkauf"/>
    <s v="Wochenendeinkauf"/>
    <n v="-60"/>
    <s v="EUR"/>
    <x v="4"/>
    <x v="2"/>
    <x v="5"/>
    <n v="60"/>
    <x v="1"/>
  </r>
  <r>
    <d v="2020-03-16T00:00:00"/>
    <s v="Arbeitgeber"/>
    <s v="Gutschrift"/>
    <s v="Lohn"/>
    <n v="1000"/>
    <s v="EUR"/>
    <x v="0"/>
    <x v="2"/>
    <x v="5"/>
    <n v="1000"/>
    <x v="0"/>
  </r>
  <r>
    <d v="2020-03-17T00:00:00"/>
    <s v="Spotify"/>
    <s v="Abonnement"/>
    <s v="Music-Streaming"/>
    <n v="-10"/>
    <s v="EUR"/>
    <x v="1"/>
    <x v="2"/>
    <x v="5"/>
    <n v="10"/>
    <x v="1"/>
  </r>
  <r>
    <d v="2020-03-18T00:00:00"/>
    <s v="Tankstelle"/>
    <s v="Kraftstoff"/>
    <s v="Auto-Tankfüllung"/>
    <n v="-70"/>
    <s v="EUR"/>
    <x v="2"/>
    <x v="2"/>
    <x v="5"/>
    <n v="70"/>
    <x v="1"/>
  </r>
  <r>
    <d v="2020-03-19T00:00:00"/>
    <s v="Versicherungsgesellschaft"/>
    <s v="Versicherungsprämie"/>
    <s v="Haftpflichtversicherung"/>
    <n v="-80"/>
    <s v="EUR"/>
    <x v="3"/>
    <x v="2"/>
    <x v="5"/>
    <n v="80"/>
    <x v="1"/>
  </r>
  <r>
    <d v="2020-03-20T00:00:00"/>
    <s v="Bäckerei"/>
    <s v="Lebensmittel-Einkauf"/>
    <s v="Brot und Gebäck"/>
    <n v="-25"/>
    <s v="EUR"/>
    <x v="4"/>
    <x v="2"/>
    <x v="5"/>
    <n v="25"/>
    <x v="1"/>
  </r>
  <r>
    <d v="2020-03-21T00:00:00"/>
    <s v="Arbeitgeber"/>
    <s v="Gutschrift"/>
    <s v="Lohn"/>
    <n v="1000"/>
    <s v="EUR"/>
    <x v="0"/>
    <x v="2"/>
    <x v="5"/>
    <n v="1000"/>
    <x v="0"/>
  </r>
  <r>
    <d v="2020-03-22T00:00:00"/>
    <s v="Netflix"/>
    <s v="Abonnement"/>
    <s v="Streaming-Dienst"/>
    <n v="-15"/>
    <s v="EUR"/>
    <x v="1"/>
    <x v="2"/>
    <x v="5"/>
    <n v="15"/>
    <x v="1"/>
  </r>
  <r>
    <d v="2020-03-23T00:00:00"/>
    <s v="Autohändler"/>
    <s v="KFZ-Zahlung"/>
    <s v="Auto-Rate"/>
    <n v="-350"/>
    <s v="EUR"/>
    <x v="2"/>
    <x v="2"/>
    <x v="5"/>
    <n v="350"/>
    <x v="1"/>
  </r>
  <r>
    <d v="2020-03-24T00:00:00"/>
    <s v="Versicherungsgesellschaft"/>
    <s v="Versicherungsprämie"/>
    <s v="Kfz-Versicherung"/>
    <n v="-120"/>
    <s v="EUR"/>
    <x v="3"/>
    <x v="2"/>
    <x v="5"/>
    <n v="120"/>
    <x v="1"/>
  </r>
  <r>
    <d v="2020-03-25T00:00:00"/>
    <s v="Supermarkt"/>
    <s v="Lebensmittel-Einkauf"/>
    <s v="Wochenendeinkauf"/>
    <n v="-70"/>
    <s v="EUR"/>
    <x v="4"/>
    <x v="2"/>
    <x v="5"/>
    <n v="70"/>
    <x v="1"/>
  </r>
  <r>
    <d v="2020-03-26T00:00:00"/>
    <s v="Arbeitgeber"/>
    <s v="Gutschrift"/>
    <s v="Lohn"/>
    <n v="1000"/>
    <s v="EUR"/>
    <x v="0"/>
    <x v="2"/>
    <x v="5"/>
    <n v="1000"/>
    <x v="0"/>
  </r>
  <r>
    <d v="2020-03-27T00:00:00"/>
    <s v="Spotify"/>
    <s v="Abonnement"/>
    <s v="Music-Streaming"/>
    <n v="-10"/>
    <s v="EUR"/>
    <x v="1"/>
    <x v="2"/>
    <x v="5"/>
    <n v="10"/>
    <x v="1"/>
  </r>
  <r>
    <d v="2020-03-28T00:00:00"/>
    <s v="Tankstelle"/>
    <s v="Kraftstoff"/>
    <s v="Auto-Tankfüllung"/>
    <n v="-60"/>
    <s v="EUR"/>
    <x v="2"/>
    <x v="2"/>
    <x v="5"/>
    <n v="60"/>
    <x v="1"/>
  </r>
  <r>
    <d v="2020-03-29T00:00:00"/>
    <s v="Versicherungsgesellschaft"/>
    <s v="Versicherungsprämie"/>
    <s v="Haftpflichtversicherung"/>
    <n v="-80"/>
    <s v="EUR"/>
    <x v="3"/>
    <x v="2"/>
    <x v="5"/>
    <n v="80"/>
    <x v="1"/>
  </r>
  <r>
    <d v="2020-03-30T00:00:00"/>
    <s v="Bäckerei"/>
    <s v="Lebensmittel-Einkauf"/>
    <s v="Brot und Gebäck"/>
    <n v="-30"/>
    <s v="EUR"/>
    <x v="4"/>
    <x v="2"/>
    <x v="5"/>
    <n v="30"/>
    <x v="1"/>
  </r>
  <r>
    <d v="2020-03-31T00:00:00"/>
    <s v="Arbeitgeber"/>
    <s v="Gutschrift"/>
    <s v="Lohn"/>
    <n v="1000"/>
    <s v="EUR"/>
    <x v="0"/>
    <x v="2"/>
    <x v="5"/>
    <n v="1000"/>
    <x v="0"/>
  </r>
  <r>
    <d v="2020-04-01T00:00:00"/>
    <s v="Netflix"/>
    <s v="Abonnement"/>
    <s v="Streaming-Dienst"/>
    <n v="-15"/>
    <s v="EUR"/>
    <x v="1"/>
    <x v="3"/>
    <x v="5"/>
    <n v="15"/>
    <x v="1"/>
  </r>
  <r>
    <d v="2020-04-02T00:00:00"/>
    <s v="Autohändler"/>
    <s v="KFZ-Zahlung"/>
    <s v="Auto-Rate"/>
    <n v="-350"/>
    <s v="EUR"/>
    <x v="2"/>
    <x v="3"/>
    <x v="5"/>
    <n v="350"/>
    <x v="1"/>
  </r>
  <r>
    <d v="2020-04-03T00:00:00"/>
    <s v="Versicherungsgesellschaft"/>
    <s v="Versicherungsprämie"/>
    <s v="Kfz-Versicherung"/>
    <n v="-120"/>
    <s v="EUR"/>
    <x v="3"/>
    <x v="3"/>
    <x v="5"/>
    <n v="120"/>
    <x v="1"/>
  </r>
  <r>
    <d v="2020-04-04T00:00:00"/>
    <s v="Supermarkt"/>
    <s v="Lebensmittel-Einkauf"/>
    <s v="Wochenendeinkauf"/>
    <n v="-80"/>
    <s v="EUR"/>
    <x v="4"/>
    <x v="3"/>
    <x v="5"/>
    <n v="80"/>
    <x v="1"/>
  </r>
  <r>
    <d v="2020-04-05T00:00:00"/>
    <s v="Arbeitgeber"/>
    <s v="Gutschrift"/>
    <s v="Lohn"/>
    <n v="1000"/>
    <s v="EUR"/>
    <x v="0"/>
    <x v="3"/>
    <x v="5"/>
    <n v="1000"/>
    <x v="0"/>
  </r>
  <r>
    <d v="2020-04-06T00:00:00"/>
    <s v="Spotify"/>
    <s v="Abonnement"/>
    <s v="Music-Streaming"/>
    <n v="-10"/>
    <s v="EUR"/>
    <x v="1"/>
    <x v="3"/>
    <x v="5"/>
    <n v="10"/>
    <x v="1"/>
  </r>
  <r>
    <d v="2020-04-07T00:00:00"/>
    <s v="Tankstelle"/>
    <s v="Kraftstoff"/>
    <s v="Auto-Tankfüllung"/>
    <n v="-65"/>
    <s v="EUR"/>
    <x v="2"/>
    <x v="3"/>
    <x v="5"/>
    <n v="65"/>
    <x v="1"/>
  </r>
  <r>
    <d v="2020-04-08T00:00:00"/>
    <s v="Versicherungsgesellschaft"/>
    <s v="Versicherungsprämie"/>
    <s v="Haftpflichtversicherung"/>
    <n v="-80"/>
    <s v="EUR"/>
    <x v="3"/>
    <x v="3"/>
    <x v="5"/>
    <n v="80"/>
    <x v="1"/>
  </r>
  <r>
    <d v="2020-04-09T00:00:00"/>
    <s v="Bäckerei"/>
    <s v="Lebensmittel-Einkauf"/>
    <s v="Brot und Gebäck"/>
    <n v="-35"/>
    <s v="EUR"/>
    <x v="4"/>
    <x v="3"/>
    <x v="5"/>
    <n v="35"/>
    <x v="1"/>
  </r>
  <r>
    <d v="2020-04-10T00:00:00"/>
    <s v="Arbeitgeber"/>
    <s v="Gutschrift"/>
    <s v="Lohn"/>
    <n v="1000"/>
    <s v="EUR"/>
    <x v="0"/>
    <x v="3"/>
    <x v="5"/>
    <n v="1000"/>
    <x v="0"/>
  </r>
  <r>
    <d v="2020-04-11T00:00:00"/>
    <s v="Arbeitgeber"/>
    <s v="Gutschrift"/>
    <s v="Lohn"/>
    <n v="1000"/>
    <s v="EUR"/>
    <x v="0"/>
    <x v="3"/>
    <x v="5"/>
    <n v="1000"/>
    <x v="0"/>
  </r>
  <r>
    <d v="2020-04-12T00:00:00"/>
    <s v="Netflix"/>
    <s v="Abonnement"/>
    <s v="Streaming-Dienst"/>
    <n v="-15"/>
    <s v="EUR"/>
    <x v="1"/>
    <x v="3"/>
    <x v="5"/>
    <n v="15"/>
    <x v="1"/>
  </r>
  <r>
    <d v="2020-04-13T00:00:00"/>
    <s v="Autohändler"/>
    <s v="KFZ-Zahlung"/>
    <s v="Auto-Rate"/>
    <n v="-350"/>
    <s v="EUR"/>
    <x v="2"/>
    <x v="3"/>
    <x v="5"/>
    <n v="350"/>
    <x v="1"/>
  </r>
  <r>
    <d v="2020-04-14T00:00:00"/>
    <s v="Versicherungsgesellschaft"/>
    <s v="Versicherungsprämie"/>
    <s v="Kfz-Versicherung"/>
    <n v="-120"/>
    <s v="EUR"/>
    <x v="3"/>
    <x v="3"/>
    <x v="5"/>
    <n v="120"/>
    <x v="1"/>
  </r>
  <r>
    <d v="2020-04-15T00:00:00"/>
    <s v="Supermarkt"/>
    <s v="Lebensmittel-Einkauf"/>
    <s v="Wochenendeinkauf"/>
    <n v="-50"/>
    <s v="EUR"/>
    <x v="4"/>
    <x v="3"/>
    <x v="5"/>
    <n v="50"/>
    <x v="1"/>
  </r>
  <r>
    <d v="2020-04-16T00:00:00"/>
    <s v="Arbeitgeber"/>
    <s v="Gutschrift"/>
    <s v="Lohn"/>
    <n v="1000"/>
    <s v="EUR"/>
    <x v="0"/>
    <x v="3"/>
    <x v="5"/>
    <n v="1000"/>
    <x v="0"/>
  </r>
  <r>
    <d v="2020-04-17T00:00:00"/>
    <s v="Spotify"/>
    <s v="Abonnement"/>
    <s v="Music-Streaming"/>
    <n v="-10"/>
    <s v="EUR"/>
    <x v="1"/>
    <x v="3"/>
    <x v="5"/>
    <n v="10"/>
    <x v="1"/>
  </r>
  <r>
    <d v="2020-04-18T00:00:00"/>
    <s v="Tankstelle"/>
    <s v="Kraftstoff"/>
    <s v="Auto-Tankfüllung"/>
    <n v="-60"/>
    <s v="EUR"/>
    <x v="2"/>
    <x v="3"/>
    <x v="5"/>
    <n v="60"/>
    <x v="1"/>
  </r>
  <r>
    <d v="2020-04-19T00:00:00"/>
    <s v="Versicherungsgesellschaft"/>
    <s v="Versicherungsprämie"/>
    <s v="Haftpflichtversicherung"/>
    <n v="-80"/>
    <s v="EUR"/>
    <x v="3"/>
    <x v="3"/>
    <x v="5"/>
    <n v="80"/>
    <x v="1"/>
  </r>
  <r>
    <d v="2020-04-20T00:00:00"/>
    <s v="Bäckerei"/>
    <s v="Lebensmittel-Einkauf"/>
    <s v="Brot und Gebäck"/>
    <n v="-20"/>
    <s v="EUR"/>
    <x v="4"/>
    <x v="3"/>
    <x v="5"/>
    <n v="20"/>
    <x v="1"/>
  </r>
  <r>
    <d v="2020-04-21T00:00:00"/>
    <s v="Arbeitgeber"/>
    <s v="Gutschrift"/>
    <s v="Lohn"/>
    <n v="1000"/>
    <s v="EUR"/>
    <x v="0"/>
    <x v="3"/>
    <x v="5"/>
    <n v="1000"/>
    <x v="0"/>
  </r>
  <r>
    <d v="2020-04-22T00:00:00"/>
    <s v="Netflix"/>
    <s v="Abonnement"/>
    <s v="Streaming-Dienst"/>
    <n v="-15"/>
    <s v="EUR"/>
    <x v="1"/>
    <x v="3"/>
    <x v="5"/>
    <n v="15"/>
    <x v="1"/>
  </r>
  <r>
    <d v="2020-04-23T00:00:00"/>
    <s v="Autohändler"/>
    <s v="KFZ-Zahlung"/>
    <s v="Auto-Rate"/>
    <n v="-350"/>
    <s v="EUR"/>
    <x v="2"/>
    <x v="3"/>
    <x v="5"/>
    <n v="350"/>
    <x v="1"/>
  </r>
  <r>
    <d v="2020-04-24T00:00:00"/>
    <s v="Versicherungsgesellschaft"/>
    <s v="Versicherungsprämie"/>
    <s v="Kfz-Versicherung"/>
    <n v="-120"/>
    <s v="EUR"/>
    <x v="3"/>
    <x v="3"/>
    <x v="5"/>
    <n v="120"/>
    <x v="1"/>
  </r>
  <r>
    <d v="2020-04-25T00:00:00"/>
    <s v="Supermarkt"/>
    <s v="Lebensmittel-Einkauf"/>
    <s v="Wochenendeinkauf"/>
    <n v="-60"/>
    <s v="EUR"/>
    <x v="4"/>
    <x v="3"/>
    <x v="5"/>
    <n v="60"/>
    <x v="1"/>
  </r>
  <r>
    <d v="2020-04-26T00:00:00"/>
    <s v="Arbeitgeber"/>
    <s v="Gutschrift"/>
    <s v="Lohn"/>
    <n v="1000"/>
    <s v="EUR"/>
    <x v="0"/>
    <x v="3"/>
    <x v="5"/>
    <n v="1000"/>
    <x v="0"/>
  </r>
  <r>
    <d v="2020-04-27T00:00:00"/>
    <s v="Spotify"/>
    <s v="Abonnement"/>
    <s v="Music-Streaming"/>
    <n v="-10"/>
    <s v="EUR"/>
    <x v="1"/>
    <x v="3"/>
    <x v="5"/>
    <n v="10"/>
    <x v="1"/>
  </r>
  <r>
    <d v="2020-04-28T00:00:00"/>
    <s v="Tankstelle"/>
    <s v="Kraftstoff"/>
    <s v="Auto-Tankfüllung"/>
    <n v="-70"/>
    <s v="EUR"/>
    <x v="2"/>
    <x v="3"/>
    <x v="5"/>
    <n v="70"/>
    <x v="1"/>
  </r>
  <r>
    <d v="2020-04-29T00:00:00"/>
    <s v="Versicherungsgesellschaft"/>
    <s v="Versicherungsprämie"/>
    <s v="Haftpflichtversicherung"/>
    <n v="-80"/>
    <s v="EUR"/>
    <x v="3"/>
    <x v="3"/>
    <x v="5"/>
    <n v="80"/>
    <x v="1"/>
  </r>
  <r>
    <d v="2020-04-30T00:00:00"/>
    <s v="Bäckerei"/>
    <s v="Lebensmittel-Einkauf"/>
    <s v="Brot und Gebäck"/>
    <n v="-25"/>
    <s v="EUR"/>
    <x v="4"/>
    <x v="3"/>
    <x v="5"/>
    <n v="25"/>
    <x v="1"/>
  </r>
  <r>
    <d v="2020-05-01T00:00:00"/>
    <s v="Arbeitgeber"/>
    <s v="Gutschrift"/>
    <s v="Lohn"/>
    <n v="1000"/>
    <s v="EUR"/>
    <x v="0"/>
    <x v="4"/>
    <x v="5"/>
    <n v="1000"/>
    <x v="0"/>
  </r>
  <r>
    <d v="2020-05-02T00:00:00"/>
    <s v="Netflix"/>
    <s v="Abonnement"/>
    <s v="Streaming-Dienst"/>
    <n v="-15"/>
    <s v="EUR"/>
    <x v="1"/>
    <x v="4"/>
    <x v="5"/>
    <n v="15"/>
    <x v="1"/>
  </r>
  <r>
    <d v="2020-05-03T00:00:00"/>
    <s v="Autohändler"/>
    <s v="KFZ-Zahlung"/>
    <s v="Auto-Rate"/>
    <n v="-350"/>
    <s v="EUR"/>
    <x v="2"/>
    <x v="4"/>
    <x v="5"/>
    <n v="350"/>
    <x v="1"/>
  </r>
  <r>
    <d v="2020-05-04T00:00:00"/>
    <s v="Versicherungsgesellschaft"/>
    <s v="Versicherungsprämie"/>
    <s v="Kfz-Versicherung"/>
    <n v="-120"/>
    <s v="EUR"/>
    <x v="3"/>
    <x v="4"/>
    <x v="5"/>
    <n v="120"/>
    <x v="1"/>
  </r>
  <r>
    <d v="2020-05-05T00:00:00"/>
    <s v="Supermarkt"/>
    <s v="Lebensmittel-Einkauf"/>
    <s v="Wochenendeinkauf"/>
    <n v="-70"/>
    <s v="EUR"/>
    <x v="4"/>
    <x v="4"/>
    <x v="5"/>
    <n v="70"/>
    <x v="1"/>
  </r>
  <r>
    <d v="2020-05-06T00:00:00"/>
    <s v="Arbeitgeber"/>
    <s v="Gutschrift"/>
    <s v="Lohn"/>
    <n v="1000"/>
    <s v="EUR"/>
    <x v="0"/>
    <x v="4"/>
    <x v="5"/>
    <n v="1000"/>
    <x v="0"/>
  </r>
  <r>
    <d v="2020-05-07T00:00:00"/>
    <s v="Spotify"/>
    <s v="Abonnement"/>
    <s v="Music-Streaming"/>
    <n v="-10"/>
    <s v="EUR"/>
    <x v="1"/>
    <x v="4"/>
    <x v="5"/>
    <n v="10"/>
    <x v="1"/>
  </r>
  <r>
    <d v="2020-05-08T00:00:00"/>
    <s v="Tankstelle"/>
    <s v="Kraftstoff"/>
    <s v="Auto-Tankfüllung"/>
    <n v="-60"/>
    <s v="EUR"/>
    <x v="2"/>
    <x v="4"/>
    <x v="5"/>
    <n v="60"/>
    <x v="1"/>
  </r>
  <r>
    <d v="2020-05-09T00:00:00"/>
    <s v="Versicherungsgesellschaft"/>
    <s v="Versicherungsprämie"/>
    <s v="Haftpflichtversicherung"/>
    <n v="-80"/>
    <s v="EUR"/>
    <x v="3"/>
    <x v="4"/>
    <x v="5"/>
    <n v="80"/>
    <x v="1"/>
  </r>
  <r>
    <d v="2020-05-10T00:00:00"/>
    <s v="Bäckerei"/>
    <s v="Lebensmittel-Einkauf"/>
    <s v="Brot und Gebäck"/>
    <n v="-30"/>
    <s v="EUR"/>
    <x v="4"/>
    <x v="4"/>
    <x v="5"/>
    <n v="30"/>
    <x v="1"/>
  </r>
  <r>
    <d v="2020-05-11T00:00:00"/>
    <s v="Arbeitgeber"/>
    <s v="Gutschrift"/>
    <s v="Lohn"/>
    <n v="1000"/>
    <s v="EUR"/>
    <x v="0"/>
    <x v="4"/>
    <x v="5"/>
    <n v="1000"/>
    <x v="0"/>
  </r>
  <r>
    <d v="2020-05-12T00:00:00"/>
    <s v="Netflix"/>
    <s v="Abonnement"/>
    <s v="Streaming-Dienst"/>
    <n v="-15"/>
    <s v="EUR"/>
    <x v="1"/>
    <x v="4"/>
    <x v="5"/>
    <n v="15"/>
    <x v="1"/>
  </r>
  <r>
    <d v="2020-05-13T00:00:00"/>
    <s v="Autohändler"/>
    <s v="KFZ-Zahlung"/>
    <s v="Auto-Rate"/>
    <n v="-350"/>
    <s v="EUR"/>
    <x v="2"/>
    <x v="4"/>
    <x v="5"/>
    <n v="350"/>
    <x v="1"/>
  </r>
  <r>
    <d v="2020-05-14T00:00:00"/>
    <s v="Versicherungsgesellschaft"/>
    <s v="Versicherungsprämie"/>
    <s v="Kfz-Versicherung"/>
    <n v="-120"/>
    <s v="EUR"/>
    <x v="3"/>
    <x v="4"/>
    <x v="5"/>
    <n v="120"/>
    <x v="1"/>
  </r>
  <r>
    <d v="2020-05-15T00:00:00"/>
    <s v="Supermarkt"/>
    <s v="Lebensmittel-Einkauf"/>
    <s v="Wochenendeinkauf"/>
    <n v="-80"/>
    <s v="EUR"/>
    <x v="4"/>
    <x v="4"/>
    <x v="5"/>
    <n v="80"/>
    <x v="1"/>
  </r>
  <r>
    <d v="2020-05-16T00:00:00"/>
    <s v="Arbeitgeber"/>
    <s v="Gutschrift"/>
    <s v="Lohn"/>
    <n v="1000"/>
    <s v="EUR"/>
    <x v="0"/>
    <x v="4"/>
    <x v="5"/>
    <n v="1000"/>
    <x v="0"/>
  </r>
  <r>
    <d v="2020-05-17T00:00:00"/>
    <s v="Spotify"/>
    <s v="Abonnement"/>
    <s v="Music-Streaming"/>
    <n v="-10"/>
    <s v="EUR"/>
    <x v="1"/>
    <x v="4"/>
    <x v="5"/>
    <n v="10"/>
    <x v="1"/>
  </r>
  <r>
    <d v="2020-05-18T00:00:00"/>
    <s v="Tankstelle"/>
    <s v="Kraftstoff"/>
    <s v="Auto-Tankfüllung"/>
    <n v="-65"/>
    <s v="EUR"/>
    <x v="2"/>
    <x v="4"/>
    <x v="5"/>
    <n v="65"/>
    <x v="1"/>
  </r>
  <r>
    <d v="2020-05-19T00:00:00"/>
    <s v="Versicherungsgesellschaft"/>
    <s v="Versicherungsprämie"/>
    <s v="Haftpflichtversicherung"/>
    <n v="-80"/>
    <s v="EUR"/>
    <x v="3"/>
    <x v="4"/>
    <x v="5"/>
    <n v="80"/>
    <x v="1"/>
  </r>
  <r>
    <d v="2020-05-20T00:00:00"/>
    <s v="Bäckerei"/>
    <s v="Lebensmittel-Einkauf"/>
    <s v="Brot und Gebäck"/>
    <n v="-35"/>
    <s v="EUR"/>
    <x v="4"/>
    <x v="4"/>
    <x v="5"/>
    <n v="35"/>
    <x v="1"/>
  </r>
  <r>
    <d v="2020-05-21T00:00:00"/>
    <s v="Arbeitgeber"/>
    <s v="Gutschrift"/>
    <s v="Lohn"/>
    <n v="1000"/>
    <s v="EUR"/>
    <x v="0"/>
    <x v="4"/>
    <x v="5"/>
    <n v="1000"/>
    <x v="0"/>
  </r>
  <r>
    <d v="2020-05-22T00:00:00"/>
    <s v="Arbeitgeber"/>
    <s v="Gutschrift"/>
    <s v="Lohn"/>
    <n v="1000"/>
    <s v="EUR"/>
    <x v="0"/>
    <x v="4"/>
    <x v="5"/>
    <n v="1000"/>
    <x v="0"/>
  </r>
  <r>
    <d v="2020-05-23T00:00:00"/>
    <s v="Netflix"/>
    <s v="Abonnement"/>
    <s v="Streaming-Dienst"/>
    <n v="-15"/>
    <s v="EUR"/>
    <x v="1"/>
    <x v="4"/>
    <x v="5"/>
    <n v="15"/>
    <x v="1"/>
  </r>
  <r>
    <d v="2020-05-24T00:00:00"/>
    <s v="Autohändler"/>
    <s v="KFZ-Zahlung"/>
    <s v="Auto-Rate"/>
    <n v="-350"/>
    <s v="EUR"/>
    <x v="2"/>
    <x v="4"/>
    <x v="5"/>
    <n v="350"/>
    <x v="1"/>
  </r>
  <r>
    <d v="2020-05-25T00:00:00"/>
    <s v="Versicherungsgesellschaft"/>
    <s v="Versicherungsprämie"/>
    <s v="Kfz-Versicherung"/>
    <n v="-120"/>
    <s v="EUR"/>
    <x v="3"/>
    <x v="4"/>
    <x v="5"/>
    <n v="120"/>
    <x v="1"/>
  </r>
  <r>
    <d v="2020-05-26T00:00:00"/>
    <s v="Supermarkt"/>
    <s v="Lebensmittel-Einkauf"/>
    <s v="Wochenendeinkauf"/>
    <n v="-50"/>
    <s v="EUR"/>
    <x v="4"/>
    <x v="4"/>
    <x v="5"/>
    <n v="50"/>
    <x v="1"/>
  </r>
  <r>
    <d v="2020-05-27T00:00:00"/>
    <s v="Arbeitgeber"/>
    <s v="Gutschrift"/>
    <s v="Lohn"/>
    <n v="1000"/>
    <s v="EUR"/>
    <x v="0"/>
    <x v="4"/>
    <x v="5"/>
    <n v="1000"/>
    <x v="0"/>
  </r>
  <r>
    <d v="2020-05-28T00:00:00"/>
    <s v="Spotify"/>
    <s v="Abonnement"/>
    <s v="Music-Streaming"/>
    <n v="-10"/>
    <s v="EUR"/>
    <x v="1"/>
    <x v="4"/>
    <x v="5"/>
    <n v="10"/>
    <x v="1"/>
  </r>
  <r>
    <d v="2020-05-29T00:00:00"/>
    <s v="Tankstelle"/>
    <s v="Kraftstoff"/>
    <s v="Auto-Tankfüllung"/>
    <n v="-60"/>
    <s v="EUR"/>
    <x v="2"/>
    <x v="4"/>
    <x v="5"/>
    <n v="60"/>
    <x v="1"/>
  </r>
  <r>
    <d v="2020-05-30T00:00:00"/>
    <s v="Versicherungsgesellschaft"/>
    <s v="Versicherungsprämie"/>
    <s v="Haftpflichtversicherung"/>
    <n v="-80"/>
    <s v="EUR"/>
    <x v="3"/>
    <x v="4"/>
    <x v="5"/>
    <n v="80"/>
    <x v="1"/>
  </r>
  <r>
    <d v="2020-05-31T00:00:00"/>
    <s v="Bäckerei"/>
    <s v="Lebensmittel-Einkauf"/>
    <s v="Brot und Gebäck"/>
    <n v="-20"/>
    <s v="EUR"/>
    <x v="4"/>
    <x v="4"/>
    <x v="5"/>
    <n v="20"/>
    <x v="1"/>
  </r>
  <r>
    <d v="2020-06-01T00:00:00"/>
    <s v="Arbeitgeber"/>
    <s v="Gutschrift"/>
    <s v="Lohn"/>
    <n v="1000"/>
    <s v="EUR"/>
    <x v="0"/>
    <x v="5"/>
    <x v="5"/>
    <n v="1000"/>
    <x v="0"/>
  </r>
  <r>
    <d v="2020-06-02T00:00:00"/>
    <s v="Netflix"/>
    <s v="Abonnement"/>
    <s v="Streaming-Dienst"/>
    <n v="-15"/>
    <s v="EUR"/>
    <x v="1"/>
    <x v="5"/>
    <x v="5"/>
    <n v="15"/>
    <x v="1"/>
  </r>
  <r>
    <d v="2020-06-03T00:00:00"/>
    <s v="Autohändler"/>
    <s v="KFZ-Zahlung"/>
    <s v="Auto-Rate"/>
    <n v="-350"/>
    <s v="EUR"/>
    <x v="2"/>
    <x v="5"/>
    <x v="5"/>
    <n v="350"/>
    <x v="1"/>
  </r>
  <r>
    <d v="2020-06-04T00:00:00"/>
    <s v="Versicherungsgesellschaft"/>
    <s v="Versicherungsprämie"/>
    <s v="Kfz-Versicherung"/>
    <n v="-120"/>
    <s v="EUR"/>
    <x v="3"/>
    <x v="5"/>
    <x v="5"/>
    <n v="120"/>
    <x v="1"/>
  </r>
  <r>
    <d v="2020-06-05T00:00:00"/>
    <s v="Supermarkt"/>
    <s v="Lebensmittel-Einkauf"/>
    <s v="Wochenendeinkauf"/>
    <n v="-60"/>
    <s v="EUR"/>
    <x v="4"/>
    <x v="5"/>
    <x v="5"/>
    <n v="60"/>
    <x v="1"/>
  </r>
  <r>
    <d v="2020-06-06T00:00:00"/>
    <s v="Arbeitgeber"/>
    <s v="Gutschrift"/>
    <s v="Lohn"/>
    <n v="1000"/>
    <s v="EUR"/>
    <x v="0"/>
    <x v="5"/>
    <x v="5"/>
    <n v="1000"/>
    <x v="0"/>
  </r>
  <r>
    <d v="2020-06-07T00:00:00"/>
    <s v="Spotify"/>
    <s v="Abonnement"/>
    <s v="Music-Streaming"/>
    <n v="-10"/>
    <s v="EUR"/>
    <x v="1"/>
    <x v="5"/>
    <x v="5"/>
    <n v="10"/>
    <x v="1"/>
  </r>
  <r>
    <d v="2020-06-08T00:00:00"/>
    <s v="Tankstelle"/>
    <s v="Kraftstoff"/>
    <s v="Auto-Tankfüllung"/>
    <n v="-70"/>
    <s v="EUR"/>
    <x v="2"/>
    <x v="5"/>
    <x v="5"/>
    <n v="70"/>
    <x v="1"/>
  </r>
  <r>
    <d v="2020-06-09T00:00:00"/>
    <s v="Versicherungsgesellschaft"/>
    <s v="Versicherungsprämie"/>
    <s v="Haftpflichtversicherung"/>
    <n v="-80"/>
    <s v="EUR"/>
    <x v="3"/>
    <x v="5"/>
    <x v="5"/>
    <n v="80"/>
    <x v="1"/>
  </r>
  <r>
    <d v="2020-06-10T00:00:00"/>
    <s v="Bäckerei"/>
    <s v="Lebensmittel-Einkauf"/>
    <s v="Brot und Gebäck"/>
    <n v="-25"/>
    <s v="EUR"/>
    <x v="4"/>
    <x v="5"/>
    <x v="5"/>
    <n v="25"/>
    <x v="1"/>
  </r>
  <r>
    <d v="2020-06-11T00:00:00"/>
    <s v="Arbeitgeber"/>
    <s v="Gutschrift"/>
    <s v="Lohn"/>
    <n v="1000"/>
    <s v="EUR"/>
    <x v="0"/>
    <x v="5"/>
    <x v="5"/>
    <n v="1000"/>
    <x v="0"/>
  </r>
  <r>
    <d v="2020-06-12T00:00:00"/>
    <s v="Netflix"/>
    <s v="Abonnement"/>
    <s v="Streaming-Dienst"/>
    <n v="-15"/>
    <s v="EUR"/>
    <x v="1"/>
    <x v="5"/>
    <x v="5"/>
    <n v="15"/>
    <x v="1"/>
  </r>
  <r>
    <d v="2020-06-13T00:00:00"/>
    <s v="Autohändler"/>
    <s v="KFZ-Zahlung"/>
    <s v="Auto-Rate"/>
    <n v="-350"/>
    <s v="EUR"/>
    <x v="2"/>
    <x v="5"/>
    <x v="5"/>
    <n v="350"/>
    <x v="1"/>
  </r>
  <r>
    <d v="2020-06-14T00:00:00"/>
    <s v="Versicherungsgesellschaft"/>
    <s v="Versicherungsprämie"/>
    <s v="Kfz-Versicherung"/>
    <n v="-120"/>
    <s v="EUR"/>
    <x v="3"/>
    <x v="5"/>
    <x v="5"/>
    <n v="120"/>
    <x v="1"/>
  </r>
  <r>
    <d v="2020-06-15T00:00:00"/>
    <s v="Supermarkt"/>
    <s v="Lebensmittel-Einkauf"/>
    <s v="Wochenendeinkauf"/>
    <n v="-70"/>
    <s v="EUR"/>
    <x v="4"/>
    <x v="5"/>
    <x v="5"/>
    <n v="70"/>
    <x v="1"/>
  </r>
  <r>
    <d v="2020-06-16T00:00:00"/>
    <s v="Arbeitgeber"/>
    <s v="Gutschrift"/>
    <s v="Lohn"/>
    <n v="1000"/>
    <s v="EUR"/>
    <x v="0"/>
    <x v="5"/>
    <x v="5"/>
    <n v="1000"/>
    <x v="0"/>
  </r>
  <r>
    <d v="2020-06-17T00:00:00"/>
    <s v="Spotify"/>
    <s v="Abonnement"/>
    <s v="Music-Streaming"/>
    <n v="-10"/>
    <s v="EUR"/>
    <x v="1"/>
    <x v="5"/>
    <x v="5"/>
    <n v="10"/>
    <x v="1"/>
  </r>
  <r>
    <d v="2020-06-18T00:00:00"/>
    <s v="Tankstelle"/>
    <s v="Kraftstoff"/>
    <s v="Auto-Tankfüllung"/>
    <n v="-60"/>
    <s v="EUR"/>
    <x v="2"/>
    <x v="5"/>
    <x v="5"/>
    <n v="60"/>
    <x v="1"/>
  </r>
  <r>
    <d v="2020-06-19T00:00:00"/>
    <s v="Versicherungsgesellschaft"/>
    <s v="Versicherungsprämie"/>
    <s v="Haftpflichtversicherung"/>
    <n v="-80"/>
    <s v="EUR"/>
    <x v="3"/>
    <x v="5"/>
    <x v="5"/>
    <n v="80"/>
    <x v="1"/>
  </r>
  <r>
    <d v="2020-06-20T00:00:00"/>
    <s v="Bäckerei"/>
    <s v="Lebensmittel-Einkauf"/>
    <s v="Brot und Gebäck"/>
    <n v="-30"/>
    <s v="EUR"/>
    <x v="4"/>
    <x v="5"/>
    <x v="5"/>
    <n v="30"/>
    <x v="1"/>
  </r>
  <r>
    <d v="2020-06-21T00:00:00"/>
    <s v="Arbeitgeber"/>
    <s v="Gutschrift"/>
    <s v="Lohn"/>
    <n v="1000"/>
    <s v="EUR"/>
    <x v="0"/>
    <x v="5"/>
    <x v="5"/>
    <n v="1000"/>
    <x v="0"/>
  </r>
  <r>
    <d v="2020-06-22T00:00:00"/>
    <s v="Netflix"/>
    <s v="Abonnement"/>
    <s v="Streaming-Dienst"/>
    <n v="-15"/>
    <s v="EUR"/>
    <x v="1"/>
    <x v="5"/>
    <x v="5"/>
    <n v="15"/>
    <x v="1"/>
  </r>
  <r>
    <d v="2020-06-23T00:00:00"/>
    <s v="Autohändler"/>
    <s v="KFZ-Zahlung"/>
    <s v="Auto-Rate"/>
    <n v="-350"/>
    <s v="EUR"/>
    <x v="2"/>
    <x v="5"/>
    <x v="5"/>
    <n v="350"/>
    <x v="1"/>
  </r>
  <r>
    <d v="2020-06-24T00:00:00"/>
    <s v="Versicherungsgesellschaft"/>
    <s v="Versicherungsprämie"/>
    <s v="Kfz-Versicherung"/>
    <n v="-120"/>
    <s v="EUR"/>
    <x v="3"/>
    <x v="5"/>
    <x v="5"/>
    <n v="120"/>
    <x v="1"/>
  </r>
  <r>
    <d v="2020-06-25T00:00:00"/>
    <s v="Supermarkt"/>
    <s v="Lebensmittel-Einkauf"/>
    <s v="Wochenendeinkauf"/>
    <n v="-80"/>
    <s v="EUR"/>
    <x v="4"/>
    <x v="5"/>
    <x v="5"/>
    <n v="80"/>
    <x v="1"/>
  </r>
  <r>
    <d v="2020-06-26T00:00:00"/>
    <s v="Arbeitgeber"/>
    <s v="Gutschrift"/>
    <s v="Lohn"/>
    <n v="1000"/>
    <s v="EUR"/>
    <x v="0"/>
    <x v="5"/>
    <x v="5"/>
    <n v="1000"/>
    <x v="0"/>
  </r>
  <r>
    <d v="2020-06-27T00:00:00"/>
    <s v="Spotify"/>
    <s v="Abonnement"/>
    <s v="Music-Streaming"/>
    <n v="-10"/>
    <s v="EUR"/>
    <x v="1"/>
    <x v="5"/>
    <x v="5"/>
    <n v="10"/>
    <x v="1"/>
  </r>
  <r>
    <d v="2020-06-28T00:00:00"/>
    <s v="Tankstelle"/>
    <s v="Kraftstoff"/>
    <s v="Auto-Tankfüllung"/>
    <n v="-65"/>
    <s v="EUR"/>
    <x v="2"/>
    <x v="5"/>
    <x v="5"/>
    <n v="65"/>
    <x v="1"/>
  </r>
  <r>
    <d v="2020-06-29T00:00:00"/>
    <s v="Versicherungsgesellschaft"/>
    <s v="Versicherungsprämie"/>
    <s v="Haftpflichtversicherung"/>
    <n v="-80"/>
    <s v="EUR"/>
    <x v="3"/>
    <x v="5"/>
    <x v="5"/>
    <n v="80"/>
    <x v="1"/>
  </r>
  <r>
    <d v="2020-06-30T00:00:00"/>
    <s v="Bäckerei"/>
    <s v="Lebensmittel-Einkauf"/>
    <s v="Brot und Gebäck"/>
    <n v="-35"/>
    <s v="EUR"/>
    <x v="4"/>
    <x v="5"/>
    <x v="5"/>
    <n v="35"/>
    <x v="1"/>
  </r>
  <r>
    <d v="2020-07-01T00:00:00"/>
    <s v="Arbeitgeber"/>
    <s v="Gutschrift"/>
    <s v="Lohn"/>
    <n v="1000"/>
    <s v="EUR"/>
    <x v="0"/>
    <x v="6"/>
    <x v="5"/>
    <n v="1000"/>
    <x v="0"/>
  </r>
  <r>
    <d v="2020-07-02T00:00:00"/>
    <s v="Arbeitgeber"/>
    <s v="Gutschrift"/>
    <s v="Lohn"/>
    <n v="1000"/>
    <s v="EUR"/>
    <x v="0"/>
    <x v="6"/>
    <x v="5"/>
    <n v="1000"/>
    <x v="0"/>
  </r>
  <r>
    <d v="2020-07-03T00:00:00"/>
    <s v="Netflix"/>
    <s v="Abonnement"/>
    <s v="Streaming-Dienst"/>
    <n v="-15"/>
    <s v="EUR"/>
    <x v="1"/>
    <x v="6"/>
    <x v="5"/>
    <n v="15"/>
    <x v="1"/>
  </r>
  <r>
    <d v="2020-07-04T00:00:00"/>
    <s v="Autohändler"/>
    <s v="KFZ-Zahlung"/>
    <s v="Auto-Rate"/>
    <n v="-350"/>
    <s v="EUR"/>
    <x v="2"/>
    <x v="6"/>
    <x v="5"/>
    <n v="350"/>
    <x v="1"/>
  </r>
  <r>
    <d v="2020-07-05T00:00:00"/>
    <s v="Versicherungsgesellschaft"/>
    <s v="Versicherungsprämie"/>
    <s v="Kfz-Versicherung"/>
    <n v="-120"/>
    <s v="EUR"/>
    <x v="3"/>
    <x v="6"/>
    <x v="5"/>
    <n v="120"/>
    <x v="1"/>
  </r>
  <r>
    <d v="2020-07-06T00:00:00"/>
    <s v="Supermarkt"/>
    <s v="Lebensmittel-Einkauf"/>
    <s v="Wochenendeinkauf"/>
    <n v="-50"/>
    <s v="EUR"/>
    <x v="4"/>
    <x v="6"/>
    <x v="5"/>
    <n v="50"/>
    <x v="1"/>
  </r>
  <r>
    <d v="2020-07-07T00:00:00"/>
    <s v="Arbeitgeber"/>
    <s v="Gutschrift"/>
    <s v="Lohn"/>
    <n v="1000"/>
    <s v="EUR"/>
    <x v="0"/>
    <x v="6"/>
    <x v="5"/>
    <n v="1000"/>
    <x v="0"/>
  </r>
  <r>
    <d v="2020-07-08T00:00:00"/>
    <s v="Spotify"/>
    <s v="Abonnement"/>
    <s v="Music-Streaming"/>
    <n v="-10"/>
    <s v="EUR"/>
    <x v="1"/>
    <x v="6"/>
    <x v="5"/>
    <n v="10"/>
    <x v="1"/>
  </r>
  <r>
    <d v="2020-07-09T00:00:00"/>
    <s v="Tankstelle"/>
    <s v="Kraftstoff"/>
    <s v="Auto-Tankfüllung"/>
    <n v="-60"/>
    <s v="EUR"/>
    <x v="2"/>
    <x v="6"/>
    <x v="5"/>
    <n v="60"/>
    <x v="1"/>
  </r>
  <r>
    <d v="2020-07-10T00:00:00"/>
    <s v="Versicherungsgesellschaft"/>
    <s v="Versicherungsprämie"/>
    <s v="Haftpflichtversicherung"/>
    <n v="-80"/>
    <s v="EUR"/>
    <x v="3"/>
    <x v="6"/>
    <x v="5"/>
    <n v="80"/>
    <x v="1"/>
  </r>
  <r>
    <d v="2020-07-11T00:00:00"/>
    <s v="Bäckerei"/>
    <s v="Lebensmittel-Einkauf"/>
    <s v="Brot und Gebäck"/>
    <n v="-20"/>
    <s v="EUR"/>
    <x v="4"/>
    <x v="6"/>
    <x v="5"/>
    <n v="20"/>
    <x v="1"/>
  </r>
  <r>
    <d v="2020-07-12T00:00:00"/>
    <s v="Arbeitgeber"/>
    <s v="Gutschrift"/>
    <s v="Lohn"/>
    <n v="1000"/>
    <s v="EUR"/>
    <x v="0"/>
    <x v="6"/>
    <x v="5"/>
    <n v="1000"/>
    <x v="0"/>
  </r>
  <r>
    <d v="2020-07-13T00:00:00"/>
    <s v="Netflix"/>
    <s v="Abonnement"/>
    <s v="Streaming-Dienst"/>
    <n v="-15"/>
    <s v="EUR"/>
    <x v="1"/>
    <x v="6"/>
    <x v="5"/>
    <n v="15"/>
    <x v="1"/>
  </r>
  <r>
    <d v="2020-07-14T00:00:00"/>
    <s v="Autohändler"/>
    <s v="KFZ-Zahlung"/>
    <s v="Auto-Rate"/>
    <n v="-350"/>
    <s v="EUR"/>
    <x v="2"/>
    <x v="6"/>
    <x v="5"/>
    <n v="350"/>
    <x v="1"/>
  </r>
  <r>
    <d v="2020-07-15T00:00:00"/>
    <s v="Versicherungsgesellschaft"/>
    <s v="Versicherungsprämie"/>
    <s v="Kfz-Versicherung"/>
    <n v="-120"/>
    <s v="EUR"/>
    <x v="3"/>
    <x v="6"/>
    <x v="5"/>
    <n v="120"/>
    <x v="1"/>
  </r>
  <r>
    <d v="2020-07-16T00:00:00"/>
    <s v="Supermarkt"/>
    <s v="Lebensmittel-Einkauf"/>
    <s v="Wochenendeinkauf"/>
    <n v="-60"/>
    <s v="EUR"/>
    <x v="4"/>
    <x v="6"/>
    <x v="5"/>
    <n v="60"/>
    <x v="1"/>
  </r>
  <r>
    <d v="2020-07-17T00:00:00"/>
    <s v="Arbeitgeber"/>
    <s v="Gutschrift"/>
    <s v="Lohn"/>
    <n v="1000"/>
    <s v="EUR"/>
    <x v="0"/>
    <x v="6"/>
    <x v="5"/>
    <n v="1000"/>
    <x v="0"/>
  </r>
  <r>
    <d v="2020-07-18T00:00:00"/>
    <s v="Spotify"/>
    <s v="Abonnement"/>
    <s v="Music-Streaming"/>
    <n v="-10"/>
    <s v="EUR"/>
    <x v="1"/>
    <x v="6"/>
    <x v="5"/>
    <n v="10"/>
    <x v="1"/>
  </r>
  <r>
    <d v="2020-07-19T00:00:00"/>
    <s v="Tankstelle"/>
    <s v="Kraftstoff"/>
    <s v="Auto-Tankfüllung"/>
    <n v="-70"/>
    <s v="EUR"/>
    <x v="2"/>
    <x v="6"/>
    <x v="5"/>
    <n v="70"/>
    <x v="1"/>
  </r>
  <r>
    <d v="2020-07-20T00:00:00"/>
    <s v="Versicherungsgesellschaft"/>
    <s v="Versicherungsprämie"/>
    <s v="Haftpflichtversicherung"/>
    <n v="-80"/>
    <s v="EUR"/>
    <x v="3"/>
    <x v="6"/>
    <x v="5"/>
    <n v="80"/>
    <x v="1"/>
  </r>
  <r>
    <d v="2020-07-21T00:00:00"/>
    <s v="Bäckerei"/>
    <s v="Lebensmittel-Einkauf"/>
    <s v="Brot und Gebäck"/>
    <n v="-25"/>
    <s v="EUR"/>
    <x v="4"/>
    <x v="6"/>
    <x v="5"/>
    <n v="25"/>
    <x v="1"/>
  </r>
  <r>
    <d v="2020-07-22T00:00:00"/>
    <s v="Arbeitgeber"/>
    <s v="Gutschrift"/>
    <s v="Lohn"/>
    <n v="1000"/>
    <s v="EUR"/>
    <x v="0"/>
    <x v="6"/>
    <x v="5"/>
    <n v="1000"/>
    <x v="0"/>
  </r>
  <r>
    <d v="2020-07-23T00:00:00"/>
    <s v="Netflix"/>
    <s v="Abonnement"/>
    <s v="Streaming-Dienst"/>
    <n v="-15"/>
    <s v="EUR"/>
    <x v="1"/>
    <x v="6"/>
    <x v="5"/>
    <n v="15"/>
    <x v="1"/>
  </r>
  <r>
    <d v="2020-07-24T00:00:00"/>
    <s v="Autohändler"/>
    <s v="KFZ-Zahlung"/>
    <s v="Auto-Rate"/>
    <n v="-350"/>
    <s v="EUR"/>
    <x v="2"/>
    <x v="6"/>
    <x v="5"/>
    <n v="350"/>
    <x v="1"/>
  </r>
  <r>
    <d v="2020-07-25T00:00:00"/>
    <s v="Versicherungsgesellschaft"/>
    <s v="Versicherungsprämie"/>
    <s v="Kfz-Versicherung"/>
    <n v="-120"/>
    <s v="EUR"/>
    <x v="3"/>
    <x v="6"/>
    <x v="5"/>
    <n v="120"/>
    <x v="1"/>
  </r>
  <r>
    <d v="2020-07-26T00:00:00"/>
    <s v="Supermarkt"/>
    <s v="Lebensmittel-Einkauf"/>
    <s v="Wochenendeinkauf"/>
    <n v="-70"/>
    <s v="EUR"/>
    <x v="4"/>
    <x v="6"/>
    <x v="5"/>
    <n v="70"/>
    <x v="1"/>
  </r>
  <r>
    <d v="2020-07-27T00:00:00"/>
    <s v="Arbeitgeber"/>
    <s v="Gutschrift"/>
    <s v="Lohn"/>
    <n v="1000"/>
    <s v="EUR"/>
    <x v="0"/>
    <x v="6"/>
    <x v="5"/>
    <n v="1000"/>
    <x v="0"/>
  </r>
  <r>
    <d v="2020-07-28T00:00:00"/>
    <s v="Spotify"/>
    <s v="Abonnement"/>
    <s v="Music-Streaming"/>
    <n v="-10"/>
    <s v="EUR"/>
    <x v="1"/>
    <x v="6"/>
    <x v="5"/>
    <n v="10"/>
    <x v="1"/>
  </r>
  <r>
    <d v="2020-07-29T00:00:00"/>
    <s v="Tankstelle"/>
    <s v="Kraftstoff"/>
    <s v="Auto-Tankfüllung"/>
    <n v="-60"/>
    <s v="EUR"/>
    <x v="2"/>
    <x v="6"/>
    <x v="5"/>
    <n v="60"/>
    <x v="1"/>
  </r>
  <r>
    <d v="2020-07-30T00:00:00"/>
    <s v="Versicherungsgesellschaft"/>
    <s v="Versicherungsprämie"/>
    <s v="Haftpflichtversicherung"/>
    <n v="-80"/>
    <s v="EUR"/>
    <x v="3"/>
    <x v="6"/>
    <x v="5"/>
    <n v="80"/>
    <x v="1"/>
  </r>
  <r>
    <d v="2020-07-31T00:00:00"/>
    <s v="Bäckerei"/>
    <s v="Lebensmittel-Einkauf"/>
    <s v="Brot und Gebäck"/>
    <n v="-30"/>
    <s v="EUR"/>
    <x v="4"/>
    <x v="6"/>
    <x v="5"/>
    <n v="30"/>
    <x v="1"/>
  </r>
  <r>
    <d v="2020-08-01T00:00:00"/>
    <s v="Arbeitgeber"/>
    <s v="Gutschrift"/>
    <s v="Lohn"/>
    <n v="1000"/>
    <s v="EUR"/>
    <x v="0"/>
    <x v="7"/>
    <x v="5"/>
    <n v="1000"/>
    <x v="0"/>
  </r>
  <r>
    <d v="2020-08-02T00:00:00"/>
    <s v="Netflix"/>
    <s v="Abonnement"/>
    <s v="Streaming-Dienst"/>
    <n v="-15"/>
    <s v="EUR"/>
    <x v="1"/>
    <x v="7"/>
    <x v="5"/>
    <n v="15"/>
    <x v="1"/>
  </r>
  <r>
    <d v="2020-08-03T00:00:00"/>
    <s v="Autohändler"/>
    <s v="KFZ-Zahlung"/>
    <s v="Auto-Rate"/>
    <n v="-350"/>
    <s v="EUR"/>
    <x v="2"/>
    <x v="7"/>
    <x v="5"/>
    <n v="350"/>
    <x v="1"/>
  </r>
  <r>
    <d v="2020-08-04T00:00:00"/>
    <s v="Versicherungsgesellschaft"/>
    <s v="Versicherungsprämie"/>
    <s v="Kfz-Versicherung"/>
    <n v="-120"/>
    <s v="EUR"/>
    <x v="3"/>
    <x v="7"/>
    <x v="5"/>
    <n v="120"/>
    <x v="1"/>
  </r>
  <r>
    <d v="2020-08-05T00:00:00"/>
    <s v="Supermarkt"/>
    <s v="Lebensmittel-Einkauf"/>
    <s v="Wochenendeinkauf"/>
    <n v="-80"/>
    <s v="EUR"/>
    <x v="4"/>
    <x v="7"/>
    <x v="5"/>
    <n v="80"/>
    <x v="1"/>
  </r>
  <r>
    <d v="2020-08-06T00:00:00"/>
    <s v="Arbeitgeber"/>
    <s v="Gutschrift"/>
    <s v="Lohn"/>
    <n v="1000"/>
    <s v="EUR"/>
    <x v="0"/>
    <x v="7"/>
    <x v="5"/>
    <n v="1000"/>
    <x v="0"/>
  </r>
  <r>
    <d v="2020-08-07T00:00:00"/>
    <s v="Spotify"/>
    <s v="Abonnement"/>
    <s v="Music-Streaming"/>
    <n v="-10"/>
    <s v="EUR"/>
    <x v="1"/>
    <x v="7"/>
    <x v="5"/>
    <n v="10"/>
    <x v="1"/>
  </r>
  <r>
    <d v="2020-08-08T00:00:00"/>
    <s v="Tankstelle"/>
    <s v="Kraftstoff"/>
    <s v="Auto-Tankfüllung"/>
    <n v="-65"/>
    <s v="EUR"/>
    <x v="2"/>
    <x v="7"/>
    <x v="5"/>
    <n v="65"/>
    <x v="1"/>
  </r>
  <r>
    <d v="2020-08-09T00:00:00"/>
    <s v="Versicherungsgesellschaft"/>
    <s v="Versicherungsprämie"/>
    <s v="Haftpflichtversicherung"/>
    <n v="-80"/>
    <s v="EUR"/>
    <x v="3"/>
    <x v="7"/>
    <x v="5"/>
    <n v="80"/>
    <x v="1"/>
  </r>
  <r>
    <d v="2020-08-10T00:00:00"/>
    <s v="Bäckerei"/>
    <s v="Lebensmittel-Einkauf"/>
    <s v="Brot und Gebäck"/>
    <n v="-35"/>
    <s v="EUR"/>
    <x v="4"/>
    <x v="7"/>
    <x v="5"/>
    <n v="35"/>
    <x v="1"/>
  </r>
  <r>
    <d v="2020-08-11T00:00:00"/>
    <s v="Arbeitgeber"/>
    <s v="Gutschrift"/>
    <s v="Lohn"/>
    <n v="1000"/>
    <s v="EUR"/>
    <x v="0"/>
    <x v="7"/>
    <x v="5"/>
    <n v="1000"/>
    <x v="0"/>
  </r>
  <r>
    <d v="2020-08-12T00:00:00"/>
    <s v="Arbeitgeber"/>
    <s v="Gutschrift"/>
    <s v="Lohn"/>
    <n v="1000"/>
    <s v="EUR"/>
    <x v="0"/>
    <x v="7"/>
    <x v="5"/>
    <n v="1000"/>
    <x v="0"/>
  </r>
  <r>
    <d v="2020-08-13T00:00:00"/>
    <s v="Netflix"/>
    <s v="Abonnement"/>
    <s v="Streaming-Dienst"/>
    <n v="-15"/>
    <s v="EUR"/>
    <x v="1"/>
    <x v="7"/>
    <x v="5"/>
    <n v="15"/>
    <x v="1"/>
  </r>
  <r>
    <d v="2020-08-14T00:00:00"/>
    <s v="Autohändler"/>
    <s v="KFZ-Zahlung"/>
    <s v="Auto-Rate"/>
    <n v="-350"/>
    <s v="EUR"/>
    <x v="2"/>
    <x v="7"/>
    <x v="5"/>
    <n v="350"/>
    <x v="1"/>
  </r>
  <r>
    <d v="2020-08-15T00:00:00"/>
    <s v="Versicherungsgesellschaft"/>
    <s v="Versicherungsprämie"/>
    <s v="Kfz-Versicherung"/>
    <n v="-120"/>
    <s v="EUR"/>
    <x v="3"/>
    <x v="7"/>
    <x v="5"/>
    <n v="120"/>
    <x v="1"/>
  </r>
  <r>
    <d v="2020-08-16T00:00:00"/>
    <s v="Supermarkt"/>
    <s v="Lebensmittel-Einkauf"/>
    <s v="Wochenendeinkauf"/>
    <n v="-50"/>
    <s v="EUR"/>
    <x v="4"/>
    <x v="7"/>
    <x v="5"/>
    <n v="50"/>
    <x v="1"/>
  </r>
  <r>
    <d v="2020-08-17T00:00:00"/>
    <s v="Arbeitgeber"/>
    <s v="Gutschrift"/>
    <s v="Lohn"/>
    <n v="1000"/>
    <s v="EUR"/>
    <x v="0"/>
    <x v="7"/>
    <x v="5"/>
    <n v="1000"/>
    <x v="0"/>
  </r>
  <r>
    <d v="2020-08-18T00:00:00"/>
    <s v="Spotify"/>
    <s v="Abonnement"/>
    <s v="Music-Streaming"/>
    <n v="-10"/>
    <s v="EUR"/>
    <x v="1"/>
    <x v="7"/>
    <x v="5"/>
    <n v="10"/>
    <x v="1"/>
  </r>
  <r>
    <d v="2020-08-19T00:00:00"/>
    <s v="Tankstelle"/>
    <s v="Kraftstoff"/>
    <s v="Auto-Tankfüllung"/>
    <n v="-60"/>
    <s v="EUR"/>
    <x v="2"/>
    <x v="7"/>
    <x v="5"/>
    <n v="60"/>
    <x v="1"/>
  </r>
  <r>
    <d v="2020-08-20T00:00:00"/>
    <s v="Versicherungsgesellschaft"/>
    <s v="Versicherungsprämie"/>
    <s v="Haftpflichtversicherung"/>
    <n v="-80"/>
    <s v="EUR"/>
    <x v="3"/>
    <x v="7"/>
    <x v="5"/>
    <n v="80"/>
    <x v="1"/>
  </r>
  <r>
    <d v="2020-08-21T00:00:00"/>
    <s v="Bäckerei"/>
    <s v="Lebensmittel-Einkauf"/>
    <s v="Brot und Gebäck"/>
    <n v="-20"/>
    <s v="EUR"/>
    <x v="4"/>
    <x v="7"/>
    <x v="5"/>
    <n v="20"/>
    <x v="1"/>
  </r>
  <r>
    <d v="2020-08-22T00:00:00"/>
    <s v="Arbeitgeber"/>
    <s v="Gutschrift"/>
    <s v="Lohn"/>
    <n v="1000"/>
    <s v="EUR"/>
    <x v="0"/>
    <x v="7"/>
    <x v="5"/>
    <n v="1000"/>
    <x v="0"/>
  </r>
  <r>
    <d v="2020-08-23T00:00:00"/>
    <s v="Netflix"/>
    <s v="Abonnement"/>
    <s v="Streaming-Dienst"/>
    <n v="-15"/>
    <s v="EUR"/>
    <x v="1"/>
    <x v="7"/>
    <x v="5"/>
    <n v="15"/>
    <x v="1"/>
  </r>
  <r>
    <d v="2020-08-24T00:00:00"/>
    <s v="Autohändler"/>
    <s v="KFZ-Zahlung"/>
    <s v="Auto-Rate"/>
    <n v="-350"/>
    <s v="EUR"/>
    <x v="2"/>
    <x v="7"/>
    <x v="5"/>
    <n v="350"/>
    <x v="1"/>
  </r>
  <r>
    <d v="2020-08-25T00:00:00"/>
    <s v="Versicherungsgesellschaft"/>
    <s v="Versicherungsprämie"/>
    <s v="Kfz-Versicherung"/>
    <n v="-120"/>
    <s v="EUR"/>
    <x v="3"/>
    <x v="7"/>
    <x v="5"/>
    <n v="120"/>
    <x v="1"/>
  </r>
  <r>
    <d v="2020-08-26T00:00:00"/>
    <s v="Supermarkt"/>
    <s v="Lebensmittel-Einkauf"/>
    <s v="Wochenendeinkauf"/>
    <n v="-60"/>
    <s v="EUR"/>
    <x v="4"/>
    <x v="7"/>
    <x v="5"/>
    <n v="60"/>
    <x v="1"/>
  </r>
  <r>
    <d v="2020-08-27T00:00:00"/>
    <s v="Arbeitgeber"/>
    <s v="Gutschrift"/>
    <s v="Lohn"/>
    <n v="1000"/>
    <s v="EUR"/>
    <x v="0"/>
    <x v="7"/>
    <x v="5"/>
    <n v="1000"/>
    <x v="0"/>
  </r>
  <r>
    <d v="2020-08-28T00:00:00"/>
    <s v="Spotify"/>
    <s v="Abonnement"/>
    <s v="Music-Streaming"/>
    <n v="-10"/>
    <s v="EUR"/>
    <x v="1"/>
    <x v="7"/>
    <x v="5"/>
    <n v="10"/>
    <x v="1"/>
  </r>
  <r>
    <d v="2020-08-29T00:00:00"/>
    <s v="Tankstelle"/>
    <s v="Kraftstoff"/>
    <s v="Auto-Tankfüllung"/>
    <n v="-70"/>
    <s v="EUR"/>
    <x v="2"/>
    <x v="7"/>
    <x v="5"/>
    <n v="70"/>
    <x v="1"/>
  </r>
  <r>
    <d v="2020-08-30T00:00:00"/>
    <s v="Versicherungsgesellschaft"/>
    <s v="Versicherungsprämie"/>
    <s v="Haftpflichtversicherung"/>
    <n v="-80"/>
    <s v="EUR"/>
    <x v="3"/>
    <x v="7"/>
    <x v="5"/>
    <n v="80"/>
    <x v="1"/>
  </r>
  <r>
    <d v="2020-08-31T00:00:00"/>
    <s v="Bäckerei"/>
    <s v="Lebensmittel-Einkauf"/>
    <s v="Brot und Gebäck"/>
    <n v="-25"/>
    <s v="EUR"/>
    <x v="4"/>
    <x v="7"/>
    <x v="5"/>
    <n v="25"/>
    <x v="1"/>
  </r>
  <r>
    <d v="2020-09-01T00:00:00"/>
    <s v="Arbeitgeber"/>
    <s v="Gutschrift"/>
    <s v="Lohn"/>
    <n v="1000"/>
    <s v="EUR"/>
    <x v="0"/>
    <x v="8"/>
    <x v="5"/>
    <n v="1000"/>
    <x v="0"/>
  </r>
  <r>
    <d v="2020-09-02T00:00:00"/>
    <s v="Netflix"/>
    <s v="Abonnement"/>
    <s v="Streaming-Dienst"/>
    <n v="-15"/>
    <s v="EUR"/>
    <x v="1"/>
    <x v="8"/>
    <x v="5"/>
    <n v="15"/>
    <x v="1"/>
  </r>
  <r>
    <d v="2020-09-03T00:00:00"/>
    <s v="Autohändler"/>
    <s v="KFZ-Zahlung"/>
    <s v="Auto-Rate"/>
    <n v="-350"/>
    <s v="EUR"/>
    <x v="2"/>
    <x v="8"/>
    <x v="5"/>
    <n v="350"/>
    <x v="1"/>
  </r>
  <r>
    <d v="2020-09-04T00:00:00"/>
    <s v="Versicherungsgesellschaft"/>
    <s v="Versicherungsprämie"/>
    <s v="Kfz-Versicherung"/>
    <n v="-120"/>
    <s v="EUR"/>
    <x v="3"/>
    <x v="8"/>
    <x v="5"/>
    <n v="120"/>
    <x v="1"/>
  </r>
  <r>
    <d v="2020-09-05T00:00:00"/>
    <s v="Supermarkt"/>
    <s v="Lebensmittel-Einkauf"/>
    <s v="Wochenendeinkauf"/>
    <n v="-70"/>
    <s v="EUR"/>
    <x v="4"/>
    <x v="8"/>
    <x v="5"/>
    <n v="70"/>
    <x v="1"/>
  </r>
  <r>
    <d v="2020-09-06T00:00:00"/>
    <s v="Arbeitgeber"/>
    <s v="Gutschrift"/>
    <s v="Lohn"/>
    <n v="1000"/>
    <s v="EUR"/>
    <x v="0"/>
    <x v="8"/>
    <x v="5"/>
    <n v="1000"/>
    <x v="0"/>
  </r>
  <r>
    <d v="2020-09-07T00:00:00"/>
    <s v="Spotify"/>
    <s v="Abonnement"/>
    <s v="Music-Streaming"/>
    <n v="-10"/>
    <s v="EUR"/>
    <x v="1"/>
    <x v="8"/>
    <x v="5"/>
    <n v="10"/>
    <x v="1"/>
  </r>
  <r>
    <d v="2020-09-08T00:00:00"/>
    <s v="Tankstelle"/>
    <s v="Kraftstoff"/>
    <s v="Auto-Tankfüllung"/>
    <n v="-60"/>
    <s v="EUR"/>
    <x v="2"/>
    <x v="8"/>
    <x v="5"/>
    <n v="60"/>
    <x v="1"/>
  </r>
  <r>
    <d v="2020-09-09T00:00:00"/>
    <s v="Versicherungsgesellschaft"/>
    <s v="Versicherungsprämie"/>
    <s v="Haftpflichtversicherung"/>
    <n v="-80"/>
    <s v="EUR"/>
    <x v="3"/>
    <x v="8"/>
    <x v="5"/>
    <n v="80"/>
    <x v="1"/>
  </r>
  <r>
    <d v="2020-09-10T00:00:00"/>
    <s v="Bäckerei"/>
    <s v="Lebensmittel-Einkauf"/>
    <s v="Brot und Gebäck"/>
    <n v="-30"/>
    <s v="EUR"/>
    <x v="4"/>
    <x v="8"/>
    <x v="5"/>
    <n v="30"/>
    <x v="1"/>
  </r>
  <r>
    <d v="2020-09-11T00:00:00"/>
    <s v="Arbeitgeber"/>
    <s v="Gutschrift"/>
    <s v="Lohn"/>
    <n v="1000"/>
    <s v="EUR"/>
    <x v="0"/>
    <x v="8"/>
    <x v="5"/>
    <n v="1000"/>
    <x v="0"/>
  </r>
  <r>
    <d v="2020-09-12T00:00:00"/>
    <s v="Netflix"/>
    <s v="Abonnement"/>
    <s v="Streaming-Dienst"/>
    <n v="-15"/>
    <s v="EUR"/>
    <x v="1"/>
    <x v="8"/>
    <x v="5"/>
    <n v="15"/>
    <x v="1"/>
  </r>
  <r>
    <d v="2020-09-13T00:00:00"/>
    <s v="Autohändler"/>
    <s v="KFZ-Zahlung"/>
    <s v="Auto-Rate"/>
    <n v="-350"/>
    <s v="EUR"/>
    <x v="2"/>
    <x v="8"/>
    <x v="5"/>
    <n v="350"/>
    <x v="1"/>
  </r>
  <r>
    <d v="2020-09-14T00:00:00"/>
    <s v="Versicherungsgesellschaft"/>
    <s v="Versicherungsprämie"/>
    <s v="Kfz-Versicherung"/>
    <n v="-120"/>
    <s v="EUR"/>
    <x v="3"/>
    <x v="8"/>
    <x v="5"/>
    <n v="120"/>
    <x v="1"/>
  </r>
  <r>
    <d v="2020-09-15T00:00:00"/>
    <s v="Supermarkt"/>
    <s v="Lebensmittel-Einkauf"/>
    <s v="Wochenendeinkauf"/>
    <n v="-80"/>
    <s v="EUR"/>
    <x v="4"/>
    <x v="8"/>
    <x v="5"/>
    <n v="80"/>
    <x v="1"/>
  </r>
  <r>
    <d v="2020-09-16T00:00:00"/>
    <s v="Arbeitgeber"/>
    <s v="Gutschrift"/>
    <s v="Lohn"/>
    <n v="1000"/>
    <s v="EUR"/>
    <x v="0"/>
    <x v="8"/>
    <x v="5"/>
    <n v="1000"/>
    <x v="0"/>
  </r>
  <r>
    <d v="2020-09-17T00:00:00"/>
    <s v="Spotify"/>
    <s v="Abonnement"/>
    <s v="Music-Streaming"/>
    <n v="-10"/>
    <s v="EUR"/>
    <x v="1"/>
    <x v="8"/>
    <x v="5"/>
    <n v="10"/>
    <x v="1"/>
  </r>
  <r>
    <d v="2020-09-18T00:00:00"/>
    <s v="Tankstelle"/>
    <s v="Kraftstoff"/>
    <s v="Auto-Tankfüllung"/>
    <n v="-65"/>
    <s v="EUR"/>
    <x v="2"/>
    <x v="8"/>
    <x v="5"/>
    <n v="65"/>
    <x v="1"/>
  </r>
  <r>
    <d v="2020-09-19T00:00:00"/>
    <s v="Versicherungsgesellschaft"/>
    <s v="Versicherungsprämie"/>
    <s v="Haftpflichtversicherung"/>
    <n v="-80"/>
    <s v="EUR"/>
    <x v="3"/>
    <x v="8"/>
    <x v="5"/>
    <n v="80"/>
    <x v="1"/>
  </r>
  <r>
    <d v="2020-09-20T00:00:00"/>
    <s v="Bäckerei"/>
    <s v="Lebensmittel-Einkauf"/>
    <s v="Brot und Gebäck"/>
    <n v="-35"/>
    <s v="EUR"/>
    <x v="4"/>
    <x v="8"/>
    <x v="5"/>
    <n v="35"/>
    <x v="1"/>
  </r>
  <r>
    <d v="2020-09-21T00:00:00"/>
    <s v="Arbeitgeber"/>
    <s v="Gutschrift"/>
    <s v="Lohn"/>
    <n v="1000"/>
    <s v="EUR"/>
    <x v="0"/>
    <x v="8"/>
    <x v="5"/>
    <n v="1000"/>
    <x v="0"/>
  </r>
  <r>
    <d v="2020-09-22T00:00:00"/>
    <s v="Arbeitgeber"/>
    <s v="Gutschrift"/>
    <s v="Lohn"/>
    <n v="1000"/>
    <s v="EUR"/>
    <x v="0"/>
    <x v="8"/>
    <x v="5"/>
    <n v="1000"/>
    <x v="0"/>
  </r>
  <r>
    <d v="2020-09-23T00:00:00"/>
    <s v="Netflix"/>
    <s v="Abonnement"/>
    <s v="Streaming-Dienst"/>
    <n v="-15"/>
    <s v="EUR"/>
    <x v="1"/>
    <x v="8"/>
    <x v="5"/>
    <n v="15"/>
    <x v="1"/>
  </r>
  <r>
    <d v="2020-09-24T00:00:00"/>
    <s v="Autohändler"/>
    <s v="KFZ-Zahlung"/>
    <s v="Auto-Rate"/>
    <n v="-350"/>
    <s v="EUR"/>
    <x v="2"/>
    <x v="8"/>
    <x v="5"/>
    <n v="350"/>
    <x v="1"/>
  </r>
  <r>
    <d v="2020-09-25T00:00:00"/>
    <s v="Versicherungsgesellschaft"/>
    <s v="Versicherungsprämie"/>
    <s v="Kfz-Versicherung"/>
    <n v="-120"/>
    <s v="EUR"/>
    <x v="3"/>
    <x v="8"/>
    <x v="5"/>
    <n v="120"/>
    <x v="1"/>
  </r>
  <r>
    <d v="2020-09-26T00:00:00"/>
    <s v="Supermarkt"/>
    <s v="Lebensmittel-Einkauf"/>
    <s v="Wochenendeinkauf"/>
    <n v="-50"/>
    <s v="EUR"/>
    <x v="4"/>
    <x v="8"/>
    <x v="5"/>
    <n v="50"/>
    <x v="1"/>
  </r>
  <r>
    <d v="2020-09-27T00:00:00"/>
    <s v="Arbeitgeber"/>
    <s v="Gutschrift"/>
    <s v="Lohn"/>
    <n v="1000"/>
    <s v="EUR"/>
    <x v="0"/>
    <x v="8"/>
    <x v="5"/>
    <n v="1000"/>
    <x v="0"/>
  </r>
  <r>
    <d v="2020-09-28T00:00:00"/>
    <s v="Spotify"/>
    <s v="Abonnement"/>
    <s v="Music-Streaming"/>
    <n v="-10"/>
    <s v="EUR"/>
    <x v="1"/>
    <x v="8"/>
    <x v="5"/>
    <n v="10"/>
    <x v="1"/>
  </r>
  <r>
    <d v="2020-09-29T00:00:00"/>
    <s v="Tankstelle"/>
    <s v="Kraftstoff"/>
    <s v="Auto-Tankfüllung"/>
    <n v="-60"/>
    <s v="EUR"/>
    <x v="2"/>
    <x v="8"/>
    <x v="5"/>
    <n v="60"/>
    <x v="1"/>
  </r>
  <r>
    <d v="2020-09-30T00:00:00"/>
    <s v="Versicherungsgesellschaft"/>
    <s v="Versicherungsprämie"/>
    <s v="Haftpflichtversicherung"/>
    <n v="-80"/>
    <s v="EUR"/>
    <x v="3"/>
    <x v="8"/>
    <x v="5"/>
    <n v="80"/>
    <x v="1"/>
  </r>
  <r>
    <d v="2020-10-01T00:00:00"/>
    <s v="Bäckerei"/>
    <s v="Lebensmittel-Einkauf"/>
    <s v="Brot und Gebäck"/>
    <n v="-20"/>
    <s v="EUR"/>
    <x v="4"/>
    <x v="9"/>
    <x v="5"/>
    <n v="20"/>
    <x v="1"/>
  </r>
  <r>
    <d v="2020-10-02T00:00:00"/>
    <s v="Arbeitgeber"/>
    <s v="Gutschrift"/>
    <s v="Lohn"/>
    <n v="1000"/>
    <s v="EUR"/>
    <x v="0"/>
    <x v="9"/>
    <x v="5"/>
    <n v="1000"/>
    <x v="0"/>
  </r>
  <r>
    <d v="2020-10-03T00:00:00"/>
    <s v="Netflix"/>
    <s v="Abonnement"/>
    <s v="Streaming-Dienst"/>
    <n v="-15"/>
    <s v="EUR"/>
    <x v="1"/>
    <x v="9"/>
    <x v="5"/>
    <n v="15"/>
    <x v="1"/>
  </r>
  <r>
    <d v="2020-10-04T00:00:00"/>
    <s v="Autohändler"/>
    <s v="KFZ-Zahlung"/>
    <s v="Auto-Rate"/>
    <n v="-350"/>
    <s v="EUR"/>
    <x v="2"/>
    <x v="9"/>
    <x v="5"/>
    <n v="350"/>
    <x v="1"/>
  </r>
  <r>
    <d v="2020-10-05T00:00:00"/>
    <s v="Versicherungsgesellschaft"/>
    <s v="Versicherungsprämie"/>
    <s v="Kfz-Versicherung"/>
    <n v="-120"/>
    <s v="EUR"/>
    <x v="3"/>
    <x v="9"/>
    <x v="5"/>
    <n v="120"/>
    <x v="1"/>
  </r>
  <r>
    <d v="2020-10-06T00:00:00"/>
    <s v="Supermarkt"/>
    <s v="Lebensmittel-Einkauf"/>
    <s v="Wochenendeinkauf"/>
    <n v="-60"/>
    <s v="EUR"/>
    <x v="4"/>
    <x v="9"/>
    <x v="5"/>
    <n v="60"/>
    <x v="1"/>
  </r>
  <r>
    <d v="2020-10-07T00:00:00"/>
    <s v="Arbeitgeber"/>
    <s v="Gutschrift"/>
    <s v="Lohn"/>
    <n v="1000"/>
    <s v="EUR"/>
    <x v="0"/>
    <x v="9"/>
    <x v="5"/>
    <n v="1000"/>
    <x v="0"/>
  </r>
  <r>
    <d v="2020-10-08T00:00:00"/>
    <s v="Spotify"/>
    <s v="Abonnement"/>
    <s v="Music-Streaming"/>
    <n v="-10"/>
    <s v="EUR"/>
    <x v="1"/>
    <x v="9"/>
    <x v="5"/>
    <n v="10"/>
    <x v="1"/>
  </r>
  <r>
    <d v="2020-10-09T00:00:00"/>
    <s v="Tankstelle"/>
    <s v="Kraftstoff"/>
    <s v="Auto-Tankfüllung"/>
    <n v="-70"/>
    <s v="EUR"/>
    <x v="2"/>
    <x v="9"/>
    <x v="5"/>
    <n v="70"/>
    <x v="1"/>
  </r>
  <r>
    <d v="2020-10-10T00:00:00"/>
    <s v="Versicherungsgesellschaft"/>
    <s v="Versicherungsprämie"/>
    <s v="Haftpflichtversicherung"/>
    <n v="-80"/>
    <s v="EUR"/>
    <x v="3"/>
    <x v="9"/>
    <x v="5"/>
    <n v="80"/>
    <x v="1"/>
  </r>
  <r>
    <d v="2020-10-11T00:00:00"/>
    <s v="Bäckerei"/>
    <s v="Lebensmittel-Einkauf"/>
    <s v="Brot und Gebäck"/>
    <n v="-25"/>
    <s v="EUR"/>
    <x v="4"/>
    <x v="9"/>
    <x v="5"/>
    <n v="25"/>
    <x v="1"/>
  </r>
  <r>
    <d v="2020-10-12T00:00:00"/>
    <s v="Arbeitgeber"/>
    <s v="Gutschrift"/>
    <s v="Lohn"/>
    <n v="1000"/>
    <s v="EUR"/>
    <x v="0"/>
    <x v="9"/>
    <x v="5"/>
    <n v="1000"/>
    <x v="0"/>
  </r>
  <r>
    <d v="2020-10-13T00:00:00"/>
    <s v="Netflix"/>
    <s v="Abonnement"/>
    <s v="Streaming-Dienst"/>
    <n v="-15"/>
    <s v="EUR"/>
    <x v="1"/>
    <x v="9"/>
    <x v="5"/>
    <n v="15"/>
    <x v="1"/>
  </r>
  <r>
    <d v="2020-10-14T00:00:00"/>
    <s v="Autohändler"/>
    <s v="KFZ-Zahlung"/>
    <s v="Auto-Rate"/>
    <n v="-350"/>
    <s v="EUR"/>
    <x v="2"/>
    <x v="9"/>
    <x v="5"/>
    <n v="350"/>
    <x v="1"/>
  </r>
  <r>
    <d v="2020-10-15T00:00:00"/>
    <s v="Versicherungsgesellschaft"/>
    <s v="Versicherungsprämie"/>
    <s v="Kfz-Versicherung"/>
    <n v="-120"/>
    <s v="EUR"/>
    <x v="3"/>
    <x v="9"/>
    <x v="5"/>
    <n v="120"/>
    <x v="1"/>
  </r>
  <r>
    <d v="2020-10-16T00:00:00"/>
    <s v="Supermarkt"/>
    <s v="Lebensmittel-Einkauf"/>
    <s v="Wochenendeinkauf"/>
    <n v="-70"/>
    <s v="EUR"/>
    <x v="4"/>
    <x v="9"/>
    <x v="5"/>
    <n v="70"/>
    <x v="1"/>
  </r>
  <r>
    <d v="2020-10-17T00:00:00"/>
    <s v="Arbeitgeber"/>
    <s v="Gutschrift"/>
    <s v="Lohn"/>
    <n v="1000"/>
    <s v="EUR"/>
    <x v="0"/>
    <x v="9"/>
    <x v="5"/>
    <n v="1000"/>
    <x v="0"/>
  </r>
  <r>
    <d v="2020-10-18T00:00:00"/>
    <s v="Spotify"/>
    <s v="Abonnement"/>
    <s v="Music-Streaming"/>
    <n v="-10"/>
    <s v="EUR"/>
    <x v="1"/>
    <x v="9"/>
    <x v="5"/>
    <n v="10"/>
    <x v="1"/>
  </r>
  <r>
    <d v="2020-10-19T00:00:00"/>
    <s v="Tankstelle"/>
    <s v="Kraftstoff"/>
    <s v="Auto-Tankfüllung"/>
    <n v="-60"/>
    <s v="EUR"/>
    <x v="2"/>
    <x v="9"/>
    <x v="5"/>
    <n v="60"/>
    <x v="1"/>
  </r>
  <r>
    <d v="2020-10-20T00:00:00"/>
    <s v="Versicherungsgesellschaft"/>
    <s v="Versicherungsprämie"/>
    <s v="Haftpflichtversicherung"/>
    <n v="-80"/>
    <s v="EUR"/>
    <x v="3"/>
    <x v="9"/>
    <x v="5"/>
    <n v="80"/>
    <x v="1"/>
  </r>
  <r>
    <d v="2020-10-21T00:00:00"/>
    <s v="Bäckerei"/>
    <s v="Lebensmittel-Einkauf"/>
    <s v="Brot und Gebäck"/>
    <n v="-30"/>
    <s v="EUR"/>
    <x v="4"/>
    <x v="9"/>
    <x v="5"/>
    <n v="30"/>
    <x v="1"/>
  </r>
  <r>
    <d v="2020-10-22T00:00:00"/>
    <s v="Arbeitgeber"/>
    <s v="Gutschrift"/>
    <s v="Lohn"/>
    <n v="1000"/>
    <s v="EUR"/>
    <x v="0"/>
    <x v="9"/>
    <x v="5"/>
    <n v="1000"/>
    <x v="0"/>
  </r>
  <r>
    <d v="2020-10-23T00:00:00"/>
    <s v="Netflix"/>
    <s v="Abonnement"/>
    <s v="Streaming-Dienst"/>
    <n v="-15"/>
    <s v="EUR"/>
    <x v="1"/>
    <x v="9"/>
    <x v="5"/>
    <n v="15"/>
    <x v="1"/>
  </r>
  <r>
    <d v="2020-10-24T00:00:00"/>
    <s v="Autohändler"/>
    <s v="KFZ-Zahlung"/>
    <s v="Auto-Rate"/>
    <n v="-350"/>
    <s v="EUR"/>
    <x v="2"/>
    <x v="9"/>
    <x v="5"/>
    <n v="350"/>
    <x v="1"/>
  </r>
  <r>
    <d v="2020-10-25T00:00:00"/>
    <s v="Versicherungsgesellschaft"/>
    <s v="Versicherungsprämie"/>
    <s v="Kfz-Versicherung"/>
    <n v="-120"/>
    <s v="EUR"/>
    <x v="3"/>
    <x v="9"/>
    <x v="5"/>
    <n v="120"/>
    <x v="1"/>
  </r>
  <r>
    <d v="2020-10-26T00:00:00"/>
    <s v="Supermarkt"/>
    <s v="Lebensmittel-Einkauf"/>
    <s v="Wochenendeinkauf"/>
    <n v="-80"/>
    <s v="EUR"/>
    <x v="4"/>
    <x v="9"/>
    <x v="5"/>
    <n v="80"/>
    <x v="1"/>
  </r>
  <r>
    <d v="2020-10-27T00:00:00"/>
    <s v="Arbeitgeber"/>
    <s v="Gutschrift"/>
    <s v="Lohn"/>
    <n v="1000"/>
    <s v="EUR"/>
    <x v="0"/>
    <x v="9"/>
    <x v="5"/>
    <n v="1000"/>
    <x v="0"/>
  </r>
  <r>
    <d v="2020-10-28T00:00:00"/>
    <s v="Spotify"/>
    <s v="Abonnement"/>
    <s v="Music-Streaming"/>
    <n v="-10"/>
    <s v="EUR"/>
    <x v="1"/>
    <x v="9"/>
    <x v="5"/>
    <n v="10"/>
    <x v="1"/>
  </r>
  <r>
    <d v="2020-10-29T00:00:00"/>
    <s v="Tankstelle"/>
    <s v="Kraftstoff"/>
    <s v="Auto-Tankfüllung"/>
    <n v="-65"/>
    <s v="EUR"/>
    <x v="2"/>
    <x v="9"/>
    <x v="5"/>
    <n v="65"/>
    <x v="1"/>
  </r>
  <r>
    <d v="2020-10-30T00:00:00"/>
    <s v="Versicherungsgesellschaft"/>
    <s v="Versicherungsprämie"/>
    <s v="Haftpflichtversicherung"/>
    <n v="-80"/>
    <s v="EUR"/>
    <x v="3"/>
    <x v="9"/>
    <x v="5"/>
    <n v="80"/>
    <x v="1"/>
  </r>
  <r>
    <d v="2020-10-31T00:00:00"/>
    <s v="Bäckerei"/>
    <s v="Lebensmittel-Einkauf"/>
    <s v="Brot und Gebäck"/>
    <n v="-35"/>
    <s v="EUR"/>
    <x v="4"/>
    <x v="9"/>
    <x v="5"/>
    <n v="35"/>
    <x v="1"/>
  </r>
  <r>
    <d v="2020-11-01T00:00:00"/>
    <s v="Arbeitgeber"/>
    <s v="Gutschrift"/>
    <s v="Lohn"/>
    <n v="1000"/>
    <s v="EUR"/>
    <x v="0"/>
    <x v="10"/>
    <x v="5"/>
    <n v="1000"/>
    <x v="0"/>
  </r>
  <r>
    <d v="2020-11-02T00:00:00"/>
    <s v="Arbeitgeber"/>
    <s v="Gutschrift"/>
    <s v="Lohn"/>
    <n v="1000"/>
    <s v="EUR"/>
    <x v="0"/>
    <x v="10"/>
    <x v="5"/>
    <n v="1000"/>
    <x v="0"/>
  </r>
  <r>
    <d v="2020-11-03T00:00:00"/>
    <s v="Netflix"/>
    <s v="Abonnement"/>
    <s v="Streaming-Dienst"/>
    <n v="-15"/>
    <s v="EUR"/>
    <x v="1"/>
    <x v="10"/>
    <x v="5"/>
    <n v="15"/>
    <x v="1"/>
  </r>
  <r>
    <d v="2020-11-04T00:00:00"/>
    <s v="Autohändler"/>
    <s v="KFZ-Zahlung"/>
    <s v="Auto-Rate"/>
    <n v="-350"/>
    <s v="EUR"/>
    <x v="2"/>
    <x v="10"/>
    <x v="5"/>
    <n v="350"/>
    <x v="1"/>
  </r>
  <r>
    <d v="2020-11-05T00:00:00"/>
    <s v="Versicherungsgesellschaft"/>
    <s v="Versicherungsprämie"/>
    <s v="Kfz-Versicherung"/>
    <n v="-120"/>
    <s v="EUR"/>
    <x v="3"/>
    <x v="10"/>
    <x v="5"/>
    <n v="120"/>
    <x v="1"/>
  </r>
  <r>
    <d v="2020-11-06T00:00:00"/>
    <s v="Supermarkt"/>
    <s v="Lebensmittel-Einkauf"/>
    <s v="Wochenendeinkauf"/>
    <n v="-50"/>
    <s v="EUR"/>
    <x v="4"/>
    <x v="10"/>
    <x v="5"/>
    <n v="50"/>
    <x v="1"/>
  </r>
  <r>
    <d v="2020-11-07T00:00:00"/>
    <s v="Arbeitgeber"/>
    <s v="Gutschrift"/>
    <s v="Lohn"/>
    <n v="1000"/>
    <s v="EUR"/>
    <x v="0"/>
    <x v="10"/>
    <x v="5"/>
    <n v="1000"/>
    <x v="0"/>
  </r>
  <r>
    <d v="2020-11-08T00:00:00"/>
    <s v="Spotify"/>
    <s v="Abonnement"/>
    <s v="Music-Streaming"/>
    <n v="-10"/>
    <s v="EUR"/>
    <x v="1"/>
    <x v="10"/>
    <x v="5"/>
    <n v="10"/>
    <x v="1"/>
  </r>
  <r>
    <d v="2020-11-09T00:00:00"/>
    <s v="Tankstelle"/>
    <s v="Kraftstoff"/>
    <s v="Auto-Tankfüllung"/>
    <n v="-60"/>
    <s v="EUR"/>
    <x v="2"/>
    <x v="10"/>
    <x v="5"/>
    <n v="60"/>
    <x v="1"/>
  </r>
  <r>
    <d v="2020-11-10T00:00:00"/>
    <s v="Versicherungsgesellschaft"/>
    <s v="Versicherungsprämie"/>
    <s v="Haftpflichtversicherung"/>
    <n v="-80"/>
    <s v="EUR"/>
    <x v="3"/>
    <x v="10"/>
    <x v="5"/>
    <n v="80"/>
    <x v="1"/>
  </r>
  <r>
    <d v="2020-11-11T00:00:00"/>
    <s v="Bäckerei"/>
    <s v="Lebensmittel-Einkauf"/>
    <s v="Brot und Gebäck"/>
    <n v="-20"/>
    <s v="EUR"/>
    <x v="4"/>
    <x v="10"/>
    <x v="5"/>
    <n v="20"/>
    <x v="1"/>
  </r>
  <r>
    <d v="2020-11-12T00:00:00"/>
    <s v="Arbeitgeber"/>
    <s v="Gutschrift"/>
    <s v="Lohn"/>
    <n v="1000"/>
    <s v="EUR"/>
    <x v="0"/>
    <x v="10"/>
    <x v="5"/>
    <n v="1000"/>
    <x v="0"/>
  </r>
  <r>
    <d v="2020-11-13T00:00:00"/>
    <s v="Netflix"/>
    <s v="Abonnement"/>
    <s v="Streaming-Dienst"/>
    <n v="-15"/>
    <s v="EUR"/>
    <x v="1"/>
    <x v="10"/>
    <x v="5"/>
    <n v="15"/>
    <x v="1"/>
  </r>
  <r>
    <d v="2020-11-14T00:00:00"/>
    <s v="Autohändler"/>
    <s v="KFZ-Zahlung"/>
    <s v="Auto-Rate"/>
    <n v="-350"/>
    <s v="EUR"/>
    <x v="2"/>
    <x v="10"/>
    <x v="5"/>
    <n v="350"/>
    <x v="1"/>
  </r>
  <r>
    <d v="2020-11-15T00:00:00"/>
    <s v="Versicherungsgesellschaft"/>
    <s v="Versicherungsprämie"/>
    <s v="Kfz-Versicherung"/>
    <n v="-120"/>
    <s v="EUR"/>
    <x v="3"/>
    <x v="10"/>
    <x v="5"/>
    <n v="120"/>
    <x v="1"/>
  </r>
  <r>
    <d v="2020-11-16T00:00:00"/>
    <s v="Supermarkt"/>
    <s v="Lebensmittel-Einkauf"/>
    <s v="Wochenendeinkauf"/>
    <n v="-60"/>
    <s v="EUR"/>
    <x v="4"/>
    <x v="10"/>
    <x v="5"/>
    <n v="60"/>
    <x v="1"/>
  </r>
  <r>
    <d v="2020-11-17T00:00:00"/>
    <s v="Arbeitgeber"/>
    <s v="Gutschrift"/>
    <s v="Lohn"/>
    <n v="1000"/>
    <s v="EUR"/>
    <x v="0"/>
    <x v="10"/>
    <x v="5"/>
    <n v="1000"/>
    <x v="0"/>
  </r>
  <r>
    <d v="2020-11-18T00:00:00"/>
    <s v="Spotify"/>
    <s v="Abonnement"/>
    <s v="Music-Streaming"/>
    <n v="-10"/>
    <s v="EUR"/>
    <x v="1"/>
    <x v="10"/>
    <x v="5"/>
    <n v="10"/>
    <x v="1"/>
  </r>
  <r>
    <d v="2020-11-19T00:00:00"/>
    <s v="Tankstelle"/>
    <s v="Kraftstoff"/>
    <s v="Auto-Tankfüllung"/>
    <n v="-70"/>
    <s v="EUR"/>
    <x v="2"/>
    <x v="10"/>
    <x v="5"/>
    <n v="70"/>
    <x v="1"/>
  </r>
  <r>
    <d v="2020-11-20T00:00:00"/>
    <s v="Versicherungsgesellschaft"/>
    <s v="Versicherungsprämie"/>
    <s v="Haftpflichtversicherung"/>
    <n v="-80"/>
    <s v="EUR"/>
    <x v="3"/>
    <x v="10"/>
    <x v="5"/>
    <n v="80"/>
    <x v="1"/>
  </r>
  <r>
    <d v="2020-11-21T00:00:00"/>
    <s v="Bäckerei"/>
    <s v="Lebensmittel-Einkauf"/>
    <s v="Brot und Gebäck"/>
    <n v="-25"/>
    <s v="EUR"/>
    <x v="4"/>
    <x v="10"/>
    <x v="5"/>
    <n v="25"/>
    <x v="1"/>
  </r>
  <r>
    <d v="2020-11-22T00:00:00"/>
    <s v="Arbeitgeber"/>
    <s v="Gutschrift"/>
    <s v="Lohn"/>
    <n v="1000"/>
    <s v="EUR"/>
    <x v="0"/>
    <x v="10"/>
    <x v="5"/>
    <n v="1000"/>
    <x v="0"/>
  </r>
  <r>
    <d v="2020-11-23T00:00:00"/>
    <s v="Netflix"/>
    <s v="Abonnement"/>
    <s v="Streaming-Dienst"/>
    <n v="-15"/>
    <s v="EUR"/>
    <x v="1"/>
    <x v="10"/>
    <x v="5"/>
    <n v="15"/>
    <x v="1"/>
  </r>
  <r>
    <d v="2020-11-24T00:00:00"/>
    <s v="Autohändler"/>
    <s v="KFZ-Zahlung"/>
    <s v="Auto-Rate"/>
    <n v="-350"/>
    <s v="EUR"/>
    <x v="2"/>
    <x v="10"/>
    <x v="5"/>
    <n v="350"/>
    <x v="1"/>
  </r>
  <r>
    <d v="2020-11-25T00:00:00"/>
    <s v="Versicherungsgesellschaft"/>
    <s v="Versicherungsprämie"/>
    <s v="Kfz-Versicherung"/>
    <n v="-120"/>
    <s v="EUR"/>
    <x v="3"/>
    <x v="10"/>
    <x v="5"/>
    <n v="120"/>
    <x v="1"/>
  </r>
  <r>
    <d v="2020-11-26T00:00:00"/>
    <s v="Supermarkt"/>
    <s v="Lebensmittel-Einkauf"/>
    <s v="Wochenendeinkauf"/>
    <n v="-70"/>
    <s v="EUR"/>
    <x v="4"/>
    <x v="10"/>
    <x v="5"/>
    <n v="70"/>
    <x v="1"/>
  </r>
  <r>
    <d v="2020-11-27T00:00:00"/>
    <s v="Arbeitgeber"/>
    <s v="Gutschrift"/>
    <s v="Lohn"/>
    <n v="1000"/>
    <s v="EUR"/>
    <x v="0"/>
    <x v="10"/>
    <x v="5"/>
    <n v="1000"/>
    <x v="0"/>
  </r>
  <r>
    <d v="2020-11-28T00:00:00"/>
    <s v="Spotify"/>
    <s v="Abonnement"/>
    <s v="Music-Streaming"/>
    <n v="-10"/>
    <s v="EUR"/>
    <x v="1"/>
    <x v="10"/>
    <x v="5"/>
    <n v="10"/>
    <x v="1"/>
  </r>
  <r>
    <d v="2020-11-29T00:00:00"/>
    <s v="Tankstelle"/>
    <s v="Kraftstoff"/>
    <s v="Auto-Tankfüllung"/>
    <n v="-60"/>
    <s v="EUR"/>
    <x v="2"/>
    <x v="10"/>
    <x v="5"/>
    <n v="60"/>
    <x v="1"/>
  </r>
  <r>
    <d v="2020-11-30T00:00:00"/>
    <s v="Versicherungsgesellschaft"/>
    <s v="Versicherungsprämie"/>
    <s v="Haftpflichtversicherung"/>
    <n v="-80"/>
    <s v="EUR"/>
    <x v="3"/>
    <x v="10"/>
    <x v="5"/>
    <n v="80"/>
    <x v="1"/>
  </r>
  <r>
    <d v="2020-12-01T00:00:00"/>
    <s v="Bäckerei"/>
    <s v="Lebensmittel-Einkauf"/>
    <s v="Brot und Gebäck"/>
    <n v="-30"/>
    <s v="EUR"/>
    <x v="4"/>
    <x v="11"/>
    <x v="5"/>
    <n v="30"/>
    <x v="1"/>
  </r>
  <r>
    <d v="2020-12-02T00:00:00"/>
    <s v="Arbeitgeber"/>
    <s v="Gutschrift"/>
    <s v="Lohn"/>
    <n v="1000"/>
    <s v="EUR"/>
    <x v="0"/>
    <x v="11"/>
    <x v="5"/>
    <n v="1000"/>
    <x v="0"/>
  </r>
  <r>
    <d v="2020-12-03T00:00:00"/>
    <s v="Netflix"/>
    <s v="Abonnement"/>
    <s v="Streaming-Dienst"/>
    <n v="-15"/>
    <s v="EUR"/>
    <x v="1"/>
    <x v="11"/>
    <x v="5"/>
    <n v="15"/>
    <x v="1"/>
  </r>
  <r>
    <d v="2020-12-04T00:00:00"/>
    <s v="Autohändler"/>
    <s v="KFZ-Zahlung"/>
    <s v="Auto-Rate"/>
    <n v="-350"/>
    <s v="EUR"/>
    <x v="2"/>
    <x v="11"/>
    <x v="5"/>
    <n v="350"/>
    <x v="1"/>
  </r>
  <r>
    <d v="2020-12-05T00:00:00"/>
    <s v="Versicherungsgesellschaft"/>
    <s v="Versicherungsprämie"/>
    <s v="Kfz-Versicherung"/>
    <n v="-120"/>
    <s v="EUR"/>
    <x v="3"/>
    <x v="11"/>
    <x v="5"/>
    <n v="120"/>
    <x v="1"/>
  </r>
  <r>
    <d v="2020-12-06T00:00:00"/>
    <s v="Supermarkt"/>
    <s v="Lebensmittel-Einkauf"/>
    <s v="Wochenendeinkauf"/>
    <n v="-80"/>
    <s v="EUR"/>
    <x v="4"/>
    <x v="11"/>
    <x v="5"/>
    <n v="80"/>
    <x v="1"/>
  </r>
  <r>
    <d v="2020-12-07T00:00:00"/>
    <s v="Arbeitgeber"/>
    <s v="Gutschrift"/>
    <s v="Lohn"/>
    <n v="1000"/>
    <s v="EUR"/>
    <x v="0"/>
    <x v="11"/>
    <x v="5"/>
    <n v="1000"/>
    <x v="0"/>
  </r>
  <r>
    <d v="2020-12-08T00:00:00"/>
    <s v="Spotify"/>
    <s v="Abonnement"/>
    <s v="Music-Streaming"/>
    <n v="-10"/>
    <s v="EUR"/>
    <x v="1"/>
    <x v="11"/>
    <x v="5"/>
    <n v="10"/>
    <x v="1"/>
  </r>
  <r>
    <d v="2020-12-09T00:00:00"/>
    <s v="Tankstelle"/>
    <s v="Kraftstoff"/>
    <s v="Auto-Tankfüllung"/>
    <n v="-65"/>
    <s v="EUR"/>
    <x v="2"/>
    <x v="11"/>
    <x v="5"/>
    <n v="65"/>
    <x v="1"/>
  </r>
  <r>
    <d v="2020-12-10T00:00:00"/>
    <s v="Versicherungsgesellschaft"/>
    <s v="Versicherungsprämie"/>
    <s v="Haftpflichtversicherung"/>
    <n v="-80"/>
    <s v="EUR"/>
    <x v="3"/>
    <x v="11"/>
    <x v="5"/>
    <n v="80"/>
    <x v="1"/>
  </r>
  <r>
    <d v="2020-12-11T00:00:00"/>
    <s v="Bäckerei"/>
    <s v="Lebensmittel-Einkauf"/>
    <s v="Brot und Gebäck"/>
    <n v="-35"/>
    <s v="EUR"/>
    <x v="4"/>
    <x v="11"/>
    <x v="5"/>
    <n v="35"/>
    <x v="1"/>
  </r>
  <r>
    <d v="2020-12-12T00:00:00"/>
    <s v="Arbeitgeber"/>
    <s v="Gutschrift"/>
    <s v="Lohn"/>
    <n v="1000"/>
    <s v="EUR"/>
    <x v="0"/>
    <x v="11"/>
    <x v="5"/>
    <n v="1000"/>
    <x v="0"/>
  </r>
  <r>
    <d v="2020-12-13T00:00:00"/>
    <s v="Arbeitgeber"/>
    <s v="Gutschrift"/>
    <s v="Lohn"/>
    <n v="1000"/>
    <s v="EUR"/>
    <x v="0"/>
    <x v="11"/>
    <x v="5"/>
    <n v="1000"/>
    <x v="0"/>
  </r>
  <r>
    <d v="2020-12-14T00:00:00"/>
    <s v="Netflix"/>
    <s v="Abonnement"/>
    <s v="Streaming-Dienst"/>
    <n v="-15"/>
    <s v="EUR"/>
    <x v="1"/>
    <x v="11"/>
    <x v="5"/>
    <n v="15"/>
    <x v="1"/>
  </r>
  <r>
    <d v="2020-12-15T00:00:00"/>
    <s v="Autohändler"/>
    <s v="KFZ-Zahlung"/>
    <s v="Auto-Rate"/>
    <n v="-350"/>
    <s v="EUR"/>
    <x v="2"/>
    <x v="11"/>
    <x v="5"/>
    <n v="350"/>
    <x v="1"/>
  </r>
  <r>
    <d v="2020-12-16T00:00:00"/>
    <s v="Versicherungsgesellschaft"/>
    <s v="Versicherungsprämie"/>
    <s v="Kfz-Versicherung"/>
    <n v="-120"/>
    <s v="EUR"/>
    <x v="3"/>
    <x v="11"/>
    <x v="5"/>
    <n v="120"/>
    <x v="1"/>
  </r>
  <r>
    <d v="2020-12-17T00:00:00"/>
    <s v="Supermarkt"/>
    <s v="Lebensmittel-Einkauf"/>
    <s v="Wochenendeinkauf"/>
    <n v="-50"/>
    <s v="EUR"/>
    <x v="4"/>
    <x v="11"/>
    <x v="5"/>
    <n v="50"/>
    <x v="1"/>
  </r>
  <r>
    <d v="2020-12-18T00:00:00"/>
    <s v="Arbeitgeber"/>
    <s v="Gutschrift"/>
    <s v="Lohn"/>
    <n v="1000"/>
    <s v="EUR"/>
    <x v="0"/>
    <x v="11"/>
    <x v="5"/>
    <n v="1000"/>
    <x v="0"/>
  </r>
  <r>
    <d v="2020-12-19T00:00:00"/>
    <s v="Spotify"/>
    <s v="Abonnement"/>
    <s v="Music-Streaming"/>
    <n v="-10"/>
    <s v="EUR"/>
    <x v="1"/>
    <x v="11"/>
    <x v="5"/>
    <n v="10"/>
    <x v="1"/>
  </r>
  <r>
    <d v="2020-12-20T00:00:00"/>
    <s v="Tankstelle"/>
    <s v="Kraftstoff"/>
    <s v="Auto-Tankfüllung"/>
    <n v="-60"/>
    <s v="EUR"/>
    <x v="2"/>
    <x v="11"/>
    <x v="5"/>
    <n v="60"/>
    <x v="1"/>
  </r>
  <r>
    <d v="2020-12-21T00:00:00"/>
    <s v="Versicherungsgesellschaft"/>
    <s v="Versicherungsprämie"/>
    <s v="Haftpflichtversicherung"/>
    <n v="-80"/>
    <s v="EUR"/>
    <x v="3"/>
    <x v="11"/>
    <x v="5"/>
    <n v="80"/>
    <x v="1"/>
  </r>
  <r>
    <d v="2020-12-22T00:00:00"/>
    <s v="Bäckerei"/>
    <s v="Lebensmittel-Einkauf"/>
    <s v="Brot und Gebäck"/>
    <n v="-20"/>
    <s v="EUR"/>
    <x v="4"/>
    <x v="11"/>
    <x v="5"/>
    <n v="20"/>
    <x v="1"/>
  </r>
  <r>
    <d v="2020-12-23T00:00:00"/>
    <s v="Arbeitgeber"/>
    <s v="Gutschrift"/>
    <s v="Lohn"/>
    <n v="1000"/>
    <s v="EUR"/>
    <x v="0"/>
    <x v="11"/>
    <x v="5"/>
    <n v="1000"/>
    <x v="0"/>
  </r>
  <r>
    <d v="2020-12-24T00:00:00"/>
    <s v="Netflix"/>
    <s v="Abonnement"/>
    <s v="Streaming-Dienst"/>
    <n v="-15"/>
    <s v="EUR"/>
    <x v="1"/>
    <x v="11"/>
    <x v="5"/>
    <n v="15"/>
    <x v="1"/>
  </r>
  <r>
    <d v="2020-12-25T00:00:00"/>
    <s v="Autohändler"/>
    <s v="KFZ-Zahlung"/>
    <s v="Auto-Rate"/>
    <n v="-350"/>
    <s v="EUR"/>
    <x v="2"/>
    <x v="11"/>
    <x v="5"/>
    <n v="350"/>
    <x v="1"/>
  </r>
  <r>
    <d v="2020-12-26T00:00:00"/>
    <s v="Versicherungsgesellschaft"/>
    <s v="Versicherungsprämie"/>
    <s v="Kfz-Versicherung"/>
    <n v="-120"/>
    <s v="EUR"/>
    <x v="3"/>
    <x v="11"/>
    <x v="5"/>
    <n v="120"/>
    <x v="1"/>
  </r>
  <r>
    <d v="2020-12-27T00:00:00"/>
    <s v="Supermarkt"/>
    <s v="Lebensmittel-Einkauf"/>
    <s v="Wochenendeinkauf"/>
    <n v="-60"/>
    <s v="EUR"/>
    <x v="4"/>
    <x v="11"/>
    <x v="5"/>
    <n v="60"/>
    <x v="1"/>
  </r>
  <r>
    <d v="2020-12-28T00:00:00"/>
    <s v="Arbeitgeber"/>
    <s v="Gutschrift"/>
    <s v="Lohn"/>
    <n v="1000"/>
    <s v="EUR"/>
    <x v="0"/>
    <x v="11"/>
    <x v="5"/>
    <n v="1000"/>
    <x v="0"/>
  </r>
  <r>
    <d v="2020-12-29T00:00:00"/>
    <s v="Spotify"/>
    <s v="Abonnement"/>
    <s v="Music-Streaming"/>
    <n v="-10"/>
    <s v="EUR"/>
    <x v="1"/>
    <x v="11"/>
    <x v="5"/>
    <n v="10"/>
    <x v="1"/>
  </r>
  <r>
    <d v="2020-12-30T00:00:00"/>
    <s v="Tankstelle"/>
    <s v="Kraftstoff"/>
    <s v="Auto-Tankfüllung"/>
    <n v="-70"/>
    <s v="EUR"/>
    <x v="2"/>
    <x v="11"/>
    <x v="5"/>
    <n v="70"/>
    <x v="1"/>
  </r>
  <r>
    <d v="2020-12-31T00:00:00"/>
    <s v="Versicherungsgesellschaft"/>
    <s v="Versicherungsprämie"/>
    <s v="Haftpflichtversicherung"/>
    <n v="-80"/>
    <s v="EUR"/>
    <x v="3"/>
    <x v="11"/>
    <x v="5"/>
    <n v="80"/>
    <x v="1"/>
  </r>
  <r>
    <d v="2021-01-01T00:00:00"/>
    <s v="Bäckerei"/>
    <s v="Lebensmittel-Einkauf"/>
    <s v="Brot und Gebäck"/>
    <n v="-25"/>
    <s v="EUR"/>
    <x v="4"/>
    <x v="0"/>
    <x v="6"/>
    <n v="25"/>
    <x v="1"/>
  </r>
  <r>
    <d v="2021-01-02T00:00:00"/>
    <s v="Arbeitgeber"/>
    <s v="Gutschrift"/>
    <s v="Lohn"/>
    <n v="1000"/>
    <s v="EUR"/>
    <x v="0"/>
    <x v="0"/>
    <x v="6"/>
    <n v="1000"/>
    <x v="0"/>
  </r>
  <r>
    <d v="2021-01-03T00:00:00"/>
    <s v="Netflix"/>
    <s v="Abonnement"/>
    <s v="Streaming-Dienst"/>
    <n v="-15"/>
    <s v="EUR"/>
    <x v="1"/>
    <x v="0"/>
    <x v="6"/>
    <n v="15"/>
    <x v="1"/>
  </r>
  <r>
    <d v="2021-01-04T00:00:00"/>
    <s v="Autohändler"/>
    <s v="KFZ-Zahlung"/>
    <s v="Auto-Rate"/>
    <n v="-350"/>
    <s v="EUR"/>
    <x v="2"/>
    <x v="0"/>
    <x v="6"/>
    <n v="350"/>
    <x v="1"/>
  </r>
  <r>
    <d v="2021-01-05T00:00:00"/>
    <s v="Versicherungsgesellschaft"/>
    <s v="Versicherungsprämie"/>
    <s v="Kfz-Versicherung"/>
    <n v="-120"/>
    <s v="EUR"/>
    <x v="3"/>
    <x v="0"/>
    <x v="6"/>
    <n v="120"/>
    <x v="1"/>
  </r>
  <r>
    <d v="2021-01-06T00:00:00"/>
    <s v="Supermarkt"/>
    <s v="Lebensmittel-Einkauf"/>
    <s v="Wochenendeinkauf"/>
    <n v="-70"/>
    <s v="EUR"/>
    <x v="4"/>
    <x v="0"/>
    <x v="6"/>
    <n v="70"/>
    <x v="1"/>
  </r>
  <r>
    <d v="2021-01-07T00:00:00"/>
    <s v="Arbeitgeber"/>
    <s v="Gutschrift"/>
    <s v="Lohn"/>
    <n v="1000"/>
    <s v="EUR"/>
    <x v="0"/>
    <x v="0"/>
    <x v="6"/>
    <n v="1000"/>
    <x v="0"/>
  </r>
  <r>
    <d v="2021-01-08T00:00:00"/>
    <s v="Spotify"/>
    <s v="Abonnement"/>
    <s v="Music-Streaming"/>
    <n v="-10"/>
    <s v="EUR"/>
    <x v="1"/>
    <x v="0"/>
    <x v="6"/>
    <n v="10"/>
    <x v="1"/>
  </r>
  <r>
    <d v="2021-01-09T00:00:00"/>
    <s v="Tankstelle"/>
    <s v="Kraftstoff"/>
    <s v="Auto-Tankfüllung"/>
    <n v="-60"/>
    <s v="EUR"/>
    <x v="2"/>
    <x v="0"/>
    <x v="6"/>
    <n v="60"/>
    <x v="1"/>
  </r>
  <r>
    <d v="2021-01-10T00:00:00"/>
    <s v="Versicherungsgesellschaft"/>
    <s v="Versicherungsprämie"/>
    <s v="Haftpflichtversicherung"/>
    <n v="-80"/>
    <s v="EUR"/>
    <x v="3"/>
    <x v="0"/>
    <x v="6"/>
    <n v="80"/>
    <x v="1"/>
  </r>
  <r>
    <d v="2021-01-11T00:00:00"/>
    <s v="Bäckerei"/>
    <s v="Lebensmittel-Einkauf"/>
    <s v="Brot und Gebäck"/>
    <n v="-30"/>
    <s v="EUR"/>
    <x v="4"/>
    <x v="0"/>
    <x v="6"/>
    <n v="30"/>
    <x v="1"/>
  </r>
  <r>
    <d v="2021-01-12T00:00:00"/>
    <s v="Arbeitgeber"/>
    <s v="Gutschrift"/>
    <s v="Lohn"/>
    <n v="1000"/>
    <s v="EUR"/>
    <x v="0"/>
    <x v="0"/>
    <x v="6"/>
    <n v="1000"/>
    <x v="0"/>
  </r>
  <r>
    <d v="2021-01-13T00:00:00"/>
    <s v="Netflix"/>
    <s v="Abonnement"/>
    <s v="Streaming-Dienst"/>
    <n v="-15"/>
    <s v="EUR"/>
    <x v="1"/>
    <x v="0"/>
    <x v="6"/>
    <n v="15"/>
    <x v="1"/>
  </r>
  <r>
    <d v="2021-01-14T00:00:00"/>
    <s v="Autohändler"/>
    <s v="KFZ-Zahlung"/>
    <s v="Auto-Rate"/>
    <n v="-350"/>
    <s v="EUR"/>
    <x v="2"/>
    <x v="0"/>
    <x v="6"/>
    <n v="350"/>
    <x v="1"/>
  </r>
  <r>
    <d v="2021-01-15T00:00:00"/>
    <s v="Versicherungsgesellschaft"/>
    <s v="Versicherungsprämie"/>
    <s v="Kfz-Versicherung"/>
    <n v="-120"/>
    <s v="EUR"/>
    <x v="3"/>
    <x v="0"/>
    <x v="6"/>
    <n v="120"/>
    <x v="1"/>
  </r>
  <r>
    <d v="2021-01-16T00:00:00"/>
    <s v="Supermarkt"/>
    <s v="Lebensmittel-Einkauf"/>
    <s v="Wochenendeinkauf"/>
    <n v="-80"/>
    <s v="EUR"/>
    <x v="4"/>
    <x v="0"/>
    <x v="6"/>
    <n v="80"/>
    <x v="1"/>
  </r>
  <r>
    <d v="2021-01-17T00:00:00"/>
    <s v="Arbeitgeber"/>
    <s v="Gutschrift"/>
    <s v="Lohn"/>
    <n v="1000"/>
    <s v="EUR"/>
    <x v="0"/>
    <x v="0"/>
    <x v="6"/>
    <n v="1000"/>
    <x v="0"/>
  </r>
  <r>
    <d v="2021-01-18T00:00:00"/>
    <s v="Spotify"/>
    <s v="Abonnement"/>
    <s v="Music-Streaming"/>
    <n v="-10"/>
    <s v="EUR"/>
    <x v="1"/>
    <x v="0"/>
    <x v="6"/>
    <n v="10"/>
    <x v="1"/>
  </r>
  <r>
    <d v="2021-01-19T00:00:00"/>
    <s v="Tankstelle"/>
    <s v="Kraftstoff"/>
    <s v="Auto-Tankfüllung"/>
    <n v="-65"/>
    <s v="EUR"/>
    <x v="2"/>
    <x v="0"/>
    <x v="6"/>
    <n v="65"/>
    <x v="1"/>
  </r>
  <r>
    <d v="2021-01-20T00:00:00"/>
    <s v="Versicherungsgesellschaft"/>
    <s v="Versicherungsprämie"/>
    <s v="Haftpflichtversicherung"/>
    <n v="-80"/>
    <s v="EUR"/>
    <x v="3"/>
    <x v="0"/>
    <x v="6"/>
    <n v="80"/>
    <x v="1"/>
  </r>
  <r>
    <d v="2021-01-21T00:00:00"/>
    <s v="Bäckerei"/>
    <s v="Lebensmittel-Einkauf"/>
    <s v="Brot und Gebäck"/>
    <n v="-35"/>
    <s v="EUR"/>
    <x v="4"/>
    <x v="0"/>
    <x v="6"/>
    <n v="35"/>
    <x v="1"/>
  </r>
  <r>
    <d v="2021-01-22T00:00:00"/>
    <s v="Arbeitgeber"/>
    <s v="Gutschrift"/>
    <s v="Lohn"/>
    <n v="1000"/>
    <s v="EUR"/>
    <x v="0"/>
    <x v="0"/>
    <x v="6"/>
    <n v="1000"/>
    <x v="0"/>
  </r>
  <r>
    <d v="2021-01-23T00:00:00"/>
    <s v="Arbeitgeber"/>
    <s v="Gutschrift"/>
    <s v="Lohn"/>
    <n v="1000"/>
    <s v="EUR"/>
    <x v="0"/>
    <x v="0"/>
    <x v="6"/>
    <n v="1000"/>
    <x v="0"/>
  </r>
  <r>
    <d v="2021-01-24T00:00:00"/>
    <s v="Netflix"/>
    <s v="Abonnement"/>
    <s v="Streaming-Dienst"/>
    <n v="-15"/>
    <s v="EUR"/>
    <x v="1"/>
    <x v="0"/>
    <x v="6"/>
    <n v="15"/>
    <x v="1"/>
  </r>
  <r>
    <d v="2021-01-25T00:00:00"/>
    <s v="Autohändler"/>
    <s v="KFZ-Zahlung"/>
    <s v="Auto-Rate"/>
    <n v="-350"/>
    <s v="EUR"/>
    <x v="2"/>
    <x v="0"/>
    <x v="6"/>
    <n v="350"/>
    <x v="1"/>
  </r>
  <r>
    <d v="2021-01-26T00:00:00"/>
    <s v="Versicherungsgesellschaft"/>
    <s v="Versicherungsprämie"/>
    <s v="Kfz-Versicherung"/>
    <n v="-120"/>
    <s v="EUR"/>
    <x v="3"/>
    <x v="0"/>
    <x v="6"/>
    <n v="120"/>
    <x v="1"/>
  </r>
  <r>
    <d v="2021-01-27T00:00:00"/>
    <s v="Supermarkt"/>
    <s v="Lebensmittel-Einkauf"/>
    <s v="Wochenendeinkauf"/>
    <n v="-50"/>
    <s v="EUR"/>
    <x v="4"/>
    <x v="0"/>
    <x v="6"/>
    <n v="50"/>
    <x v="1"/>
  </r>
  <r>
    <d v="2021-01-28T00:00:00"/>
    <s v="Arbeitgeber"/>
    <s v="Gutschrift"/>
    <s v="Lohn"/>
    <n v="1000"/>
    <s v="EUR"/>
    <x v="0"/>
    <x v="0"/>
    <x v="6"/>
    <n v="1000"/>
    <x v="0"/>
  </r>
  <r>
    <d v="2021-01-29T00:00:00"/>
    <s v="Spotify"/>
    <s v="Abonnement"/>
    <s v="Music-Streaming"/>
    <n v="-10"/>
    <s v="EUR"/>
    <x v="1"/>
    <x v="0"/>
    <x v="6"/>
    <n v="10"/>
    <x v="1"/>
  </r>
  <r>
    <d v="2021-01-30T00:00:00"/>
    <s v="Tankstelle"/>
    <s v="Kraftstoff"/>
    <s v="Auto-Tankfüllung"/>
    <n v="-60"/>
    <s v="EUR"/>
    <x v="2"/>
    <x v="0"/>
    <x v="6"/>
    <n v="60"/>
    <x v="1"/>
  </r>
  <r>
    <d v="2021-01-31T00:00:00"/>
    <s v="Versicherungsgesellschaft"/>
    <s v="Versicherungsprämie"/>
    <s v="Haftpflichtversicherung"/>
    <n v="-80"/>
    <s v="EUR"/>
    <x v="3"/>
    <x v="0"/>
    <x v="6"/>
    <n v="80"/>
    <x v="1"/>
  </r>
  <r>
    <d v="2021-02-01T00:00:00"/>
    <s v="Bäckerei"/>
    <s v="Lebensmittel-Einkauf"/>
    <s v="Brot und Gebäck"/>
    <n v="-20"/>
    <s v="EUR"/>
    <x v="4"/>
    <x v="1"/>
    <x v="6"/>
    <n v="20"/>
    <x v="1"/>
  </r>
  <r>
    <d v="2021-02-02T00:00:00"/>
    <s v="Arbeitgeber"/>
    <s v="Gutschrift"/>
    <s v="Lohn"/>
    <n v="1000"/>
    <s v="EUR"/>
    <x v="0"/>
    <x v="1"/>
    <x v="6"/>
    <n v="1000"/>
    <x v="0"/>
  </r>
  <r>
    <d v="2021-02-03T00:00:00"/>
    <s v="Netflix"/>
    <s v="Abonnement"/>
    <s v="Streaming-Dienst"/>
    <n v="-15"/>
    <s v="EUR"/>
    <x v="1"/>
    <x v="1"/>
    <x v="6"/>
    <n v="15"/>
    <x v="1"/>
  </r>
  <r>
    <d v="2021-02-04T00:00:00"/>
    <s v="Autohändler"/>
    <s v="KFZ-Zahlung"/>
    <s v="Auto-Rate"/>
    <n v="-350"/>
    <s v="EUR"/>
    <x v="2"/>
    <x v="1"/>
    <x v="6"/>
    <n v="350"/>
    <x v="1"/>
  </r>
  <r>
    <d v="2021-02-05T00:00:00"/>
    <s v="Versicherungsgesellschaft"/>
    <s v="Versicherungsprämie"/>
    <s v="Kfz-Versicherung"/>
    <n v="-120"/>
    <s v="EUR"/>
    <x v="3"/>
    <x v="1"/>
    <x v="6"/>
    <n v="120"/>
    <x v="1"/>
  </r>
  <r>
    <d v="2021-02-06T00:00:00"/>
    <s v="Supermarkt"/>
    <s v="Lebensmittel-Einkauf"/>
    <s v="Wochenendeinkauf"/>
    <n v="-60"/>
    <s v="EUR"/>
    <x v="4"/>
    <x v="1"/>
    <x v="6"/>
    <n v="60"/>
    <x v="1"/>
  </r>
  <r>
    <d v="2021-02-07T00:00:00"/>
    <s v="Arbeitgeber"/>
    <s v="Gutschrift"/>
    <s v="Lohn"/>
    <n v="1000"/>
    <s v="EUR"/>
    <x v="0"/>
    <x v="1"/>
    <x v="6"/>
    <n v="1000"/>
    <x v="0"/>
  </r>
  <r>
    <d v="2021-02-08T00:00:00"/>
    <s v="Spotify"/>
    <s v="Abonnement"/>
    <s v="Music-Streaming"/>
    <n v="-10"/>
    <s v="EUR"/>
    <x v="1"/>
    <x v="1"/>
    <x v="6"/>
    <n v="10"/>
    <x v="1"/>
  </r>
  <r>
    <d v="2021-02-09T00:00:00"/>
    <s v="Tankstelle"/>
    <s v="Kraftstoff"/>
    <s v="Auto-Tankfüllung"/>
    <n v="-70"/>
    <s v="EUR"/>
    <x v="2"/>
    <x v="1"/>
    <x v="6"/>
    <n v="70"/>
    <x v="1"/>
  </r>
  <r>
    <d v="2021-02-10T00:00:00"/>
    <s v="Versicherungsgesellschaft"/>
    <s v="Versicherungsprämie"/>
    <s v="Haftpflichtversicherung"/>
    <n v="-80"/>
    <s v="EUR"/>
    <x v="3"/>
    <x v="1"/>
    <x v="6"/>
    <n v="80"/>
    <x v="1"/>
  </r>
  <r>
    <d v="2021-02-11T00:00:00"/>
    <s v="Bäckerei"/>
    <s v="Lebensmittel-Einkauf"/>
    <s v="Brot und Gebäck"/>
    <n v="-25"/>
    <s v="EUR"/>
    <x v="4"/>
    <x v="1"/>
    <x v="6"/>
    <n v="25"/>
    <x v="1"/>
  </r>
  <r>
    <d v="2021-02-12T00:00:00"/>
    <s v="Arbeitgeber"/>
    <s v="Gutschrift"/>
    <s v="Lohn"/>
    <n v="1000"/>
    <s v="EUR"/>
    <x v="0"/>
    <x v="1"/>
    <x v="6"/>
    <n v="1000"/>
    <x v="0"/>
  </r>
  <r>
    <d v="2021-02-13T00:00:00"/>
    <s v="Netflix"/>
    <s v="Abonnement"/>
    <s v="Streaming-Dienst"/>
    <n v="-15"/>
    <s v="EUR"/>
    <x v="1"/>
    <x v="1"/>
    <x v="6"/>
    <n v="15"/>
    <x v="1"/>
  </r>
  <r>
    <d v="2021-02-14T00:00:00"/>
    <s v="Autohändler"/>
    <s v="KFZ-Zahlung"/>
    <s v="Auto-Rate"/>
    <n v="-350"/>
    <s v="EUR"/>
    <x v="2"/>
    <x v="1"/>
    <x v="6"/>
    <n v="350"/>
    <x v="1"/>
  </r>
  <r>
    <d v="2021-02-15T00:00:00"/>
    <s v="Versicherungsgesellschaft"/>
    <s v="Versicherungsprämie"/>
    <s v="Kfz-Versicherung"/>
    <n v="-120"/>
    <s v="EUR"/>
    <x v="3"/>
    <x v="1"/>
    <x v="6"/>
    <n v="120"/>
    <x v="1"/>
  </r>
  <r>
    <d v="2021-02-16T00:00:00"/>
    <s v="Supermarkt"/>
    <s v="Lebensmittel-Einkauf"/>
    <s v="Wochenendeinkauf"/>
    <n v="-70"/>
    <s v="EUR"/>
    <x v="4"/>
    <x v="1"/>
    <x v="6"/>
    <n v="70"/>
    <x v="1"/>
  </r>
  <r>
    <d v="2021-02-17T00:00:00"/>
    <s v="Arbeitgeber"/>
    <s v="Gutschrift"/>
    <s v="Lohn"/>
    <n v="1000"/>
    <s v="EUR"/>
    <x v="0"/>
    <x v="1"/>
    <x v="6"/>
    <n v="1000"/>
    <x v="0"/>
  </r>
  <r>
    <d v="2021-02-18T00:00:00"/>
    <s v="Spotify"/>
    <s v="Abonnement"/>
    <s v="Music-Streaming"/>
    <n v="-10"/>
    <s v="EUR"/>
    <x v="1"/>
    <x v="1"/>
    <x v="6"/>
    <n v="10"/>
    <x v="1"/>
  </r>
  <r>
    <d v="2021-02-19T00:00:00"/>
    <s v="Tankstelle"/>
    <s v="Kraftstoff"/>
    <s v="Auto-Tankfüllung"/>
    <n v="-60"/>
    <s v="EUR"/>
    <x v="2"/>
    <x v="1"/>
    <x v="6"/>
    <n v="60"/>
    <x v="1"/>
  </r>
  <r>
    <d v="2021-02-20T00:00:00"/>
    <s v="Versicherungsgesellschaft"/>
    <s v="Versicherungsprämie"/>
    <s v="Haftpflichtversicherung"/>
    <n v="-80"/>
    <s v="EUR"/>
    <x v="3"/>
    <x v="1"/>
    <x v="6"/>
    <n v="80"/>
    <x v="1"/>
  </r>
  <r>
    <d v="2021-02-21T00:00:00"/>
    <s v="Bäckerei"/>
    <s v="Lebensmittel-Einkauf"/>
    <s v="Brot und Gebäck"/>
    <n v="-30"/>
    <s v="EUR"/>
    <x v="4"/>
    <x v="1"/>
    <x v="6"/>
    <n v="30"/>
    <x v="1"/>
  </r>
  <r>
    <d v="2021-02-22T00:00:00"/>
    <s v="Arbeitgeber"/>
    <s v="Gutschrift"/>
    <s v="Lohn"/>
    <n v="1000"/>
    <s v="EUR"/>
    <x v="0"/>
    <x v="1"/>
    <x v="6"/>
    <n v="1000"/>
    <x v="0"/>
  </r>
  <r>
    <d v="2021-02-23T00:00:00"/>
    <s v="Netflix"/>
    <s v="Abonnement"/>
    <s v="Streaming-Dienst"/>
    <n v="-15"/>
    <s v="EUR"/>
    <x v="1"/>
    <x v="1"/>
    <x v="6"/>
    <n v="15"/>
    <x v="1"/>
  </r>
  <r>
    <d v="2021-02-24T00:00:00"/>
    <s v="Autohändler"/>
    <s v="KFZ-Zahlung"/>
    <s v="Auto-Rate"/>
    <n v="-350"/>
    <s v="EUR"/>
    <x v="2"/>
    <x v="1"/>
    <x v="6"/>
    <n v="350"/>
    <x v="1"/>
  </r>
  <r>
    <d v="2021-02-25T00:00:00"/>
    <s v="Versicherungsgesellschaft"/>
    <s v="Versicherungsprämie"/>
    <s v="Kfz-Versicherung"/>
    <n v="-120"/>
    <s v="EUR"/>
    <x v="3"/>
    <x v="1"/>
    <x v="6"/>
    <n v="120"/>
    <x v="1"/>
  </r>
  <r>
    <d v="2021-02-26T00:00:00"/>
    <s v="Supermarkt"/>
    <s v="Lebensmittel-Einkauf"/>
    <s v="Wochenendeinkauf"/>
    <n v="-80"/>
    <s v="EUR"/>
    <x v="4"/>
    <x v="1"/>
    <x v="6"/>
    <n v="80"/>
    <x v="1"/>
  </r>
  <r>
    <d v="2021-02-27T00:00:00"/>
    <s v="Arbeitgeber"/>
    <s v="Gutschrift"/>
    <s v="Lohn"/>
    <n v="1000"/>
    <s v="EUR"/>
    <x v="0"/>
    <x v="1"/>
    <x v="6"/>
    <n v="1000"/>
    <x v="0"/>
  </r>
  <r>
    <d v="2021-02-28T00:00:00"/>
    <s v="Spotify"/>
    <s v="Abonnement"/>
    <s v="Music-Streaming"/>
    <n v="-10"/>
    <s v="EUR"/>
    <x v="1"/>
    <x v="1"/>
    <x v="6"/>
    <n v="10"/>
    <x v="1"/>
  </r>
  <r>
    <d v="2021-03-01T00:00:00"/>
    <s v="Tankstelle"/>
    <s v="Kraftstoff"/>
    <s v="Auto-Tankfüllung"/>
    <n v="-65"/>
    <s v="EUR"/>
    <x v="2"/>
    <x v="2"/>
    <x v="6"/>
    <n v="65"/>
    <x v="1"/>
  </r>
  <r>
    <d v="2021-03-02T00:00:00"/>
    <s v="Versicherungsgesellschaft"/>
    <s v="Versicherungsprämie"/>
    <s v="Haftpflichtversicherung"/>
    <n v="-80"/>
    <s v="EUR"/>
    <x v="3"/>
    <x v="2"/>
    <x v="6"/>
    <n v="80"/>
    <x v="1"/>
  </r>
  <r>
    <d v="2021-03-03T00:00:00"/>
    <s v="Bäckerei"/>
    <s v="Lebensmittel-Einkauf"/>
    <s v="Brot und Gebäck"/>
    <n v="-35"/>
    <s v="EUR"/>
    <x v="4"/>
    <x v="2"/>
    <x v="6"/>
    <n v="35"/>
    <x v="1"/>
  </r>
  <r>
    <d v="2021-03-04T00:00:00"/>
    <s v="Arbeitgeber"/>
    <s v="Gutschrift"/>
    <s v="Lohn"/>
    <n v="1000"/>
    <s v="EUR"/>
    <x v="0"/>
    <x v="2"/>
    <x v="6"/>
    <n v="1000"/>
    <x v="0"/>
  </r>
  <r>
    <d v="2021-03-05T00:00:00"/>
    <s v="Arbeitgeber"/>
    <s v="Gutschrift"/>
    <s v="Lohn"/>
    <n v="1000"/>
    <s v="EUR"/>
    <x v="0"/>
    <x v="2"/>
    <x v="6"/>
    <n v="1000"/>
    <x v="0"/>
  </r>
  <r>
    <d v="2021-03-06T00:00:00"/>
    <s v="Netflix"/>
    <s v="Abonnement"/>
    <s v="Streaming-Dienst"/>
    <n v="-15"/>
    <s v="EUR"/>
    <x v="1"/>
    <x v="2"/>
    <x v="6"/>
    <n v="15"/>
    <x v="1"/>
  </r>
  <r>
    <d v="2021-03-07T00:00:00"/>
    <s v="Autohändler"/>
    <s v="KFZ-Zahlung"/>
    <s v="Auto-Rate"/>
    <n v="-350"/>
    <s v="EUR"/>
    <x v="2"/>
    <x v="2"/>
    <x v="6"/>
    <n v="350"/>
    <x v="1"/>
  </r>
  <r>
    <d v="2021-03-08T00:00:00"/>
    <s v="Versicherungsgesellschaft"/>
    <s v="Versicherungsprämie"/>
    <s v="Kfz-Versicherung"/>
    <n v="-120"/>
    <s v="EUR"/>
    <x v="3"/>
    <x v="2"/>
    <x v="6"/>
    <n v="120"/>
    <x v="1"/>
  </r>
  <r>
    <d v="2021-03-09T00:00:00"/>
    <s v="Supermarkt"/>
    <s v="Lebensmittel-Einkauf"/>
    <s v="Wochenendeinkauf"/>
    <n v="-50"/>
    <s v="EUR"/>
    <x v="4"/>
    <x v="2"/>
    <x v="6"/>
    <n v="50"/>
    <x v="1"/>
  </r>
  <r>
    <d v="2021-03-10T00:00:00"/>
    <s v="Arbeitgeber"/>
    <s v="Gutschrift"/>
    <s v="Lohn"/>
    <n v="1000"/>
    <s v="EUR"/>
    <x v="0"/>
    <x v="2"/>
    <x v="6"/>
    <n v="1000"/>
    <x v="0"/>
  </r>
  <r>
    <d v="2021-03-11T00:00:00"/>
    <s v="Spotify"/>
    <s v="Abonnement"/>
    <s v="Music-Streaming"/>
    <n v="-10"/>
    <s v="EUR"/>
    <x v="1"/>
    <x v="2"/>
    <x v="6"/>
    <n v="10"/>
    <x v="1"/>
  </r>
  <r>
    <d v="2021-03-12T00:00:00"/>
    <s v="Tankstelle"/>
    <s v="Kraftstoff"/>
    <s v="Auto-Tankfüllung"/>
    <n v="-60"/>
    <s v="EUR"/>
    <x v="2"/>
    <x v="2"/>
    <x v="6"/>
    <n v="60"/>
    <x v="1"/>
  </r>
  <r>
    <d v="2021-03-13T00:00:00"/>
    <s v="Versicherungsgesellschaft"/>
    <s v="Versicherungsprämie"/>
    <s v="Haftpflichtversicherung"/>
    <n v="-80"/>
    <s v="EUR"/>
    <x v="3"/>
    <x v="2"/>
    <x v="6"/>
    <n v="80"/>
    <x v="1"/>
  </r>
  <r>
    <d v="2021-03-14T00:00:00"/>
    <s v="Bäckerei"/>
    <s v="Lebensmittel-Einkauf"/>
    <s v="Brot und Gebäck"/>
    <n v="-20"/>
    <s v="EUR"/>
    <x v="4"/>
    <x v="2"/>
    <x v="6"/>
    <n v="20"/>
    <x v="1"/>
  </r>
  <r>
    <d v="2021-03-15T00:00:00"/>
    <s v="Arbeitgeber"/>
    <s v="Gutschrift"/>
    <s v="Lohn"/>
    <n v="1000"/>
    <s v="EUR"/>
    <x v="0"/>
    <x v="2"/>
    <x v="6"/>
    <n v="1000"/>
    <x v="0"/>
  </r>
  <r>
    <d v="2021-03-16T00:00:00"/>
    <s v="Netflix"/>
    <s v="Abonnement"/>
    <s v="Streaming-Dienst"/>
    <n v="-15"/>
    <s v="EUR"/>
    <x v="1"/>
    <x v="2"/>
    <x v="6"/>
    <n v="15"/>
    <x v="1"/>
  </r>
  <r>
    <d v="2021-03-17T00:00:00"/>
    <s v="Autohändler"/>
    <s v="KFZ-Zahlung"/>
    <s v="Auto-Rate"/>
    <n v="-350"/>
    <s v="EUR"/>
    <x v="2"/>
    <x v="2"/>
    <x v="6"/>
    <n v="350"/>
    <x v="1"/>
  </r>
  <r>
    <d v="2021-03-18T00:00:00"/>
    <s v="Versicherungsgesellschaft"/>
    <s v="Versicherungsprämie"/>
    <s v="Kfz-Versicherung"/>
    <n v="-120"/>
    <s v="EUR"/>
    <x v="3"/>
    <x v="2"/>
    <x v="6"/>
    <n v="120"/>
    <x v="1"/>
  </r>
  <r>
    <d v="2021-03-19T00:00:00"/>
    <s v="Supermarkt"/>
    <s v="Lebensmittel-Einkauf"/>
    <s v="Wochenendeinkauf"/>
    <n v="-60"/>
    <s v="EUR"/>
    <x v="4"/>
    <x v="2"/>
    <x v="6"/>
    <n v="60"/>
    <x v="1"/>
  </r>
  <r>
    <d v="2021-03-20T00:00:00"/>
    <s v="Arbeitgeber"/>
    <s v="Gutschrift"/>
    <s v="Lohn"/>
    <n v="1000"/>
    <s v="EUR"/>
    <x v="0"/>
    <x v="2"/>
    <x v="6"/>
    <n v="1000"/>
    <x v="0"/>
  </r>
  <r>
    <d v="2021-03-21T00:00:00"/>
    <s v="Spotify"/>
    <s v="Abonnement"/>
    <s v="Music-Streaming"/>
    <n v="-10"/>
    <s v="EUR"/>
    <x v="1"/>
    <x v="2"/>
    <x v="6"/>
    <n v="10"/>
    <x v="1"/>
  </r>
  <r>
    <d v="2021-03-22T00:00:00"/>
    <s v="Tankstelle"/>
    <s v="Kraftstoff"/>
    <s v="Auto-Tankfüllung"/>
    <n v="-70"/>
    <s v="EUR"/>
    <x v="2"/>
    <x v="2"/>
    <x v="6"/>
    <n v="70"/>
    <x v="1"/>
  </r>
  <r>
    <d v="2021-03-23T00:00:00"/>
    <s v="Versicherungsgesellschaft"/>
    <s v="Versicherungsprämie"/>
    <s v="Haftpflichtversicherung"/>
    <n v="-80"/>
    <s v="EUR"/>
    <x v="3"/>
    <x v="2"/>
    <x v="6"/>
    <n v="80"/>
    <x v="1"/>
  </r>
  <r>
    <d v="2021-03-24T00:00:00"/>
    <s v="Bäckerei"/>
    <s v="Lebensmittel-Einkauf"/>
    <s v="Brot und Gebäck"/>
    <n v="-25"/>
    <s v="EUR"/>
    <x v="4"/>
    <x v="2"/>
    <x v="6"/>
    <n v="25"/>
    <x v="1"/>
  </r>
  <r>
    <d v="2021-03-25T00:00:00"/>
    <s v="Arbeitgeber"/>
    <s v="Gutschrift"/>
    <s v="Lohn"/>
    <n v="1000"/>
    <s v="EUR"/>
    <x v="0"/>
    <x v="2"/>
    <x v="6"/>
    <n v="1000"/>
    <x v="0"/>
  </r>
  <r>
    <d v="2021-03-26T00:00:00"/>
    <s v="Netflix"/>
    <s v="Abonnement"/>
    <s v="Streaming-Dienst"/>
    <n v="-15"/>
    <s v="EUR"/>
    <x v="1"/>
    <x v="2"/>
    <x v="6"/>
    <n v="15"/>
    <x v="1"/>
  </r>
  <r>
    <d v="2021-03-27T00:00:00"/>
    <s v="Autohändler"/>
    <s v="KFZ-Zahlung"/>
    <s v="Auto-Rate"/>
    <n v="-350"/>
    <s v="EUR"/>
    <x v="2"/>
    <x v="2"/>
    <x v="6"/>
    <n v="350"/>
    <x v="1"/>
  </r>
  <r>
    <d v="2021-03-28T00:00:00"/>
    <s v="Versicherungsgesellschaft"/>
    <s v="Versicherungsprämie"/>
    <s v="Kfz-Versicherung"/>
    <n v="-120"/>
    <s v="EUR"/>
    <x v="3"/>
    <x v="2"/>
    <x v="6"/>
    <n v="120"/>
    <x v="1"/>
  </r>
  <r>
    <d v="2021-03-29T00:00:00"/>
    <s v="Supermarkt"/>
    <s v="Lebensmittel-Einkauf"/>
    <s v="Wochenendeinkauf"/>
    <n v="-70"/>
    <s v="EUR"/>
    <x v="4"/>
    <x v="2"/>
    <x v="6"/>
    <n v="70"/>
    <x v="1"/>
  </r>
  <r>
    <d v="2021-03-30T00:00:00"/>
    <s v="Arbeitgeber"/>
    <s v="Gutschrift"/>
    <s v="Lohn"/>
    <n v="1000"/>
    <s v="EUR"/>
    <x v="0"/>
    <x v="2"/>
    <x v="6"/>
    <n v="1000"/>
    <x v="0"/>
  </r>
  <r>
    <d v="2021-03-31T00:00:00"/>
    <s v="Spotify"/>
    <s v="Abonnement"/>
    <s v="Music-Streaming"/>
    <n v="-10"/>
    <s v="EUR"/>
    <x v="1"/>
    <x v="2"/>
    <x v="6"/>
    <n v="10"/>
    <x v="1"/>
  </r>
  <r>
    <d v="2021-04-01T00:00:00"/>
    <s v="Tankstelle"/>
    <s v="Kraftstoff"/>
    <s v="Auto-Tankfüllung"/>
    <n v="-60"/>
    <s v="EUR"/>
    <x v="2"/>
    <x v="3"/>
    <x v="6"/>
    <n v="60"/>
    <x v="1"/>
  </r>
  <r>
    <d v="2021-04-02T00:00:00"/>
    <s v="Versicherungsgesellschaft"/>
    <s v="Versicherungsprämie"/>
    <s v="Haftpflichtversicherung"/>
    <n v="-80"/>
    <s v="EUR"/>
    <x v="3"/>
    <x v="3"/>
    <x v="6"/>
    <n v="80"/>
    <x v="1"/>
  </r>
  <r>
    <d v="2021-04-03T00:00:00"/>
    <s v="Bäckerei"/>
    <s v="Lebensmittel-Einkauf"/>
    <s v="Brot und Gebäck"/>
    <n v="-30"/>
    <s v="EUR"/>
    <x v="4"/>
    <x v="3"/>
    <x v="6"/>
    <n v="30"/>
    <x v="1"/>
  </r>
  <r>
    <d v="2021-04-04T00:00:00"/>
    <s v="Arbeitgeber"/>
    <s v="Gutschrift"/>
    <s v="Lohn"/>
    <n v="1000"/>
    <s v="EUR"/>
    <x v="0"/>
    <x v="3"/>
    <x v="6"/>
    <n v="1000"/>
    <x v="0"/>
  </r>
  <r>
    <d v="2021-04-05T00:00:00"/>
    <s v="Netflix"/>
    <s v="Abonnement"/>
    <s v="Streaming-Dienst"/>
    <n v="-15"/>
    <s v="EUR"/>
    <x v="1"/>
    <x v="3"/>
    <x v="6"/>
    <n v="15"/>
    <x v="1"/>
  </r>
  <r>
    <d v="2021-04-06T00:00:00"/>
    <s v="Autohändler"/>
    <s v="KFZ-Zahlung"/>
    <s v="Auto-Rate"/>
    <n v="-350"/>
    <s v="EUR"/>
    <x v="2"/>
    <x v="3"/>
    <x v="6"/>
    <n v="350"/>
    <x v="1"/>
  </r>
  <r>
    <d v="2021-04-07T00:00:00"/>
    <s v="Versicherungsgesellschaft"/>
    <s v="Versicherungsprämie"/>
    <s v="Kfz-Versicherung"/>
    <n v="-120"/>
    <s v="EUR"/>
    <x v="3"/>
    <x v="3"/>
    <x v="6"/>
    <n v="120"/>
    <x v="1"/>
  </r>
  <r>
    <d v="2021-04-08T00:00:00"/>
    <s v="Supermarkt"/>
    <s v="Lebensmittel-Einkauf"/>
    <s v="Wochenendeinkauf"/>
    <n v="-80"/>
    <s v="EUR"/>
    <x v="4"/>
    <x v="3"/>
    <x v="6"/>
    <n v="80"/>
    <x v="1"/>
  </r>
  <r>
    <d v="2021-04-09T00:00:00"/>
    <s v="Arbeitgeber"/>
    <s v="Gutschrift"/>
    <s v="Lohn"/>
    <n v="1000"/>
    <s v="EUR"/>
    <x v="0"/>
    <x v="3"/>
    <x v="6"/>
    <n v="1000"/>
    <x v="0"/>
  </r>
  <r>
    <d v="2021-04-10T00:00:00"/>
    <s v="Spotify"/>
    <s v="Abonnement"/>
    <s v="Music-Streaming"/>
    <n v="-10"/>
    <s v="EUR"/>
    <x v="1"/>
    <x v="3"/>
    <x v="6"/>
    <n v="10"/>
    <x v="1"/>
  </r>
  <r>
    <d v="2021-04-11T00:00:00"/>
    <s v="Tankstelle"/>
    <s v="Kraftstoff"/>
    <s v="Auto-Tankfüllung"/>
    <n v="-65"/>
    <s v="EUR"/>
    <x v="2"/>
    <x v="3"/>
    <x v="6"/>
    <n v="65"/>
    <x v="1"/>
  </r>
  <r>
    <d v="2021-04-12T00:00:00"/>
    <s v="Versicherungsgesellschaft"/>
    <s v="Versicherungsprämie"/>
    <s v="Haftpflichtversicherung"/>
    <n v="-80"/>
    <s v="EUR"/>
    <x v="3"/>
    <x v="3"/>
    <x v="6"/>
    <n v="80"/>
    <x v="1"/>
  </r>
  <r>
    <d v="2021-04-13T00:00:00"/>
    <s v="Bäckerei"/>
    <s v="Lebensmittel-Einkauf"/>
    <s v="Brot und Gebäck"/>
    <n v="-35"/>
    <s v="EUR"/>
    <x v="4"/>
    <x v="3"/>
    <x v="6"/>
    <n v="35"/>
    <x v="1"/>
  </r>
  <r>
    <d v="2021-04-14T00:00:00"/>
    <s v="Arbeitgeber"/>
    <s v="Gutschrift"/>
    <s v="Lohn"/>
    <n v="1000"/>
    <s v="EUR"/>
    <x v="0"/>
    <x v="3"/>
    <x v="6"/>
    <n v="1000"/>
    <x v="0"/>
  </r>
  <r>
    <d v="2021-04-15T00:00:00"/>
    <s v="Arbeitgeber"/>
    <s v="Gutschrift"/>
    <s v="Lohn"/>
    <n v="1000"/>
    <s v="EUR"/>
    <x v="0"/>
    <x v="3"/>
    <x v="6"/>
    <n v="1000"/>
    <x v="0"/>
  </r>
  <r>
    <d v="2021-04-16T00:00:00"/>
    <s v="Netflix"/>
    <s v="Abonnement"/>
    <s v="Streaming-Dienst"/>
    <n v="-15"/>
    <s v="EUR"/>
    <x v="1"/>
    <x v="3"/>
    <x v="6"/>
    <n v="15"/>
    <x v="1"/>
  </r>
  <r>
    <d v="2021-04-17T00:00:00"/>
    <s v="Autohändler"/>
    <s v="KFZ-Zahlung"/>
    <s v="Auto-Rate"/>
    <n v="-350"/>
    <s v="EUR"/>
    <x v="2"/>
    <x v="3"/>
    <x v="6"/>
    <n v="350"/>
    <x v="1"/>
  </r>
  <r>
    <d v="2021-04-18T00:00:00"/>
    <s v="Versicherungsgesellschaft"/>
    <s v="Versicherungsprämie"/>
    <s v="Kfz-Versicherung"/>
    <n v="-120"/>
    <s v="EUR"/>
    <x v="3"/>
    <x v="3"/>
    <x v="6"/>
    <n v="120"/>
    <x v="1"/>
  </r>
  <r>
    <d v="2021-04-19T00:00:00"/>
    <s v="Supermarkt"/>
    <s v="Lebensmittel-Einkauf"/>
    <s v="Wochenendeinkauf"/>
    <n v="-50"/>
    <s v="EUR"/>
    <x v="4"/>
    <x v="3"/>
    <x v="6"/>
    <n v="50"/>
    <x v="1"/>
  </r>
  <r>
    <d v="2021-04-20T00:00:00"/>
    <s v="Arbeitgeber"/>
    <s v="Gutschrift"/>
    <s v="Lohn"/>
    <n v="1000"/>
    <s v="EUR"/>
    <x v="0"/>
    <x v="3"/>
    <x v="6"/>
    <n v="1000"/>
    <x v="0"/>
  </r>
  <r>
    <d v="2021-04-21T00:00:00"/>
    <s v="Spotify"/>
    <s v="Abonnement"/>
    <s v="Music-Streaming"/>
    <n v="-10"/>
    <s v="EUR"/>
    <x v="1"/>
    <x v="3"/>
    <x v="6"/>
    <n v="10"/>
    <x v="1"/>
  </r>
  <r>
    <d v="2021-04-22T00:00:00"/>
    <s v="Tankstelle"/>
    <s v="Kraftstoff"/>
    <s v="Auto-Tankfüllung"/>
    <n v="-60"/>
    <s v="EUR"/>
    <x v="2"/>
    <x v="3"/>
    <x v="6"/>
    <n v="60"/>
    <x v="1"/>
  </r>
  <r>
    <d v="2021-04-23T00:00:00"/>
    <s v="Versicherungsgesellschaft"/>
    <s v="Versicherungsprämie"/>
    <s v="Haftpflichtversicherung"/>
    <n v="-80"/>
    <s v="EUR"/>
    <x v="3"/>
    <x v="3"/>
    <x v="6"/>
    <n v="80"/>
    <x v="1"/>
  </r>
  <r>
    <d v="2021-04-24T00:00:00"/>
    <s v="Bäckerei"/>
    <s v="Lebensmittel-Einkauf"/>
    <s v="Brot und Gebäck"/>
    <n v="-20"/>
    <s v="EUR"/>
    <x v="4"/>
    <x v="3"/>
    <x v="6"/>
    <n v="20"/>
    <x v="1"/>
  </r>
  <r>
    <d v="2021-04-25T00:00:00"/>
    <s v="Arbeitgeber"/>
    <s v="Gutschrift"/>
    <s v="Lohn"/>
    <n v="1000"/>
    <s v="EUR"/>
    <x v="0"/>
    <x v="3"/>
    <x v="6"/>
    <n v="1000"/>
    <x v="0"/>
  </r>
  <r>
    <d v="2021-04-26T00:00:00"/>
    <s v="Netflix"/>
    <s v="Abonnement"/>
    <s v="Streaming-Dienst"/>
    <n v="-15"/>
    <s v="EUR"/>
    <x v="1"/>
    <x v="3"/>
    <x v="6"/>
    <n v="15"/>
    <x v="1"/>
  </r>
  <r>
    <d v="2021-04-27T00:00:00"/>
    <s v="Autohändler"/>
    <s v="KFZ-Zahlung"/>
    <s v="Auto-Rate"/>
    <n v="-350"/>
    <s v="EUR"/>
    <x v="2"/>
    <x v="3"/>
    <x v="6"/>
    <n v="350"/>
    <x v="1"/>
  </r>
  <r>
    <d v="2021-04-28T00:00:00"/>
    <s v="Versicherungsgesellschaft"/>
    <s v="Versicherungsprämie"/>
    <s v="Kfz-Versicherung"/>
    <n v="-120"/>
    <s v="EUR"/>
    <x v="3"/>
    <x v="3"/>
    <x v="6"/>
    <n v="120"/>
    <x v="1"/>
  </r>
  <r>
    <d v="2021-04-29T00:00:00"/>
    <s v="Supermarkt"/>
    <s v="Lebensmittel-Einkauf"/>
    <s v="Wochenendeinkauf"/>
    <n v="-60"/>
    <s v="EUR"/>
    <x v="4"/>
    <x v="3"/>
    <x v="6"/>
    <n v="60"/>
    <x v="1"/>
  </r>
  <r>
    <d v="2021-04-30T00:00:00"/>
    <s v="Arbeitgeber"/>
    <s v="Gutschrift"/>
    <s v="Lohn"/>
    <n v="1000"/>
    <s v="EUR"/>
    <x v="0"/>
    <x v="3"/>
    <x v="6"/>
    <n v="1000"/>
    <x v="0"/>
  </r>
  <r>
    <d v="2021-05-01T00:00:00"/>
    <s v="Spotify"/>
    <s v="Abonnement"/>
    <s v="Music-Streaming"/>
    <n v="-10"/>
    <s v="EUR"/>
    <x v="1"/>
    <x v="4"/>
    <x v="6"/>
    <n v="10"/>
    <x v="1"/>
  </r>
  <r>
    <d v="2021-05-02T00:00:00"/>
    <s v="Tankstelle"/>
    <s v="Kraftstoff"/>
    <s v="Auto-Tankfüllung"/>
    <n v="-70"/>
    <s v="EUR"/>
    <x v="2"/>
    <x v="4"/>
    <x v="6"/>
    <n v="70"/>
    <x v="1"/>
  </r>
  <r>
    <d v="2021-05-03T00:00:00"/>
    <s v="Versicherungsgesellschaft"/>
    <s v="Versicherungsprämie"/>
    <s v="Haftpflichtversicherung"/>
    <n v="-80"/>
    <s v="EUR"/>
    <x v="3"/>
    <x v="4"/>
    <x v="6"/>
    <n v="80"/>
    <x v="1"/>
  </r>
  <r>
    <d v="2021-05-04T00:00:00"/>
    <s v="Bäckerei"/>
    <s v="Lebensmittel-Einkauf"/>
    <s v="Brot und Gebäck"/>
    <n v="-25"/>
    <s v="EUR"/>
    <x v="4"/>
    <x v="4"/>
    <x v="6"/>
    <n v="25"/>
    <x v="1"/>
  </r>
  <r>
    <d v="2021-05-05T00:00:00"/>
    <s v="Arbeitgeber"/>
    <s v="Gutschrift"/>
    <s v="Lohn"/>
    <n v="1000"/>
    <s v="EUR"/>
    <x v="0"/>
    <x v="4"/>
    <x v="6"/>
    <n v="1000"/>
    <x v="0"/>
  </r>
  <r>
    <d v="2021-05-06T00:00:00"/>
    <s v="Netflix"/>
    <s v="Abonnement"/>
    <s v="Streaming-Dienst"/>
    <n v="-15"/>
    <s v="EUR"/>
    <x v="1"/>
    <x v="4"/>
    <x v="6"/>
    <n v="15"/>
    <x v="1"/>
  </r>
  <r>
    <d v="2021-05-07T00:00:00"/>
    <s v="Autohändler"/>
    <s v="KFZ-Zahlung"/>
    <s v="Auto-Rate"/>
    <n v="-350"/>
    <s v="EUR"/>
    <x v="2"/>
    <x v="4"/>
    <x v="6"/>
    <n v="350"/>
    <x v="1"/>
  </r>
  <r>
    <d v="2021-05-08T00:00:00"/>
    <s v="Versicherungsgesellschaft"/>
    <s v="Versicherungsprämie"/>
    <s v="Kfz-Versicherung"/>
    <n v="-120"/>
    <s v="EUR"/>
    <x v="3"/>
    <x v="4"/>
    <x v="6"/>
    <n v="120"/>
    <x v="1"/>
  </r>
  <r>
    <d v="2021-05-09T00:00:00"/>
    <s v="Supermarkt"/>
    <s v="Lebensmittel-Einkauf"/>
    <s v="Wochenendeinkauf"/>
    <n v="-70"/>
    <s v="EUR"/>
    <x v="4"/>
    <x v="4"/>
    <x v="6"/>
    <n v="70"/>
    <x v="1"/>
  </r>
  <r>
    <d v="2021-05-10T00:00:00"/>
    <s v="Arbeitgeber"/>
    <s v="Gutschrift"/>
    <s v="Lohn"/>
    <n v="1000"/>
    <s v="EUR"/>
    <x v="0"/>
    <x v="4"/>
    <x v="6"/>
    <n v="1000"/>
    <x v="0"/>
  </r>
  <r>
    <d v="2021-05-11T00:00:00"/>
    <s v="Spotify"/>
    <s v="Abonnement"/>
    <s v="Music-Streaming"/>
    <n v="-10"/>
    <s v="EUR"/>
    <x v="1"/>
    <x v="4"/>
    <x v="6"/>
    <n v="10"/>
    <x v="1"/>
  </r>
  <r>
    <d v="2021-05-12T00:00:00"/>
    <s v="Tankstelle"/>
    <s v="Kraftstoff"/>
    <s v="Auto-Tankfüllung"/>
    <n v="-60"/>
    <s v="EUR"/>
    <x v="2"/>
    <x v="4"/>
    <x v="6"/>
    <n v="60"/>
    <x v="1"/>
  </r>
  <r>
    <d v="2021-05-13T00:00:00"/>
    <s v="Versicherungsgesellschaft"/>
    <s v="Versicherungsprämie"/>
    <s v="Haftpflichtversicherung"/>
    <n v="-80"/>
    <s v="EUR"/>
    <x v="3"/>
    <x v="4"/>
    <x v="6"/>
    <n v="80"/>
    <x v="1"/>
  </r>
  <r>
    <d v="2021-05-14T00:00:00"/>
    <s v="Bäckerei"/>
    <s v="Lebensmittel-Einkauf"/>
    <s v="Brot und Gebäck"/>
    <n v="-30"/>
    <s v="EUR"/>
    <x v="4"/>
    <x v="4"/>
    <x v="6"/>
    <n v="30"/>
    <x v="1"/>
  </r>
  <r>
    <d v="2021-05-15T00:00:00"/>
    <s v="Arbeitgeber"/>
    <s v="Gutschrift"/>
    <s v="Lohn"/>
    <n v="1000"/>
    <s v="EUR"/>
    <x v="0"/>
    <x v="4"/>
    <x v="6"/>
    <n v="1000"/>
    <x v="0"/>
  </r>
  <r>
    <d v="2021-05-16T00:00:00"/>
    <s v="Netflix"/>
    <s v="Abonnement"/>
    <s v="Streaming-Dienst"/>
    <n v="-15"/>
    <s v="EUR"/>
    <x v="1"/>
    <x v="4"/>
    <x v="6"/>
    <n v="15"/>
    <x v="1"/>
  </r>
  <r>
    <d v="2021-05-17T00:00:00"/>
    <s v="Autohändler"/>
    <s v="KFZ-Zahlung"/>
    <s v="Auto-Rate"/>
    <n v="-350"/>
    <s v="EUR"/>
    <x v="2"/>
    <x v="4"/>
    <x v="6"/>
    <n v="350"/>
    <x v="1"/>
  </r>
  <r>
    <d v="2021-05-18T00:00:00"/>
    <s v="Versicherungsgesellschaft"/>
    <s v="Versicherungsprämie"/>
    <s v="Kfz-Versicherung"/>
    <n v="-120"/>
    <s v="EUR"/>
    <x v="3"/>
    <x v="4"/>
    <x v="6"/>
    <n v="120"/>
    <x v="1"/>
  </r>
  <r>
    <d v="2021-05-19T00:00:00"/>
    <s v="Supermarkt"/>
    <s v="Lebensmittel-Einkauf"/>
    <s v="Wochenendeinkauf"/>
    <n v="-80"/>
    <s v="EUR"/>
    <x v="4"/>
    <x v="4"/>
    <x v="6"/>
    <n v="80"/>
    <x v="1"/>
  </r>
  <r>
    <d v="2021-05-20T00:00:00"/>
    <s v="Arbeitgeber"/>
    <s v="Gutschrift"/>
    <s v="Lohn"/>
    <n v="1000"/>
    <s v="EUR"/>
    <x v="0"/>
    <x v="4"/>
    <x v="6"/>
    <n v="1000"/>
    <x v="0"/>
  </r>
  <r>
    <d v="2021-05-21T00:00:00"/>
    <s v="Spotify"/>
    <s v="Abonnement"/>
    <s v="Music-Streaming"/>
    <n v="-10"/>
    <s v="EUR"/>
    <x v="1"/>
    <x v="4"/>
    <x v="6"/>
    <n v="10"/>
    <x v="1"/>
  </r>
  <r>
    <d v="2021-05-22T00:00:00"/>
    <s v="Tankstelle"/>
    <s v="Kraftstoff"/>
    <s v="Auto-Tankfüllung"/>
    <n v="-65"/>
    <s v="EUR"/>
    <x v="2"/>
    <x v="4"/>
    <x v="6"/>
    <n v="65"/>
    <x v="1"/>
  </r>
  <r>
    <d v="2021-05-23T00:00:00"/>
    <s v="Versicherungsgesellschaft"/>
    <s v="Versicherungsprämie"/>
    <s v="Haftpflichtversicherung"/>
    <n v="-80"/>
    <s v="EUR"/>
    <x v="3"/>
    <x v="4"/>
    <x v="6"/>
    <n v="80"/>
    <x v="1"/>
  </r>
  <r>
    <d v="2021-05-24T00:00:00"/>
    <s v="Bäckerei"/>
    <s v="Lebensmittel-Einkauf"/>
    <s v="Brot und Gebäck"/>
    <n v="-35"/>
    <s v="EUR"/>
    <x v="4"/>
    <x v="4"/>
    <x v="6"/>
    <n v="35"/>
    <x v="1"/>
  </r>
  <r>
    <d v="2021-05-25T00:00:00"/>
    <s v="Arbeitgeber"/>
    <s v="Gutschrift"/>
    <s v="Lohn"/>
    <n v="1000"/>
    <s v="EUR"/>
    <x v="0"/>
    <x v="4"/>
    <x v="6"/>
    <n v="1000"/>
    <x v="0"/>
  </r>
  <r>
    <d v="2021-05-26T00:00:00"/>
    <s v="Arbeitgeber"/>
    <s v="Gutschrift"/>
    <s v="Lohn"/>
    <n v="1000"/>
    <s v="EUR"/>
    <x v="0"/>
    <x v="4"/>
    <x v="6"/>
    <n v="1000"/>
    <x v="0"/>
  </r>
  <r>
    <d v="2021-05-27T00:00:00"/>
    <s v="Netflix"/>
    <s v="Abonnement"/>
    <s v="Streaming-Dienst"/>
    <n v="-15"/>
    <s v="EUR"/>
    <x v="1"/>
    <x v="4"/>
    <x v="6"/>
    <n v="15"/>
    <x v="1"/>
  </r>
  <r>
    <d v="2021-05-28T00:00:00"/>
    <s v="Autohändler"/>
    <s v="KFZ-Zahlung"/>
    <s v="Auto-Rate"/>
    <n v="-350"/>
    <s v="EUR"/>
    <x v="2"/>
    <x v="4"/>
    <x v="6"/>
    <n v="350"/>
    <x v="1"/>
  </r>
  <r>
    <d v="2021-05-29T00:00:00"/>
    <s v="Versicherungsgesellschaft"/>
    <s v="Versicherungsprämie"/>
    <s v="Kfz-Versicherung"/>
    <n v="-120"/>
    <s v="EUR"/>
    <x v="3"/>
    <x v="4"/>
    <x v="6"/>
    <n v="120"/>
    <x v="1"/>
  </r>
  <r>
    <d v="2021-05-30T00:00:00"/>
    <s v="Supermarkt"/>
    <s v="Lebensmittel-Einkauf"/>
    <s v="Wochenendeinkauf"/>
    <n v="-50"/>
    <s v="EUR"/>
    <x v="4"/>
    <x v="4"/>
    <x v="6"/>
    <n v="50"/>
    <x v="1"/>
  </r>
  <r>
    <d v="2021-05-31T00:00:00"/>
    <s v="Arbeitgeber"/>
    <s v="Gutschrift"/>
    <s v="Lohn"/>
    <n v="1000"/>
    <s v="EUR"/>
    <x v="0"/>
    <x v="4"/>
    <x v="6"/>
    <n v="1000"/>
    <x v="0"/>
  </r>
  <r>
    <d v="2021-06-01T00:00:00"/>
    <s v="Spotify"/>
    <s v="Abonnement"/>
    <s v="Music-Streaming"/>
    <n v="-10"/>
    <s v="EUR"/>
    <x v="1"/>
    <x v="5"/>
    <x v="6"/>
    <n v="10"/>
    <x v="1"/>
  </r>
  <r>
    <d v="2021-06-02T00:00:00"/>
    <s v="Tankstelle"/>
    <s v="Kraftstoff"/>
    <s v="Auto-Tankfüllung"/>
    <n v="-60"/>
    <s v="EUR"/>
    <x v="2"/>
    <x v="5"/>
    <x v="6"/>
    <n v="60"/>
    <x v="1"/>
  </r>
  <r>
    <d v="2021-06-03T00:00:00"/>
    <s v="Versicherungsgesellschaft"/>
    <s v="Versicherungsprämie"/>
    <s v="Haftpflichtversicherung"/>
    <n v="-80"/>
    <s v="EUR"/>
    <x v="3"/>
    <x v="5"/>
    <x v="6"/>
    <n v="80"/>
    <x v="1"/>
  </r>
  <r>
    <d v="2021-06-04T00:00:00"/>
    <s v="Bäckerei"/>
    <s v="Lebensmittel-Einkauf"/>
    <s v="Brot und Gebäck"/>
    <n v="-20"/>
    <s v="EUR"/>
    <x v="4"/>
    <x v="5"/>
    <x v="6"/>
    <n v="20"/>
    <x v="1"/>
  </r>
  <r>
    <d v="2021-06-05T00:00:00"/>
    <s v="Arbeitgeber"/>
    <s v="Gutschrift"/>
    <s v="Lohn"/>
    <n v="1000"/>
    <s v="EUR"/>
    <x v="0"/>
    <x v="5"/>
    <x v="6"/>
    <n v="1000"/>
    <x v="0"/>
  </r>
  <r>
    <d v="2021-06-06T00:00:00"/>
    <s v="Netflix"/>
    <s v="Abonnement"/>
    <s v="Streaming-Dienst"/>
    <n v="-15"/>
    <s v="EUR"/>
    <x v="1"/>
    <x v="5"/>
    <x v="6"/>
    <n v="15"/>
    <x v="1"/>
  </r>
  <r>
    <d v="2021-06-07T00:00:00"/>
    <s v="Autohändler"/>
    <s v="KFZ-Zahlung"/>
    <s v="Auto-Rate"/>
    <n v="-350"/>
    <s v="EUR"/>
    <x v="2"/>
    <x v="5"/>
    <x v="6"/>
    <n v="350"/>
    <x v="1"/>
  </r>
  <r>
    <d v="2021-06-08T00:00:00"/>
    <s v="Versicherungsgesellschaft"/>
    <s v="Versicherungsprämie"/>
    <s v="Kfz-Versicherung"/>
    <n v="-120"/>
    <s v="EUR"/>
    <x v="3"/>
    <x v="5"/>
    <x v="6"/>
    <n v="120"/>
    <x v="1"/>
  </r>
  <r>
    <d v="2021-06-09T00:00:00"/>
    <s v="Supermarkt"/>
    <s v="Lebensmittel-Einkauf"/>
    <s v="Wochenendeinkauf"/>
    <n v="-60"/>
    <s v="EUR"/>
    <x v="4"/>
    <x v="5"/>
    <x v="6"/>
    <n v="60"/>
    <x v="1"/>
  </r>
  <r>
    <d v="2021-06-10T00:00:00"/>
    <s v="Arbeitgeber"/>
    <s v="Gutschrift"/>
    <s v="Lohn"/>
    <n v="1000"/>
    <s v="EUR"/>
    <x v="0"/>
    <x v="5"/>
    <x v="6"/>
    <n v="1000"/>
    <x v="0"/>
  </r>
  <r>
    <d v="2021-06-11T00:00:00"/>
    <s v="Spotify"/>
    <s v="Abonnement"/>
    <s v="Music-Streaming"/>
    <n v="-10"/>
    <s v="EUR"/>
    <x v="1"/>
    <x v="5"/>
    <x v="6"/>
    <n v="10"/>
    <x v="1"/>
  </r>
  <r>
    <d v="2021-06-12T00:00:00"/>
    <s v="Tankstelle"/>
    <s v="Kraftstoff"/>
    <s v="Auto-Tankfüllung"/>
    <n v="-70"/>
    <s v="EUR"/>
    <x v="2"/>
    <x v="5"/>
    <x v="6"/>
    <n v="70"/>
    <x v="1"/>
  </r>
  <r>
    <d v="2021-06-13T00:00:00"/>
    <s v="Versicherungsgesellschaft"/>
    <s v="Versicherungsprämie"/>
    <s v="Haftpflichtversicherung"/>
    <n v="-80"/>
    <s v="EUR"/>
    <x v="3"/>
    <x v="5"/>
    <x v="6"/>
    <n v="80"/>
    <x v="1"/>
  </r>
  <r>
    <d v="2021-06-14T00:00:00"/>
    <s v="Bäckerei"/>
    <s v="Lebensmittel-Einkauf"/>
    <s v="Brot und Gebäck"/>
    <n v="-25"/>
    <s v="EUR"/>
    <x v="4"/>
    <x v="5"/>
    <x v="6"/>
    <n v="25"/>
    <x v="1"/>
  </r>
  <r>
    <d v="2021-06-15T00:00:00"/>
    <s v="Arbeitgeber"/>
    <s v="Gutschrift"/>
    <s v="Lohn"/>
    <n v="1000"/>
    <s v="EUR"/>
    <x v="0"/>
    <x v="5"/>
    <x v="6"/>
    <n v="1000"/>
    <x v="0"/>
  </r>
  <r>
    <d v="2021-06-16T00:00:00"/>
    <s v="Netflix"/>
    <s v="Abonnement"/>
    <s v="Streaming-Dienst"/>
    <n v="-15"/>
    <s v="EUR"/>
    <x v="1"/>
    <x v="5"/>
    <x v="6"/>
    <n v="15"/>
    <x v="1"/>
  </r>
  <r>
    <d v="2021-06-17T00:00:00"/>
    <s v="Autohändler"/>
    <s v="KFZ-Zahlung"/>
    <s v="Auto-Rate"/>
    <n v="-350"/>
    <s v="EUR"/>
    <x v="2"/>
    <x v="5"/>
    <x v="6"/>
    <n v="350"/>
    <x v="1"/>
  </r>
  <r>
    <d v="2021-06-18T00:00:00"/>
    <s v="Versicherungsgesellschaft"/>
    <s v="Versicherungsprämie"/>
    <s v="Kfz-Versicherung"/>
    <n v="-120"/>
    <s v="EUR"/>
    <x v="3"/>
    <x v="5"/>
    <x v="6"/>
    <n v="120"/>
    <x v="1"/>
  </r>
  <r>
    <d v="2021-06-19T00:00:00"/>
    <s v="Supermarkt"/>
    <s v="Lebensmittel-Einkauf"/>
    <s v="Wochenendeinkauf"/>
    <n v="-70"/>
    <s v="EUR"/>
    <x v="4"/>
    <x v="5"/>
    <x v="6"/>
    <n v="70"/>
    <x v="1"/>
  </r>
  <r>
    <d v="2021-06-20T00:00:00"/>
    <s v="Arbeitgeber"/>
    <s v="Gutschrift"/>
    <s v="Lohn"/>
    <n v="1000"/>
    <s v="EUR"/>
    <x v="0"/>
    <x v="5"/>
    <x v="6"/>
    <n v="1000"/>
    <x v="0"/>
  </r>
  <r>
    <d v="2021-06-21T00:00:00"/>
    <s v="Spotify"/>
    <s v="Abonnement"/>
    <s v="Music-Streaming"/>
    <n v="-10"/>
    <s v="EUR"/>
    <x v="1"/>
    <x v="5"/>
    <x v="6"/>
    <n v="10"/>
    <x v="1"/>
  </r>
  <r>
    <d v="2021-06-22T00:00:00"/>
    <s v="Tankstelle"/>
    <s v="Kraftstoff"/>
    <s v="Auto-Tankfüllung"/>
    <n v="-60"/>
    <s v="EUR"/>
    <x v="2"/>
    <x v="5"/>
    <x v="6"/>
    <n v="60"/>
    <x v="1"/>
  </r>
  <r>
    <d v="2021-06-23T00:00:00"/>
    <s v="Versicherungsgesellschaft"/>
    <s v="Versicherungsprämie"/>
    <s v="Haftpflichtversicherung"/>
    <n v="-80"/>
    <s v="EUR"/>
    <x v="3"/>
    <x v="5"/>
    <x v="6"/>
    <n v="80"/>
    <x v="1"/>
  </r>
  <r>
    <d v="2021-06-24T00:00:00"/>
    <s v="Bäckerei"/>
    <s v="Lebensmittel-Einkauf"/>
    <s v="Brot und Gebäck"/>
    <n v="-30"/>
    <s v="EUR"/>
    <x v="4"/>
    <x v="5"/>
    <x v="6"/>
    <n v="30"/>
    <x v="1"/>
  </r>
  <r>
    <d v="2021-06-25T00:00:00"/>
    <s v="Arbeitgeber"/>
    <s v="Gutschrift"/>
    <s v="Lohn"/>
    <n v="1000"/>
    <s v="EUR"/>
    <x v="0"/>
    <x v="5"/>
    <x v="6"/>
    <n v="1000"/>
    <x v="0"/>
  </r>
  <r>
    <d v="2021-06-26T00:00:00"/>
    <s v="Netflix"/>
    <s v="Abonnement"/>
    <s v="Streaming-Dienst"/>
    <n v="-15"/>
    <s v="EUR"/>
    <x v="1"/>
    <x v="5"/>
    <x v="6"/>
    <n v="15"/>
    <x v="1"/>
  </r>
  <r>
    <d v="2021-06-27T00:00:00"/>
    <s v="Autohändler"/>
    <s v="KFZ-Zahlung"/>
    <s v="Auto-Rate"/>
    <n v="-350"/>
    <s v="EUR"/>
    <x v="2"/>
    <x v="5"/>
    <x v="6"/>
    <n v="350"/>
    <x v="1"/>
  </r>
  <r>
    <d v="2021-06-28T00:00:00"/>
    <s v="Versicherungsgesellschaft"/>
    <s v="Versicherungsprämie"/>
    <s v="Kfz-Versicherung"/>
    <n v="-120"/>
    <s v="EUR"/>
    <x v="3"/>
    <x v="5"/>
    <x v="6"/>
    <n v="120"/>
    <x v="1"/>
  </r>
  <r>
    <d v="2021-06-29T00:00:00"/>
    <s v="Supermarkt"/>
    <s v="Lebensmittel-Einkauf"/>
    <s v="Wochenendeinkauf"/>
    <n v="-80"/>
    <s v="EUR"/>
    <x v="4"/>
    <x v="5"/>
    <x v="6"/>
    <n v="80"/>
    <x v="1"/>
  </r>
  <r>
    <d v="2021-06-30T00:00:00"/>
    <s v="Arbeitgeber"/>
    <s v="Gutschrift"/>
    <s v="Lohn"/>
    <n v="1000"/>
    <s v="EUR"/>
    <x v="0"/>
    <x v="5"/>
    <x v="6"/>
    <n v="1000"/>
    <x v="0"/>
  </r>
  <r>
    <d v="2021-07-01T00:00:00"/>
    <s v="Spotify"/>
    <s v="Abonnement"/>
    <s v="Music-Streaming"/>
    <n v="-10"/>
    <s v="EUR"/>
    <x v="1"/>
    <x v="6"/>
    <x v="6"/>
    <n v="10"/>
    <x v="1"/>
  </r>
  <r>
    <d v="2021-07-02T00:00:00"/>
    <s v="Tankstelle"/>
    <s v="Kraftstoff"/>
    <s v="Auto-Tankfüllung"/>
    <n v="-65"/>
    <s v="EUR"/>
    <x v="2"/>
    <x v="6"/>
    <x v="6"/>
    <n v="65"/>
    <x v="1"/>
  </r>
  <r>
    <d v="2021-07-03T00:00:00"/>
    <s v="Versicherungsgesellschaft"/>
    <s v="Versicherungsprämie"/>
    <s v="Haftpflichtversicherung"/>
    <n v="-80"/>
    <s v="EUR"/>
    <x v="3"/>
    <x v="6"/>
    <x v="6"/>
    <n v="80"/>
    <x v="1"/>
  </r>
  <r>
    <d v="2021-07-04T00:00:00"/>
    <s v="Bäckerei"/>
    <s v="Lebensmittel-Einkauf"/>
    <s v="Brot und Gebäck"/>
    <n v="-35"/>
    <s v="EUR"/>
    <x v="4"/>
    <x v="6"/>
    <x v="6"/>
    <n v="35"/>
    <x v="1"/>
  </r>
  <r>
    <d v="2021-07-05T00:00:00"/>
    <s v="Arbeitgeber"/>
    <s v="Gutschrift"/>
    <s v="Lohn"/>
    <n v="1000"/>
    <s v="EUR"/>
    <x v="0"/>
    <x v="6"/>
    <x v="6"/>
    <n v="1000"/>
    <x v="0"/>
  </r>
  <r>
    <d v="2021-07-06T00:00:00"/>
    <s v="Arbeitgeber"/>
    <s v="Gutschrift"/>
    <s v="Lohn"/>
    <n v="1000"/>
    <s v="EUR"/>
    <x v="0"/>
    <x v="6"/>
    <x v="6"/>
    <n v="1000"/>
    <x v="0"/>
  </r>
  <r>
    <d v="2021-07-07T00:00:00"/>
    <s v="Netflix"/>
    <s v="Abonnement"/>
    <s v="Streaming-Dienst"/>
    <n v="-15"/>
    <s v="EUR"/>
    <x v="1"/>
    <x v="6"/>
    <x v="6"/>
    <n v="15"/>
    <x v="1"/>
  </r>
  <r>
    <d v="2021-07-08T00:00:00"/>
    <s v="Autohändler"/>
    <s v="KFZ-Zahlung"/>
    <s v="Auto-Rate"/>
    <n v="-350"/>
    <s v="EUR"/>
    <x v="2"/>
    <x v="6"/>
    <x v="6"/>
    <n v="350"/>
    <x v="1"/>
  </r>
  <r>
    <d v="2021-07-09T00:00:00"/>
    <s v="Versicherungsgesellschaft"/>
    <s v="Versicherungsprämie"/>
    <s v="Kfz-Versicherung"/>
    <n v="-120"/>
    <s v="EUR"/>
    <x v="3"/>
    <x v="6"/>
    <x v="6"/>
    <n v="120"/>
    <x v="1"/>
  </r>
  <r>
    <d v="2021-07-10T00:00:00"/>
    <s v="Supermarkt"/>
    <s v="Lebensmittel-Einkauf"/>
    <s v="Wochenendeinkauf"/>
    <n v="-50"/>
    <s v="EUR"/>
    <x v="4"/>
    <x v="6"/>
    <x v="6"/>
    <n v="50"/>
    <x v="1"/>
  </r>
  <r>
    <d v="2021-07-11T00:00:00"/>
    <s v="Arbeitgeber"/>
    <s v="Gutschrift"/>
    <s v="Lohn"/>
    <n v="1000"/>
    <s v="EUR"/>
    <x v="0"/>
    <x v="6"/>
    <x v="6"/>
    <n v="1000"/>
    <x v="0"/>
  </r>
  <r>
    <d v="2021-07-12T00:00:00"/>
    <s v="Spotify"/>
    <s v="Abonnement"/>
    <s v="Music-Streaming"/>
    <n v="-10"/>
    <s v="EUR"/>
    <x v="1"/>
    <x v="6"/>
    <x v="6"/>
    <n v="10"/>
    <x v="1"/>
  </r>
  <r>
    <d v="2021-07-13T00:00:00"/>
    <s v="Tankstelle"/>
    <s v="Kraftstoff"/>
    <s v="Auto-Tankfüllung"/>
    <n v="-60"/>
    <s v="EUR"/>
    <x v="2"/>
    <x v="6"/>
    <x v="6"/>
    <n v="60"/>
    <x v="1"/>
  </r>
  <r>
    <d v="2021-07-14T00:00:00"/>
    <s v="Versicherungsgesellschaft"/>
    <s v="Versicherungsprämie"/>
    <s v="Haftpflichtversicherung"/>
    <n v="-80"/>
    <s v="EUR"/>
    <x v="3"/>
    <x v="6"/>
    <x v="6"/>
    <n v="80"/>
    <x v="1"/>
  </r>
  <r>
    <d v="2021-07-15T00:00:00"/>
    <s v="Bäckerei"/>
    <s v="Lebensmittel-Einkauf"/>
    <s v="Brot und Gebäck"/>
    <n v="-20"/>
    <s v="EUR"/>
    <x v="4"/>
    <x v="6"/>
    <x v="6"/>
    <n v="20"/>
    <x v="1"/>
  </r>
  <r>
    <d v="2021-07-16T00:00:00"/>
    <s v="Arbeitgeber"/>
    <s v="Gutschrift"/>
    <s v="Lohn"/>
    <n v="1000"/>
    <s v="EUR"/>
    <x v="0"/>
    <x v="6"/>
    <x v="6"/>
    <n v="1000"/>
    <x v="0"/>
  </r>
  <r>
    <d v="2021-07-17T00:00:00"/>
    <s v="Netflix"/>
    <s v="Abonnement"/>
    <s v="Streaming-Dienst"/>
    <n v="-15"/>
    <s v="EUR"/>
    <x v="1"/>
    <x v="6"/>
    <x v="6"/>
    <n v="15"/>
    <x v="1"/>
  </r>
  <r>
    <d v="2021-07-18T00:00:00"/>
    <s v="Autohändler"/>
    <s v="KFZ-Zahlung"/>
    <s v="Auto-Rate"/>
    <n v="-350"/>
    <s v="EUR"/>
    <x v="2"/>
    <x v="6"/>
    <x v="6"/>
    <n v="350"/>
    <x v="1"/>
  </r>
  <r>
    <d v="2021-07-19T00:00:00"/>
    <s v="Versicherungsgesellschaft"/>
    <s v="Versicherungsprämie"/>
    <s v="Kfz-Versicherung"/>
    <n v="-120"/>
    <s v="EUR"/>
    <x v="3"/>
    <x v="6"/>
    <x v="6"/>
    <n v="120"/>
    <x v="1"/>
  </r>
  <r>
    <d v="2021-07-20T00:00:00"/>
    <s v="Supermarkt"/>
    <s v="Lebensmittel-Einkauf"/>
    <s v="Wochenendeinkauf"/>
    <n v="-60"/>
    <s v="EUR"/>
    <x v="4"/>
    <x v="6"/>
    <x v="6"/>
    <n v="60"/>
    <x v="1"/>
  </r>
  <r>
    <d v="2021-07-21T00:00:00"/>
    <s v="Arbeitgeber"/>
    <s v="Gutschrift"/>
    <s v="Lohn"/>
    <n v="1000"/>
    <s v="EUR"/>
    <x v="0"/>
    <x v="6"/>
    <x v="6"/>
    <n v="1000"/>
    <x v="0"/>
  </r>
  <r>
    <d v="2021-07-22T00:00:00"/>
    <s v="Spotify"/>
    <s v="Abonnement"/>
    <s v="Music-Streaming"/>
    <n v="-10"/>
    <s v="EUR"/>
    <x v="1"/>
    <x v="6"/>
    <x v="6"/>
    <n v="10"/>
    <x v="1"/>
  </r>
  <r>
    <d v="2021-07-23T00:00:00"/>
    <s v="Tankstelle"/>
    <s v="Kraftstoff"/>
    <s v="Auto-Tankfüllung"/>
    <n v="-70"/>
    <s v="EUR"/>
    <x v="2"/>
    <x v="6"/>
    <x v="6"/>
    <n v="70"/>
    <x v="1"/>
  </r>
  <r>
    <d v="2021-07-24T00:00:00"/>
    <s v="Versicherungsgesellschaft"/>
    <s v="Versicherungsprämie"/>
    <s v="Haftpflichtversicherung"/>
    <n v="-80"/>
    <s v="EUR"/>
    <x v="3"/>
    <x v="6"/>
    <x v="6"/>
    <n v="80"/>
    <x v="1"/>
  </r>
  <r>
    <d v="2021-07-25T00:00:00"/>
    <s v="Bäckerei"/>
    <s v="Lebensmittel-Einkauf"/>
    <s v="Brot und Gebäck"/>
    <n v="-25"/>
    <s v="EUR"/>
    <x v="4"/>
    <x v="6"/>
    <x v="6"/>
    <n v="25"/>
    <x v="1"/>
  </r>
  <r>
    <d v="2021-07-26T00:00:00"/>
    <s v="Arbeitgeber"/>
    <s v="Gutschrift"/>
    <s v="Lohn"/>
    <n v="1000"/>
    <s v="EUR"/>
    <x v="0"/>
    <x v="6"/>
    <x v="6"/>
    <n v="1000"/>
    <x v="0"/>
  </r>
  <r>
    <d v="2021-07-27T00:00:00"/>
    <s v="Netflix"/>
    <s v="Abonnement"/>
    <s v="Streaming-Dienst"/>
    <n v="-15"/>
    <s v="EUR"/>
    <x v="1"/>
    <x v="6"/>
    <x v="6"/>
    <n v="15"/>
    <x v="1"/>
  </r>
  <r>
    <d v="2021-07-28T00:00:00"/>
    <s v="Autohändler"/>
    <s v="KFZ-Zahlung"/>
    <s v="Auto-Rate"/>
    <n v="-350"/>
    <s v="EUR"/>
    <x v="2"/>
    <x v="6"/>
    <x v="6"/>
    <n v="350"/>
    <x v="1"/>
  </r>
  <r>
    <d v="2021-07-29T00:00:00"/>
    <s v="Versicherungsgesellschaft"/>
    <s v="Versicherungsprämie"/>
    <s v="Kfz-Versicherung"/>
    <n v="-120"/>
    <s v="EUR"/>
    <x v="3"/>
    <x v="6"/>
    <x v="6"/>
    <n v="120"/>
    <x v="1"/>
  </r>
  <r>
    <d v="2021-07-30T00:00:00"/>
    <s v="Supermarkt"/>
    <s v="Lebensmittel-Einkauf"/>
    <s v="Wochenendeinkauf"/>
    <n v="-70"/>
    <s v="EUR"/>
    <x v="4"/>
    <x v="6"/>
    <x v="6"/>
    <n v="70"/>
    <x v="1"/>
  </r>
  <r>
    <d v="2021-07-31T00:00:00"/>
    <s v="Arbeitgeber"/>
    <s v="Gutschrift"/>
    <s v="Lohn"/>
    <n v="1000"/>
    <s v="EUR"/>
    <x v="0"/>
    <x v="6"/>
    <x v="6"/>
    <n v="1000"/>
    <x v="0"/>
  </r>
  <r>
    <d v="2021-08-01T00:00:00"/>
    <s v="Spotify"/>
    <s v="Abonnement"/>
    <s v="Music-Streaming"/>
    <n v="-10"/>
    <s v="EUR"/>
    <x v="1"/>
    <x v="7"/>
    <x v="6"/>
    <n v="10"/>
    <x v="1"/>
  </r>
  <r>
    <d v="2021-08-02T00:00:00"/>
    <s v="Tankstelle"/>
    <s v="Kraftstoff"/>
    <s v="Auto-Tankfüllung"/>
    <n v="-60"/>
    <s v="EUR"/>
    <x v="2"/>
    <x v="7"/>
    <x v="6"/>
    <n v="60"/>
    <x v="1"/>
  </r>
  <r>
    <d v="2021-08-03T00:00:00"/>
    <s v="Versicherungsgesellschaft"/>
    <s v="Versicherungsprämie"/>
    <s v="Haftpflichtversicherung"/>
    <n v="-80"/>
    <s v="EUR"/>
    <x v="3"/>
    <x v="7"/>
    <x v="6"/>
    <n v="80"/>
    <x v="1"/>
  </r>
  <r>
    <d v="2021-08-04T00:00:00"/>
    <s v="Bäckerei"/>
    <s v="Lebensmittel-Einkauf"/>
    <s v="Brot und Gebäck"/>
    <n v="-30"/>
    <s v="EUR"/>
    <x v="4"/>
    <x v="7"/>
    <x v="6"/>
    <n v="30"/>
    <x v="1"/>
  </r>
  <r>
    <d v="2021-08-05T00:00:00"/>
    <s v="Arbeitgeber"/>
    <s v="Gutschrift"/>
    <s v="Lohn"/>
    <n v="1000"/>
    <s v="EUR"/>
    <x v="0"/>
    <x v="7"/>
    <x v="6"/>
    <n v="1000"/>
    <x v="0"/>
  </r>
  <r>
    <d v="2021-08-06T00:00:00"/>
    <s v="Netflix"/>
    <s v="Abonnement"/>
    <s v="Streaming-Dienst"/>
    <n v="-15"/>
    <s v="EUR"/>
    <x v="1"/>
    <x v="7"/>
    <x v="6"/>
    <n v="15"/>
    <x v="1"/>
  </r>
  <r>
    <d v="2021-08-07T00:00:00"/>
    <s v="Autohändler"/>
    <s v="KFZ-Zahlung"/>
    <s v="Auto-Rate"/>
    <n v="-350"/>
    <s v="EUR"/>
    <x v="2"/>
    <x v="7"/>
    <x v="6"/>
    <n v="350"/>
    <x v="1"/>
  </r>
  <r>
    <d v="2021-08-08T00:00:00"/>
    <s v="Versicherungsgesellschaft"/>
    <s v="Versicherungsprämie"/>
    <s v="Kfz-Versicherung"/>
    <n v="-120"/>
    <s v="EUR"/>
    <x v="3"/>
    <x v="7"/>
    <x v="6"/>
    <n v="120"/>
    <x v="1"/>
  </r>
  <r>
    <d v="2021-08-09T00:00:00"/>
    <s v="Supermarkt"/>
    <s v="Lebensmittel-Einkauf"/>
    <s v="Wochenendeinkauf"/>
    <n v="-80"/>
    <s v="EUR"/>
    <x v="4"/>
    <x v="7"/>
    <x v="6"/>
    <n v="80"/>
    <x v="1"/>
  </r>
  <r>
    <d v="2021-08-10T00:00:00"/>
    <s v="Arbeitgeber"/>
    <s v="Gutschrift"/>
    <s v="Lohn"/>
    <n v="1000"/>
    <s v="EUR"/>
    <x v="0"/>
    <x v="7"/>
    <x v="6"/>
    <n v="1000"/>
    <x v="0"/>
  </r>
  <r>
    <d v="2021-08-11T00:00:00"/>
    <s v="Spotify"/>
    <s v="Abonnement"/>
    <s v="Music-Streaming"/>
    <n v="-10"/>
    <s v="EUR"/>
    <x v="1"/>
    <x v="7"/>
    <x v="6"/>
    <n v="10"/>
    <x v="1"/>
  </r>
  <r>
    <d v="2021-08-12T00:00:00"/>
    <s v="Tankstelle"/>
    <s v="Kraftstoff"/>
    <s v="Auto-Tankfüllung"/>
    <n v="-65"/>
    <s v="EUR"/>
    <x v="2"/>
    <x v="7"/>
    <x v="6"/>
    <n v="65"/>
    <x v="1"/>
  </r>
  <r>
    <d v="2021-08-13T00:00:00"/>
    <s v="Versicherungsgesellschaft"/>
    <s v="Versicherungsprämie"/>
    <s v="Haftpflichtversicherung"/>
    <n v="-80"/>
    <s v="EUR"/>
    <x v="3"/>
    <x v="7"/>
    <x v="6"/>
    <n v="80"/>
    <x v="1"/>
  </r>
  <r>
    <d v="2021-08-14T00:00:00"/>
    <s v="Bäckerei"/>
    <s v="Lebensmittel-Einkauf"/>
    <s v="Brot und Gebäck"/>
    <n v="-35"/>
    <s v="EUR"/>
    <x v="4"/>
    <x v="7"/>
    <x v="6"/>
    <n v="35"/>
    <x v="1"/>
  </r>
  <r>
    <d v="2021-08-15T00:00:00"/>
    <s v="Arbeitgeber"/>
    <s v="Gutschrift"/>
    <s v="Lohn"/>
    <n v="1000"/>
    <s v="EUR"/>
    <x v="0"/>
    <x v="7"/>
    <x v="6"/>
    <n v="1000"/>
    <x v="0"/>
  </r>
  <r>
    <d v="2021-08-16T00:00:00"/>
    <s v="Arbeitgeber"/>
    <s v="Gutschrift"/>
    <s v="Lohn"/>
    <n v="1000"/>
    <s v="EUR"/>
    <x v="0"/>
    <x v="7"/>
    <x v="6"/>
    <n v="1000"/>
    <x v="0"/>
  </r>
  <r>
    <d v="2021-08-17T00:00:00"/>
    <s v="Netflix"/>
    <s v="Abonnement"/>
    <s v="Streaming-Dienst"/>
    <n v="-15"/>
    <s v="EUR"/>
    <x v="1"/>
    <x v="7"/>
    <x v="6"/>
    <n v="15"/>
    <x v="1"/>
  </r>
  <r>
    <d v="2021-08-18T00:00:00"/>
    <s v="Autohändler"/>
    <s v="KFZ-Zahlung"/>
    <s v="Auto-Rate"/>
    <n v="-350"/>
    <s v="EUR"/>
    <x v="2"/>
    <x v="7"/>
    <x v="6"/>
    <n v="350"/>
    <x v="1"/>
  </r>
  <r>
    <d v="2021-08-19T00:00:00"/>
    <s v="Versicherungsgesellschaft"/>
    <s v="Versicherungsprämie"/>
    <s v="Kfz-Versicherung"/>
    <n v="-120"/>
    <s v="EUR"/>
    <x v="3"/>
    <x v="7"/>
    <x v="6"/>
    <n v="120"/>
    <x v="1"/>
  </r>
  <r>
    <d v="2021-08-20T00:00:00"/>
    <s v="Supermarkt"/>
    <s v="Lebensmittel-Einkauf"/>
    <s v="Wochenendeinkauf"/>
    <n v="-50"/>
    <s v="EUR"/>
    <x v="4"/>
    <x v="7"/>
    <x v="6"/>
    <n v="50"/>
    <x v="1"/>
  </r>
  <r>
    <d v="2021-08-21T00:00:00"/>
    <s v="Arbeitgeber"/>
    <s v="Gutschrift"/>
    <s v="Lohn"/>
    <n v="1000"/>
    <s v="EUR"/>
    <x v="0"/>
    <x v="7"/>
    <x v="6"/>
    <n v="1000"/>
    <x v="0"/>
  </r>
  <r>
    <d v="2021-08-22T00:00:00"/>
    <s v="Spotify"/>
    <s v="Abonnement"/>
    <s v="Music-Streaming"/>
    <n v="-10"/>
    <s v="EUR"/>
    <x v="1"/>
    <x v="7"/>
    <x v="6"/>
    <n v="10"/>
    <x v="1"/>
  </r>
  <r>
    <d v="2021-08-23T00:00:00"/>
    <s v="Tankstelle"/>
    <s v="Kraftstoff"/>
    <s v="Auto-Tankfüllung"/>
    <n v="-60"/>
    <s v="EUR"/>
    <x v="2"/>
    <x v="7"/>
    <x v="6"/>
    <n v="60"/>
    <x v="1"/>
  </r>
  <r>
    <d v="2021-08-24T00:00:00"/>
    <s v="Versicherungsgesellschaft"/>
    <s v="Versicherungsprämie"/>
    <s v="Haftpflichtversicherung"/>
    <n v="-80"/>
    <s v="EUR"/>
    <x v="3"/>
    <x v="7"/>
    <x v="6"/>
    <n v="80"/>
    <x v="1"/>
  </r>
  <r>
    <d v="2021-08-25T00:00:00"/>
    <s v="Bäckerei"/>
    <s v="Lebensmittel-Einkauf"/>
    <s v="Brot und Gebäck"/>
    <n v="-20"/>
    <s v="EUR"/>
    <x v="4"/>
    <x v="7"/>
    <x v="6"/>
    <n v="20"/>
    <x v="1"/>
  </r>
  <r>
    <d v="2021-08-26T00:00:00"/>
    <s v="Arbeitgeber"/>
    <s v="Gutschrift"/>
    <s v="Lohn"/>
    <n v="1000"/>
    <s v="EUR"/>
    <x v="0"/>
    <x v="7"/>
    <x v="6"/>
    <n v="1000"/>
    <x v="0"/>
  </r>
  <r>
    <d v="2021-08-27T00:00:00"/>
    <s v="Netflix"/>
    <s v="Abonnement"/>
    <s v="Streaming-Dienst"/>
    <n v="-15"/>
    <s v="EUR"/>
    <x v="1"/>
    <x v="7"/>
    <x v="6"/>
    <n v="15"/>
    <x v="1"/>
  </r>
  <r>
    <d v="2021-08-28T00:00:00"/>
    <s v="Autohändler"/>
    <s v="KFZ-Zahlung"/>
    <s v="Auto-Rate"/>
    <n v="-350"/>
    <s v="EUR"/>
    <x v="2"/>
    <x v="7"/>
    <x v="6"/>
    <n v="350"/>
    <x v="1"/>
  </r>
  <r>
    <d v="2021-08-29T00:00:00"/>
    <s v="Versicherungsgesellschaft"/>
    <s v="Versicherungsprämie"/>
    <s v="Kfz-Versicherung"/>
    <n v="-120"/>
    <s v="EUR"/>
    <x v="3"/>
    <x v="7"/>
    <x v="6"/>
    <n v="120"/>
    <x v="1"/>
  </r>
  <r>
    <d v="2021-08-30T00:00:00"/>
    <s v="Supermarkt"/>
    <s v="Lebensmittel-Einkauf"/>
    <s v="Wochenendeinkauf"/>
    <n v="-60"/>
    <s v="EUR"/>
    <x v="4"/>
    <x v="7"/>
    <x v="6"/>
    <n v="60"/>
    <x v="1"/>
  </r>
  <r>
    <d v="2021-08-31T00:00:00"/>
    <s v="Arbeitgeber"/>
    <s v="Gutschrift"/>
    <s v="Lohn"/>
    <n v="1000"/>
    <s v="EUR"/>
    <x v="0"/>
    <x v="7"/>
    <x v="6"/>
    <n v="1000"/>
    <x v="0"/>
  </r>
  <r>
    <d v="2021-09-01T00:00:00"/>
    <s v="Spotify"/>
    <s v="Abonnement"/>
    <s v="Music-Streaming"/>
    <n v="-10"/>
    <s v="EUR"/>
    <x v="1"/>
    <x v="8"/>
    <x v="6"/>
    <n v="10"/>
    <x v="1"/>
  </r>
  <r>
    <d v="2021-09-02T00:00:00"/>
    <s v="Tankstelle"/>
    <s v="Kraftstoff"/>
    <s v="Auto-Tankfüllung"/>
    <n v="-70"/>
    <s v="EUR"/>
    <x v="2"/>
    <x v="8"/>
    <x v="6"/>
    <n v="70"/>
    <x v="1"/>
  </r>
  <r>
    <d v="2021-09-03T00:00:00"/>
    <s v="Versicherungsgesellschaft"/>
    <s v="Versicherungsprämie"/>
    <s v="Haftpflichtversicherung"/>
    <n v="-80"/>
    <s v="EUR"/>
    <x v="3"/>
    <x v="8"/>
    <x v="6"/>
    <n v="80"/>
    <x v="1"/>
  </r>
  <r>
    <d v="2021-09-04T00:00:00"/>
    <s v="Bäckerei"/>
    <s v="Lebensmittel-Einkauf"/>
    <s v="Brot und Gebäck"/>
    <n v="-25"/>
    <s v="EUR"/>
    <x v="4"/>
    <x v="8"/>
    <x v="6"/>
    <n v="25"/>
    <x v="1"/>
  </r>
  <r>
    <d v="2021-09-05T00:00:00"/>
    <s v="Arbeitgeber"/>
    <s v="Gutschrift"/>
    <s v="Lohn"/>
    <n v="1000"/>
    <s v="EUR"/>
    <x v="0"/>
    <x v="8"/>
    <x v="6"/>
    <n v="1000"/>
    <x v="0"/>
  </r>
  <r>
    <d v="2021-09-06T00:00:00"/>
    <s v="Netflix"/>
    <s v="Abonnement"/>
    <s v="Streaming-Dienst"/>
    <n v="-15"/>
    <s v="EUR"/>
    <x v="1"/>
    <x v="8"/>
    <x v="6"/>
    <n v="15"/>
    <x v="1"/>
  </r>
  <r>
    <d v="2021-09-07T00:00:00"/>
    <s v="Autohändler"/>
    <s v="KFZ-Zahlung"/>
    <s v="Auto-Rate"/>
    <n v="-350"/>
    <s v="EUR"/>
    <x v="2"/>
    <x v="8"/>
    <x v="6"/>
    <n v="350"/>
    <x v="1"/>
  </r>
  <r>
    <d v="2021-09-08T00:00:00"/>
    <s v="Versicherungsgesellschaft"/>
    <s v="Versicherungsprämie"/>
    <s v="Kfz-Versicherung"/>
    <n v="-120"/>
    <s v="EUR"/>
    <x v="3"/>
    <x v="8"/>
    <x v="6"/>
    <n v="120"/>
    <x v="1"/>
  </r>
  <r>
    <d v="2021-09-09T00:00:00"/>
    <s v="Supermarkt"/>
    <s v="Lebensmittel-Einkauf"/>
    <s v="Wochenendeinkauf"/>
    <n v="-70"/>
    <s v="EUR"/>
    <x v="4"/>
    <x v="8"/>
    <x v="6"/>
    <n v="70"/>
    <x v="1"/>
  </r>
  <r>
    <d v="2021-09-10T00:00:00"/>
    <s v="Arbeitgeber"/>
    <s v="Gutschrift"/>
    <s v="Lohn"/>
    <n v="1000"/>
    <s v="EUR"/>
    <x v="0"/>
    <x v="8"/>
    <x v="6"/>
    <n v="1000"/>
    <x v="0"/>
  </r>
  <r>
    <d v="2021-09-11T00:00:00"/>
    <s v="Spotify"/>
    <s v="Abonnement"/>
    <s v="Music-Streaming"/>
    <n v="-10"/>
    <s v="EUR"/>
    <x v="1"/>
    <x v="8"/>
    <x v="6"/>
    <n v="10"/>
    <x v="1"/>
  </r>
  <r>
    <d v="2021-09-12T00:00:00"/>
    <s v="Tankstelle"/>
    <s v="Kraftstoff"/>
    <s v="Auto-Tankfüllung"/>
    <n v="-60"/>
    <s v="EUR"/>
    <x v="2"/>
    <x v="8"/>
    <x v="6"/>
    <n v="60"/>
    <x v="1"/>
  </r>
  <r>
    <d v="2021-09-13T00:00:00"/>
    <s v="Versicherungsgesellschaft"/>
    <s v="Versicherungsprämie"/>
    <s v="Haftpflichtversicherung"/>
    <n v="-80"/>
    <s v="EUR"/>
    <x v="3"/>
    <x v="8"/>
    <x v="6"/>
    <n v="80"/>
    <x v="1"/>
  </r>
  <r>
    <d v="2021-09-14T00:00:00"/>
    <s v="Bäckerei"/>
    <s v="Lebensmittel-Einkauf"/>
    <s v="Brot und Gebäck"/>
    <n v="-30"/>
    <s v="EUR"/>
    <x v="4"/>
    <x v="8"/>
    <x v="6"/>
    <n v="30"/>
    <x v="1"/>
  </r>
  <r>
    <d v="2021-09-15T00:00:00"/>
    <s v="Arbeitgeber"/>
    <s v="Gutschrift"/>
    <s v="Lohn"/>
    <n v="1000"/>
    <s v="EUR"/>
    <x v="0"/>
    <x v="8"/>
    <x v="6"/>
    <n v="1000"/>
    <x v="0"/>
  </r>
  <r>
    <d v="2021-09-16T00:00:00"/>
    <s v="Netflix"/>
    <s v="Abonnement"/>
    <s v="Streaming-Dienst"/>
    <n v="-15"/>
    <s v="EUR"/>
    <x v="1"/>
    <x v="8"/>
    <x v="6"/>
    <n v="15"/>
    <x v="1"/>
  </r>
  <r>
    <d v="2021-09-17T00:00:00"/>
    <s v="Autohändler"/>
    <s v="KFZ-Zahlung"/>
    <s v="Auto-Rate"/>
    <n v="-350"/>
    <s v="EUR"/>
    <x v="2"/>
    <x v="8"/>
    <x v="6"/>
    <n v="350"/>
    <x v="1"/>
  </r>
  <r>
    <d v="2021-09-18T00:00:00"/>
    <s v="Versicherungsgesellschaft"/>
    <s v="Versicherungsprämie"/>
    <s v="Kfz-Versicherung"/>
    <n v="-120"/>
    <s v="EUR"/>
    <x v="3"/>
    <x v="8"/>
    <x v="6"/>
    <n v="120"/>
    <x v="1"/>
  </r>
  <r>
    <d v="2021-09-19T00:00:00"/>
    <s v="Supermarkt"/>
    <s v="Lebensmittel-Einkauf"/>
    <s v="Wochenendeinkauf"/>
    <n v="-80"/>
    <s v="EUR"/>
    <x v="4"/>
    <x v="8"/>
    <x v="6"/>
    <n v="80"/>
    <x v="1"/>
  </r>
  <r>
    <d v="2021-09-20T00:00:00"/>
    <s v="Arbeitgeber"/>
    <s v="Gutschrift"/>
    <s v="Lohn"/>
    <n v="1000"/>
    <s v="EUR"/>
    <x v="0"/>
    <x v="8"/>
    <x v="6"/>
    <n v="1000"/>
    <x v="0"/>
  </r>
  <r>
    <d v="2021-09-21T00:00:00"/>
    <s v="Spotify"/>
    <s v="Abonnement"/>
    <s v="Music-Streaming"/>
    <n v="-10"/>
    <s v="EUR"/>
    <x v="1"/>
    <x v="8"/>
    <x v="6"/>
    <n v="10"/>
    <x v="1"/>
  </r>
  <r>
    <d v="2021-09-22T00:00:00"/>
    <s v="Tankstelle"/>
    <s v="Kraftstoff"/>
    <s v="Auto-Tankfüllung"/>
    <n v="-65"/>
    <s v="EUR"/>
    <x v="2"/>
    <x v="8"/>
    <x v="6"/>
    <n v="65"/>
    <x v="1"/>
  </r>
  <r>
    <d v="2021-09-23T00:00:00"/>
    <s v="Versicherungsgesellschaft"/>
    <s v="Versicherungsprämie"/>
    <s v="Haftpflichtversicherung"/>
    <n v="-80"/>
    <s v="EUR"/>
    <x v="3"/>
    <x v="8"/>
    <x v="6"/>
    <n v="80"/>
    <x v="1"/>
  </r>
  <r>
    <d v="2021-09-24T00:00:00"/>
    <s v="Bäckerei"/>
    <s v="Lebensmittel-Einkauf"/>
    <s v="Brot und Gebäck"/>
    <n v="-35"/>
    <s v="EUR"/>
    <x v="4"/>
    <x v="8"/>
    <x v="6"/>
    <n v="35"/>
    <x v="1"/>
  </r>
  <r>
    <d v="2021-09-25T00:00:00"/>
    <s v="Arbeitgeber"/>
    <s v="Gutschrift"/>
    <s v="Lohn"/>
    <n v="1000"/>
    <s v="EUR"/>
    <x v="0"/>
    <x v="8"/>
    <x v="6"/>
    <n v="1000"/>
    <x v="0"/>
  </r>
  <r>
    <d v="2021-09-26T00:00:00"/>
    <s v="Arbeitgeber"/>
    <s v="Gutschrift"/>
    <s v="Lohn"/>
    <n v="1000"/>
    <s v="EUR"/>
    <x v="0"/>
    <x v="8"/>
    <x v="6"/>
    <n v="1000"/>
    <x v="0"/>
  </r>
  <r>
    <d v="2021-09-27T00:00:00"/>
    <s v="Netflix"/>
    <s v="Abonnement"/>
    <s v="Streaming-Dienst"/>
    <n v="-15"/>
    <s v="EUR"/>
    <x v="1"/>
    <x v="8"/>
    <x v="6"/>
    <n v="15"/>
    <x v="1"/>
  </r>
  <r>
    <d v="2021-09-28T00:00:00"/>
    <s v="Autohändler"/>
    <s v="KFZ-Zahlung"/>
    <s v="Auto-Rate"/>
    <n v="-350"/>
    <s v="EUR"/>
    <x v="2"/>
    <x v="8"/>
    <x v="6"/>
    <n v="350"/>
    <x v="1"/>
  </r>
  <r>
    <d v="2021-09-29T00:00:00"/>
    <s v="Versicherungsgesellschaft"/>
    <s v="Versicherungsprämie"/>
    <s v="Kfz-Versicherung"/>
    <n v="-120"/>
    <s v="EUR"/>
    <x v="3"/>
    <x v="8"/>
    <x v="6"/>
    <n v="120"/>
    <x v="1"/>
  </r>
  <r>
    <d v="2021-09-30T00:00:00"/>
    <s v="Supermarkt"/>
    <s v="Lebensmittel-Einkauf"/>
    <s v="Wochenendeinkauf"/>
    <n v="-50"/>
    <s v="EUR"/>
    <x v="4"/>
    <x v="8"/>
    <x v="6"/>
    <n v="50"/>
    <x v="1"/>
  </r>
  <r>
    <d v="2021-10-01T00:00:00"/>
    <s v="Arbeitgeber"/>
    <s v="Gutschrift"/>
    <s v="Lohn"/>
    <n v="1000"/>
    <s v="EUR"/>
    <x v="0"/>
    <x v="9"/>
    <x v="6"/>
    <n v="1000"/>
    <x v="0"/>
  </r>
  <r>
    <d v="2021-10-02T00:00:00"/>
    <s v="Spotify"/>
    <s v="Abonnement"/>
    <s v="Music-Streaming"/>
    <n v="-10"/>
    <s v="EUR"/>
    <x v="1"/>
    <x v="9"/>
    <x v="6"/>
    <n v="10"/>
    <x v="1"/>
  </r>
  <r>
    <d v="2021-10-03T00:00:00"/>
    <s v="Tankstelle"/>
    <s v="Kraftstoff"/>
    <s v="Auto-Tankfüllung"/>
    <n v="-60"/>
    <s v="EUR"/>
    <x v="2"/>
    <x v="9"/>
    <x v="6"/>
    <n v="60"/>
    <x v="1"/>
  </r>
  <r>
    <d v="2021-10-04T00:00:00"/>
    <s v="Versicherungsgesellschaft"/>
    <s v="Versicherungsprämie"/>
    <s v="Haftpflichtversicherung"/>
    <n v="-80"/>
    <s v="EUR"/>
    <x v="3"/>
    <x v="9"/>
    <x v="6"/>
    <n v="80"/>
    <x v="1"/>
  </r>
  <r>
    <d v="2021-10-05T00:00:00"/>
    <s v="Bäckerei"/>
    <s v="Lebensmittel-Einkauf"/>
    <s v="Brot und Gebäck"/>
    <n v="-20"/>
    <s v="EUR"/>
    <x v="4"/>
    <x v="9"/>
    <x v="6"/>
    <n v="20"/>
    <x v="1"/>
  </r>
  <r>
    <d v="2021-10-06T00:00:00"/>
    <s v="Arbeitgeber"/>
    <s v="Gutschrift"/>
    <s v="Lohn"/>
    <n v="1000"/>
    <s v="EUR"/>
    <x v="0"/>
    <x v="9"/>
    <x v="6"/>
    <n v="1000"/>
    <x v="0"/>
  </r>
  <r>
    <d v="2021-10-07T00:00:00"/>
    <s v="Netflix"/>
    <s v="Abonnement"/>
    <s v="Streaming-Dienst"/>
    <n v="-15"/>
    <s v="EUR"/>
    <x v="1"/>
    <x v="9"/>
    <x v="6"/>
    <n v="15"/>
    <x v="1"/>
  </r>
  <r>
    <d v="2021-10-08T00:00:00"/>
    <s v="Autohändler"/>
    <s v="KFZ-Zahlung"/>
    <s v="Auto-Rate"/>
    <n v="-350"/>
    <s v="EUR"/>
    <x v="2"/>
    <x v="9"/>
    <x v="6"/>
    <n v="350"/>
    <x v="1"/>
  </r>
  <r>
    <d v="2021-10-09T00:00:00"/>
    <s v="Versicherungsgesellschaft"/>
    <s v="Versicherungsprämie"/>
    <s v="Kfz-Versicherung"/>
    <n v="-120"/>
    <s v="EUR"/>
    <x v="3"/>
    <x v="9"/>
    <x v="6"/>
    <n v="120"/>
    <x v="1"/>
  </r>
  <r>
    <d v="2021-10-10T00:00:00"/>
    <s v="Supermarkt"/>
    <s v="Lebensmittel-Einkauf"/>
    <s v="Wochenendeinkauf"/>
    <n v="-60"/>
    <s v="EUR"/>
    <x v="4"/>
    <x v="9"/>
    <x v="6"/>
    <n v="60"/>
    <x v="1"/>
  </r>
  <r>
    <d v="2021-10-11T00:00:00"/>
    <s v="Arbeitgeber"/>
    <s v="Gutschrift"/>
    <s v="Lohn"/>
    <n v="1000"/>
    <s v="EUR"/>
    <x v="0"/>
    <x v="9"/>
    <x v="6"/>
    <n v="1000"/>
    <x v="0"/>
  </r>
  <r>
    <d v="2021-10-12T00:00:00"/>
    <s v="Spotify"/>
    <s v="Abonnement"/>
    <s v="Music-Streaming"/>
    <n v="-10"/>
    <s v="EUR"/>
    <x v="1"/>
    <x v="9"/>
    <x v="6"/>
    <n v="10"/>
    <x v="1"/>
  </r>
  <r>
    <d v="2021-10-13T00:00:00"/>
    <s v="Tankstelle"/>
    <s v="Kraftstoff"/>
    <s v="Auto-Tankfüllung"/>
    <n v="-70"/>
    <s v="EUR"/>
    <x v="2"/>
    <x v="9"/>
    <x v="6"/>
    <n v="70"/>
    <x v="1"/>
  </r>
  <r>
    <d v="2021-10-14T00:00:00"/>
    <s v="Versicherungsgesellschaft"/>
    <s v="Versicherungsprämie"/>
    <s v="Haftpflichtversicherung"/>
    <n v="-80"/>
    <s v="EUR"/>
    <x v="3"/>
    <x v="9"/>
    <x v="6"/>
    <n v="80"/>
    <x v="1"/>
  </r>
  <r>
    <d v="2021-10-15T00:00:00"/>
    <s v="Bäckerei"/>
    <s v="Lebensmittel-Einkauf"/>
    <s v="Brot und Gebäck"/>
    <n v="-25"/>
    <s v="EUR"/>
    <x v="4"/>
    <x v="9"/>
    <x v="6"/>
    <n v="25"/>
    <x v="1"/>
  </r>
  <r>
    <d v="2021-10-16T00:00:00"/>
    <s v="Arbeitgeber"/>
    <s v="Gutschrift"/>
    <s v="Lohn"/>
    <n v="1000"/>
    <s v="EUR"/>
    <x v="0"/>
    <x v="9"/>
    <x v="6"/>
    <n v="1000"/>
    <x v="0"/>
  </r>
  <r>
    <d v="2021-10-17T00:00:00"/>
    <s v="Netflix"/>
    <s v="Abonnement"/>
    <s v="Streaming-Dienst"/>
    <n v="-15"/>
    <s v="EUR"/>
    <x v="1"/>
    <x v="9"/>
    <x v="6"/>
    <n v="15"/>
    <x v="1"/>
  </r>
  <r>
    <d v="2021-10-18T00:00:00"/>
    <s v="Autohändler"/>
    <s v="KFZ-Zahlung"/>
    <s v="Auto-Rate"/>
    <n v="-350"/>
    <s v="EUR"/>
    <x v="2"/>
    <x v="9"/>
    <x v="6"/>
    <n v="350"/>
    <x v="1"/>
  </r>
  <r>
    <d v="2021-10-19T00:00:00"/>
    <s v="Versicherungsgesellschaft"/>
    <s v="Versicherungsprämie"/>
    <s v="Kfz-Versicherung"/>
    <n v="-120"/>
    <s v="EUR"/>
    <x v="3"/>
    <x v="9"/>
    <x v="6"/>
    <n v="120"/>
    <x v="1"/>
  </r>
  <r>
    <d v="2021-10-20T00:00:00"/>
    <s v="Supermarkt"/>
    <s v="Lebensmittel-Einkauf"/>
    <s v="Wochenendeinkauf"/>
    <n v="-70"/>
    <s v="EUR"/>
    <x v="4"/>
    <x v="9"/>
    <x v="6"/>
    <n v="70"/>
    <x v="1"/>
  </r>
  <r>
    <d v="2021-10-21T00:00:00"/>
    <s v="Arbeitgeber"/>
    <s v="Gutschrift"/>
    <s v="Lohn"/>
    <n v="1000"/>
    <s v="EUR"/>
    <x v="0"/>
    <x v="9"/>
    <x v="6"/>
    <n v="1000"/>
    <x v="0"/>
  </r>
  <r>
    <d v="2021-10-22T00:00:00"/>
    <s v="Spotify"/>
    <s v="Abonnement"/>
    <s v="Music-Streaming"/>
    <n v="-10"/>
    <s v="EUR"/>
    <x v="1"/>
    <x v="9"/>
    <x v="6"/>
    <n v="10"/>
    <x v="1"/>
  </r>
  <r>
    <d v="2021-10-23T00:00:00"/>
    <s v="Tankstelle"/>
    <s v="Kraftstoff"/>
    <s v="Auto-Tankfüllung"/>
    <n v="-60"/>
    <s v="EUR"/>
    <x v="2"/>
    <x v="9"/>
    <x v="6"/>
    <n v="60"/>
    <x v="1"/>
  </r>
  <r>
    <d v="2021-10-24T00:00:00"/>
    <s v="Versicherungsgesellschaft"/>
    <s v="Versicherungsprämie"/>
    <s v="Haftpflichtversicherung"/>
    <n v="-80"/>
    <s v="EUR"/>
    <x v="3"/>
    <x v="9"/>
    <x v="6"/>
    <n v="80"/>
    <x v="1"/>
  </r>
  <r>
    <d v="2021-10-25T00:00:00"/>
    <s v="Bäckerei"/>
    <s v="Lebensmittel-Einkauf"/>
    <s v="Brot und Gebäck"/>
    <n v="-30"/>
    <s v="EUR"/>
    <x v="4"/>
    <x v="9"/>
    <x v="6"/>
    <n v="30"/>
    <x v="1"/>
  </r>
  <r>
    <d v="2021-10-26T00:00:00"/>
    <s v="Arbeitgeber"/>
    <s v="Gutschrift"/>
    <s v="Lohn"/>
    <n v="1000"/>
    <s v="EUR"/>
    <x v="0"/>
    <x v="9"/>
    <x v="6"/>
    <n v="1000"/>
    <x v="0"/>
  </r>
  <r>
    <d v="2021-10-27T00:00:00"/>
    <s v="Netflix"/>
    <s v="Abonnement"/>
    <s v="Streaming-Dienst"/>
    <n v="-15"/>
    <s v="EUR"/>
    <x v="1"/>
    <x v="9"/>
    <x v="6"/>
    <n v="15"/>
    <x v="1"/>
  </r>
  <r>
    <d v="2021-10-28T00:00:00"/>
    <s v="Autohändler"/>
    <s v="KFZ-Zahlung"/>
    <s v="Auto-Rate"/>
    <n v="-350"/>
    <s v="EUR"/>
    <x v="2"/>
    <x v="9"/>
    <x v="6"/>
    <n v="350"/>
    <x v="1"/>
  </r>
  <r>
    <d v="2021-10-29T00:00:00"/>
    <s v="Versicherungsgesellschaft"/>
    <s v="Versicherungsprämie"/>
    <s v="Kfz-Versicherung"/>
    <n v="-120"/>
    <s v="EUR"/>
    <x v="3"/>
    <x v="9"/>
    <x v="6"/>
    <n v="120"/>
    <x v="1"/>
  </r>
  <r>
    <d v="2021-10-30T00:00:00"/>
    <s v="Supermarkt"/>
    <s v="Lebensmittel-Einkauf"/>
    <s v="Wochenendeinkauf"/>
    <n v="-80"/>
    <s v="EUR"/>
    <x v="4"/>
    <x v="9"/>
    <x v="6"/>
    <n v="80"/>
    <x v="1"/>
  </r>
  <r>
    <d v="2021-10-31T00:00:00"/>
    <s v="Arbeitgeber"/>
    <s v="Gutschrift"/>
    <s v="Lohn"/>
    <n v="1000"/>
    <s v="EUR"/>
    <x v="0"/>
    <x v="9"/>
    <x v="6"/>
    <n v="1000"/>
    <x v="0"/>
  </r>
  <r>
    <d v="2021-11-01T00:00:00"/>
    <s v="Spotify"/>
    <s v="Abonnement"/>
    <s v="Music-Streaming"/>
    <n v="-10"/>
    <s v="EUR"/>
    <x v="1"/>
    <x v="10"/>
    <x v="6"/>
    <n v="10"/>
    <x v="1"/>
  </r>
  <r>
    <d v="2021-11-02T00:00:00"/>
    <s v="Tankstelle"/>
    <s v="Kraftstoff"/>
    <s v="Auto-Tankfüllung"/>
    <n v="-65"/>
    <s v="EUR"/>
    <x v="2"/>
    <x v="10"/>
    <x v="6"/>
    <n v="65"/>
    <x v="1"/>
  </r>
  <r>
    <d v="2021-11-03T00:00:00"/>
    <s v="Versicherungsgesellschaft"/>
    <s v="Versicherungsprämie"/>
    <s v="Haftpflichtversicherung"/>
    <n v="-80"/>
    <s v="EUR"/>
    <x v="3"/>
    <x v="10"/>
    <x v="6"/>
    <n v="80"/>
    <x v="1"/>
  </r>
  <r>
    <d v="2021-11-04T00:00:00"/>
    <s v="Bäckerei"/>
    <s v="Lebensmittel-Einkauf"/>
    <s v="Brot und Gebäck"/>
    <n v="-35"/>
    <s v="EUR"/>
    <x v="4"/>
    <x v="10"/>
    <x v="6"/>
    <n v="35"/>
    <x v="1"/>
  </r>
  <r>
    <d v="2021-11-05T00:00:00"/>
    <s v="Arbeitgeber"/>
    <s v="Gutschrift"/>
    <s v="Lohn"/>
    <n v="1000"/>
    <s v="EUR"/>
    <x v="0"/>
    <x v="10"/>
    <x v="6"/>
    <n v="1000"/>
    <x v="0"/>
  </r>
  <r>
    <d v="2021-11-06T00:00:00"/>
    <s v="Arbeitgeber"/>
    <s v="Gutschrift"/>
    <s v="Lohn"/>
    <n v="1000"/>
    <s v="EUR"/>
    <x v="0"/>
    <x v="10"/>
    <x v="6"/>
    <n v="1000"/>
    <x v="0"/>
  </r>
  <r>
    <d v="2021-11-07T00:00:00"/>
    <s v="Netflix"/>
    <s v="Abonnement"/>
    <s v="Streaming-Dienst"/>
    <n v="-15"/>
    <s v="EUR"/>
    <x v="1"/>
    <x v="10"/>
    <x v="6"/>
    <n v="15"/>
    <x v="1"/>
  </r>
  <r>
    <d v="2021-11-08T00:00:00"/>
    <s v="Autohändler"/>
    <s v="KFZ-Zahlung"/>
    <s v="Auto-Rate"/>
    <n v="-350"/>
    <s v="EUR"/>
    <x v="2"/>
    <x v="10"/>
    <x v="6"/>
    <n v="350"/>
    <x v="1"/>
  </r>
  <r>
    <d v="2021-11-09T00:00:00"/>
    <s v="Versicherungsgesellschaft"/>
    <s v="Versicherungsprämie"/>
    <s v="Kfz-Versicherung"/>
    <n v="-120"/>
    <s v="EUR"/>
    <x v="3"/>
    <x v="10"/>
    <x v="6"/>
    <n v="120"/>
    <x v="1"/>
  </r>
  <r>
    <d v="2021-11-10T00:00:00"/>
    <s v="Supermarkt"/>
    <s v="Lebensmittel-Einkauf"/>
    <s v="Wochenendeinkauf"/>
    <n v="-50"/>
    <s v="EUR"/>
    <x v="4"/>
    <x v="10"/>
    <x v="6"/>
    <n v="50"/>
    <x v="1"/>
  </r>
  <r>
    <d v="2021-11-11T00:00:00"/>
    <s v="Arbeitgeber"/>
    <s v="Gutschrift"/>
    <s v="Lohn"/>
    <n v="1000"/>
    <s v="EUR"/>
    <x v="0"/>
    <x v="10"/>
    <x v="6"/>
    <n v="1000"/>
    <x v="0"/>
  </r>
  <r>
    <d v="2021-11-12T00:00:00"/>
    <s v="Spotify"/>
    <s v="Abonnement"/>
    <s v="Music-Streaming"/>
    <n v="-10"/>
    <s v="EUR"/>
    <x v="1"/>
    <x v="10"/>
    <x v="6"/>
    <n v="10"/>
    <x v="1"/>
  </r>
  <r>
    <d v="2021-11-13T00:00:00"/>
    <s v="Tankstelle"/>
    <s v="Kraftstoff"/>
    <s v="Auto-Tankfüllung"/>
    <n v="-60"/>
    <s v="EUR"/>
    <x v="2"/>
    <x v="10"/>
    <x v="6"/>
    <n v="60"/>
    <x v="1"/>
  </r>
  <r>
    <d v="2021-11-14T00:00:00"/>
    <s v="Versicherungsgesellschaft"/>
    <s v="Versicherungsprämie"/>
    <s v="Haftpflichtversicherung"/>
    <n v="-80"/>
    <s v="EUR"/>
    <x v="3"/>
    <x v="10"/>
    <x v="6"/>
    <n v="80"/>
    <x v="1"/>
  </r>
  <r>
    <d v="2021-11-15T00:00:00"/>
    <s v="Bäckerei"/>
    <s v="Lebensmittel-Einkauf"/>
    <s v="Brot und Gebäck"/>
    <n v="-20"/>
    <s v="EUR"/>
    <x v="4"/>
    <x v="10"/>
    <x v="6"/>
    <n v="20"/>
    <x v="1"/>
  </r>
  <r>
    <d v="2021-11-16T00:00:00"/>
    <s v="Arbeitgeber"/>
    <s v="Gutschrift"/>
    <s v="Lohn"/>
    <n v="1000"/>
    <s v="EUR"/>
    <x v="0"/>
    <x v="10"/>
    <x v="6"/>
    <n v="1000"/>
    <x v="0"/>
  </r>
  <r>
    <d v="2021-11-17T00:00:00"/>
    <s v="Netflix"/>
    <s v="Abonnement"/>
    <s v="Streaming-Dienst"/>
    <n v="-15"/>
    <s v="EUR"/>
    <x v="1"/>
    <x v="10"/>
    <x v="6"/>
    <n v="15"/>
    <x v="1"/>
  </r>
  <r>
    <d v="2021-11-18T00:00:00"/>
    <s v="Autohändler"/>
    <s v="KFZ-Zahlung"/>
    <s v="Auto-Rate"/>
    <n v="-350"/>
    <s v="EUR"/>
    <x v="2"/>
    <x v="10"/>
    <x v="6"/>
    <n v="350"/>
    <x v="1"/>
  </r>
  <r>
    <d v="2021-11-19T00:00:00"/>
    <s v="Versicherungsgesellschaft"/>
    <s v="Versicherungsprämie"/>
    <s v="Kfz-Versicherung"/>
    <n v="-120"/>
    <s v="EUR"/>
    <x v="3"/>
    <x v="10"/>
    <x v="6"/>
    <n v="120"/>
    <x v="1"/>
  </r>
  <r>
    <d v="2021-11-20T00:00:00"/>
    <s v="Supermarkt"/>
    <s v="Lebensmittel-Einkauf"/>
    <s v="Wochenendeinkauf"/>
    <n v="-60"/>
    <s v="EUR"/>
    <x v="4"/>
    <x v="10"/>
    <x v="6"/>
    <n v="60"/>
    <x v="1"/>
  </r>
  <r>
    <d v="2021-11-21T00:00:00"/>
    <s v="Arbeitgeber"/>
    <s v="Gutschrift"/>
    <s v="Lohn"/>
    <n v="1000"/>
    <s v="EUR"/>
    <x v="0"/>
    <x v="10"/>
    <x v="6"/>
    <n v="1000"/>
    <x v="0"/>
  </r>
  <r>
    <d v="2021-11-22T00:00:00"/>
    <s v="Spotify"/>
    <s v="Abonnement"/>
    <s v="Music-Streaming"/>
    <n v="-10"/>
    <s v="EUR"/>
    <x v="1"/>
    <x v="10"/>
    <x v="6"/>
    <n v="10"/>
    <x v="1"/>
  </r>
  <r>
    <d v="2021-11-23T00:00:00"/>
    <s v="Tankstelle"/>
    <s v="Kraftstoff"/>
    <s v="Auto-Tankfüllung"/>
    <n v="-70"/>
    <s v="EUR"/>
    <x v="2"/>
    <x v="10"/>
    <x v="6"/>
    <n v="70"/>
    <x v="1"/>
  </r>
  <r>
    <d v="2021-11-24T00:00:00"/>
    <s v="Versicherungsgesellschaft"/>
    <s v="Versicherungsprämie"/>
    <s v="Haftpflichtversicherung"/>
    <n v="-80"/>
    <s v="EUR"/>
    <x v="3"/>
    <x v="10"/>
    <x v="6"/>
    <n v="80"/>
    <x v="1"/>
  </r>
  <r>
    <d v="2021-11-25T00:00:00"/>
    <s v="Bäckerei"/>
    <s v="Lebensmittel-Einkauf"/>
    <s v="Brot und Gebäck"/>
    <n v="-25"/>
    <s v="EUR"/>
    <x v="4"/>
    <x v="10"/>
    <x v="6"/>
    <n v="25"/>
    <x v="1"/>
  </r>
  <r>
    <d v="2021-11-26T00:00:00"/>
    <s v="Arbeitgeber"/>
    <s v="Gutschrift"/>
    <s v="Lohn"/>
    <n v="1000"/>
    <s v="EUR"/>
    <x v="0"/>
    <x v="10"/>
    <x v="6"/>
    <n v="1000"/>
    <x v="0"/>
  </r>
  <r>
    <d v="2021-11-27T00:00:00"/>
    <s v="Netflix"/>
    <s v="Abonnement"/>
    <s v="Streaming-Dienst"/>
    <n v="-15"/>
    <s v="EUR"/>
    <x v="1"/>
    <x v="10"/>
    <x v="6"/>
    <n v="15"/>
    <x v="1"/>
  </r>
  <r>
    <d v="2021-11-28T00:00:00"/>
    <s v="Autohändler"/>
    <s v="KFZ-Zahlung"/>
    <s v="Auto-Rate"/>
    <n v="-350"/>
    <s v="EUR"/>
    <x v="2"/>
    <x v="10"/>
    <x v="6"/>
    <n v="350"/>
    <x v="1"/>
  </r>
  <r>
    <d v="2021-11-29T00:00:00"/>
    <s v="Versicherungsgesellschaft"/>
    <s v="Versicherungsprämie"/>
    <s v="Kfz-Versicherung"/>
    <n v="-120"/>
    <s v="EUR"/>
    <x v="3"/>
    <x v="10"/>
    <x v="6"/>
    <n v="120"/>
    <x v="1"/>
  </r>
  <r>
    <d v="2021-11-30T00:00:00"/>
    <s v="Supermarkt"/>
    <s v="Lebensmittel-Einkauf"/>
    <s v="Wochenendeinkauf"/>
    <n v="-70"/>
    <s v="EUR"/>
    <x v="4"/>
    <x v="10"/>
    <x v="6"/>
    <n v="70"/>
    <x v="1"/>
  </r>
  <r>
    <d v="2021-12-01T00:00:00"/>
    <s v="Arbeitgeber"/>
    <s v="Gutschrift"/>
    <s v="Lohn"/>
    <n v="1000"/>
    <s v="EUR"/>
    <x v="0"/>
    <x v="11"/>
    <x v="6"/>
    <n v="1000"/>
    <x v="0"/>
  </r>
  <r>
    <d v="2021-12-02T00:00:00"/>
    <s v="Spotify"/>
    <s v="Abonnement"/>
    <s v="Music-Streaming"/>
    <n v="-10"/>
    <s v="EUR"/>
    <x v="1"/>
    <x v="11"/>
    <x v="6"/>
    <n v="10"/>
    <x v="1"/>
  </r>
  <r>
    <d v="2021-12-03T00:00:00"/>
    <s v="Tankstelle"/>
    <s v="Kraftstoff"/>
    <s v="Auto-Tankfüllung"/>
    <n v="-60"/>
    <s v="EUR"/>
    <x v="2"/>
    <x v="11"/>
    <x v="6"/>
    <n v="60"/>
    <x v="1"/>
  </r>
  <r>
    <d v="2021-12-04T00:00:00"/>
    <s v="Versicherungsgesellschaft"/>
    <s v="Versicherungsprämie"/>
    <s v="Haftpflichtversicherung"/>
    <n v="-80"/>
    <s v="EUR"/>
    <x v="3"/>
    <x v="11"/>
    <x v="6"/>
    <n v="80"/>
    <x v="1"/>
  </r>
  <r>
    <d v="2021-12-05T00:00:00"/>
    <s v="Bäckerei"/>
    <s v="Lebensmittel-Einkauf"/>
    <s v="Brot und Gebäck"/>
    <n v="-30"/>
    <s v="EUR"/>
    <x v="4"/>
    <x v="11"/>
    <x v="6"/>
    <n v="30"/>
    <x v="1"/>
  </r>
  <r>
    <d v="2021-12-06T00:00:00"/>
    <s v="Arbeitgeber"/>
    <s v="Gutschrift"/>
    <s v="Lohn"/>
    <n v="1000"/>
    <s v="EUR"/>
    <x v="0"/>
    <x v="11"/>
    <x v="6"/>
    <n v="1000"/>
    <x v="0"/>
  </r>
  <r>
    <d v="2021-12-07T00:00:00"/>
    <s v="Netflix"/>
    <s v="Abonnement"/>
    <s v="Streaming-Dienst"/>
    <n v="-15"/>
    <s v="EUR"/>
    <x v="1"/>
    <x v="11"/>
    <x v="6"/>
    <n v="15"/>
    <x v="1"/>
  </r>
  <r>
    <d v="2021-12-08T00:00:00"/>
    <s v="Autohändler"/>
    <s v="KFZ-Zahlung"/>
    <s v="Auto-Rate"/>
    <n v="-350"/>
    <s v="EUR"/>
    <x v="2"/>
    <x v="11"/>
    <x v="6"/>
    <n v="350"/>
    <x v="1"/>
  </r>
  <r>
    <d v="2021-12-09T00:00:00"/>
    <s v="Versicherungsgesellschaft"/>
    <s v="Versicherungsprämie"/>
    <s v="Kfz-Versicherung"/>
    <n v="-120"/>
    <s v="EUR"/>
    <x v="3"/>
    <x v="11"/>
    <x v="6"/>
    <n v="120"/>
    <x v="1"/>
  </r>
  <r>
    <d v="2021-12-10T00:00:00"/>
    <s v="Supermarkt"/>
    <s v="Lebensmittel-Einkauf"/>
    <s v="Wochenendeinkauf"/>
    <n v="-80"/>
    <s v="EUR"/>
    <x v="4"/>
    <x v="11"/>
    <x v="6"/>
    <n v="80"/>
    <x v="1"/>
  </r>
  <r>
    <d v="2021-12-11T00:00:00"/>
    <s v="Arbeitgeber"/>
    <s v="Gutschrift"/>
    <s v="Lohn"/>
    <n v="1000"/>
    <s v="EUR"/>
    <x v="0"/>
    <x v="11"/>
    <x v="6"/>
    <n v="1000"/>
    <x v="0"/>
  </r>
  <r>
    <d v="2021-12-12T00:00:00"/>
    <s v="Spotify"/>
    <s v="Abonnement"/>
    <s v="Music-Streaming"/>
    <n v="-10"/>
    <s v="EUR"/>
    <x v="1"/>
    <x v="11"/>
    <x v="6"/>
    <n v="10"/>
    <x v="1"/>
  </r>
  <r>
    <d v="2021-12-13T00:00:00"/>
    <s v="Tankstelle"/>
    <s v="Kraftstoff"/>
    <s v="Auto-Tankfüllung"/>
    <n v="-65"/>
    <s v="EUR"/>
    <x v="2"/>
    <x v="11"/>
    <x v="6"/>
    <n v="65"/>
    <x v="1"/>
  </r>
  <r>
    <d v="2021-12-14T00:00:00"/>
    <s v="Versicherungsgesellschaft"/>
    <s v="Versicherungsprämie"/>
    <s v="Haftpflichtversicherung"/>
    <n v="-80"/>
    <s v="EUR"/>
    <x v="3"/>
    <x v="11"/>
    <x v="6"/>
    <n v="80"/>
    <x v="1"/>
  </r>
  <r>
    <d v="2021-12-15T00:00:00"/>
    <s v="Bäckerei"/>
    <s v="Lebensmittel-Einkauf"/>
    <s v="Brot und Gebäck"/>
    <n v="-35"/>
    <s v="EUR"/>
    <x v="4"/>
    <x v="11"/>
    <x v="6"/>
    <n v="35"/>
    <x v="1"/>
  </r>
  <r>
    <d v="2021-12-16T00:00:00"/>
    <s v="Arbeitgeber"/>
    <s v="Gutschrift"/>
    <s v="Lohn"/>
    <n v="1000"/>
    <s v="EUR"/>
    <x v="0"/>
    <x v="11"/>
    <x v="6"/>
    <n v="1000"/>
    <x v="0"/>
  </r>
  <r>
    <d v="2021-12-17T00:00:00"/>
    <s v="Arbeitgeber"/>
    <s v="Gutschrift"/>
    <s v="Lohn"/>
    <n v="1000"/>
    <s v="EUR"/>
    <x v="0"/>
    <x v="11"/>
    <x v="6"/>
    <n v="1000"/>
    <x v="0"/>
  </r>
  <r>
    <d v="2021-12-18T00:00:00"/>
    <s v="Netflix"/>
    <s v="Abonnement"/>
    <s v="Streaming-Dienst"/>
    <n v="-15"/>
    <s v="EUR"/>
    <x v="1"/>
    <x v="11"/>
    <x v="6"/>
    <n v="15"/>
    <x v="1"/>
  </r>
  <r>
    <d v="2021-12-19T00:00:00"/>
    <s v="Autohändler"/>
    <s v="KFZ-Zahlung"/>
    <s v="Auto-Rate"/>
    <n v="-350"/>
    <s v="EUR"/>
    <x v="2"/>
    <x v="11"/>
    <x v="6"/>
    <n v="350"/>
    <x v="1"/>
  </r>
  <r>
    <d v="2021-12-20T00:00:00"/>
    <s v="Versicherungsgesellschaft"/>
    <s v="Versicherungsprämie"/>
    <s v="Kfz-Versicherung"/>
    <n v="-120"/>
    <s v="EUR"/>
    <x v="3"/>
    <x v="11"/>
    <x v="6"/>
    <n v="120"/>
    <x v="1"/>
  </r>
  <r>
    <d v="2021-12-21T00:00:00"/>
    <s v="Supermarkt"/>
    <s v="Lebensmittel-Einkauf"/>
    <s v="Wochenendeinkauf"/>
    <n v="-50"/>
    <s v="EUR"/>
    <x v="4"/>
    <x v="11"/>
    <x v="6"/>
    <n v="50"/>
    <x v="1"/>
  </r>
  <r>
    <d v="2021-12-22T00:00:00"/>
    <s v="Arbeitgeber"/>
    <s v="Gutschrift"/>
    <s v="Lohn"/>
    <n v="1000"/>
    <s v="EUR"/>
    <x v="0"/>
    <x v="11"/>
    <x v="6"/>
    <n v="1000"/>
    <x v="0"/>
  </r>
  <r>
    <d v="2021-12-23T00:00:00"/>
    <s v="Spotify"/>
    <s v="Abonnement"/>
    <s v="Music-Streaming"/>
    <n v="-10"/>
    <s v="EUR"/>
    <x v="1"/>
    <x v="11"/>
    <x v="6"/>
    <n v="10"/>
    <x v="1"/>
  </r>
  <r>
    <d v="2021-12-24T00:00:00"/>
    <s v="Tankstelle"/>
    <s v="Kraftstoff"/>
    <s v="Auto-Tankfüllung"/>
    <n v="-60"/>
    <s v="EUR"/>
    <x v="2"/>
    <x v="11"/>
    <x v="6"/>
    <n v="60"/>
    <x v="1"/>
  </r>
  <r>
    <d v="2021-12-25T00:00:00"/>
    <s v="Versicherungsgesellschaft"/>
    <s v="Versicherungsprämie"/>
    <s v="Haftpflichtversicherung"/>
    <n v="-80"/>
    <s v="EUR"/>
    <x v="3"/>
    <x v="11"/>
    <x v="6"/>
    <n v="80"/>
    <x v="1"/>
  </r>
  <r>
    <d v="2021-12-26T00:00:00"/>
    <s v="Bäckerei"/>
    <s v="Lebensmittel-Einkauf"/>
    <s v="Brot und Gebäck"/>
    <n v="-20"/>
    <s v="EUR"/>
    <x v="4"/>
    <x v="11"/>
    <x v="6"/>
    <n v="20"/>
    <x v="1"/>
  </r>
  <r>
    <d v="2021-12-27T00:00:00"/>
    <s v="Arbeitgeber"/>
    <s v="Gutschrift"/>
    <s v="Lohn"/>
    <n v="1000"/>
    <s v="EUR"/>
    <x v="0"/>
    <x v="11"/>
    <x v="6"/>
    <n v="1000"/>
    <x v="0"/>
  </r>
  <r>
    <d v="2021-12-28T00:00:00"/>
    <s v="Netflix"/>
    <s v="Abonnement"/>
    <s v="Streaming-Dienst"/>
    <n v="-15"/>
    <s v="EUR"/>
    <x v="1"/>
    <x v="11"/>
    <x v="6"/>
    <n v="15"/>
    <x v="1"/>
  </r>
  <r>
    <d v="2021-12-29T00:00:00"/>
    <s v="Autohändler"/>
    <s v="KFZ-Zahlung"/>
    <s v="Auto-Rate"/>
    <n v="-350"/>
    <s v="EUR"/>
    <x v="2"/>
    <x v="11"/>
    <x v="6"/>
    <n v="350"/>
    <x v="1"/>
  </r>
  <r>
    <d v="2021-12-30T00:00:00"/>
    <s v="Versicherungsgesellschaft"/>
    <s v="Versicherungsprämie"/>
    <s v="Kfz-Versicherung"/>
    <n v="-120"/>
    <s v="EUR"/>
    <x v="3"/>
    <x v="11"/>
    <x v="6"/>
    <n v="120"/>
    <x v="1"/>
  </r>
  <r>
    <d v="2021-12-31T00:00:00"/>
    <s v="Supermarkt"/>
    <s v="Lebensmittel-Einkauf"/>
    <s v="Wochenendeinkauf"/>
    <n v="-60"/>
    <s v="EUR"/>
    <x v="4"/>
    <x v="11"/>
    <x v="6"/>
    <n v="60"/>
    <x v="1"/>
  </r>
  <r>
    <d v="2022-01-01T00:00:00"/>
    <s v="Arbeitgeber"/>
    <s v="Gutschrift"/>
    <s v="Lohn"/>
    <n v="1000"/>
    <s v="EUR"/>
    <x v="0"/>
    <x v="0"/>
    <x v="7"/>
    <n v="1000"/>
    <x v="0"/>
  </r>
  <r>
    <d v="2022-01-02T00:00:00"/>
    <s v="Spotify"/>
    <s v="Abonnement"/>
    <s v="Music-Streaming"/>
    <n v="-10"/>
    <s v="EUR"/>
    <x v="1"/>
    <x v="0"/>
    <x v="7"/>
    <n v="10"/>
    <x v="1"/>
  </r>
  <r>
    <d v="2022-01-03T00:00:00"/>
    <s v="Tankstelle"/>
    <s v="Kraftstoff"/>
    <s v="Auto-Tankfüllung"/>
    <n v="-70"/>
    <s v="EUR"/>
    <x v="2"/>
    <x v="0"/>
    <x v="7"/>
    <n v="70"/>
    <x v="1"/>
  </r>
  <r>
    <d v="2022-01-04T00:00:00"/>
    <s v="Versicherungsgesellschaft"/>
    <s v="Versicherungsprämie"/>
    <s v="Haftpflichtversicherung"/>
    <n v="-80"/>
    <s v="EUR"/>
    <x v="3"/>
    <x v="0"/>
    <x v="7"/>
    <n v="80"/>
    <x v="1"/>
  </r>
  <r>
    <d v="2022-01-05T00:00:00"/>
    <s v="Bäckerei"/>
    <s v="Lebensmittel-Einkauf"/>
    <s v="Brot und Gebäck"/>
    <n v="-25"/>
    <s v="EUR"/>
    <x v="4"/>
    <x v="0"/>
    <x v="7"/>
    <n v="25"/>
    <x v="1"/>
  </r>
  <r>
    <d v="2022-01-06T00:00:00"/>
    <s v="Arbeitgeber"/>
    <s v="Gutschrift"/>
    <s v="Lohn"/>
    <n v="1000"/>
    <s v="EUR"/>
    <x v="0"/>
    <x v="0"/>
    <x v="7"/>
    <n v="1000"/>
    <x v="0"/>
  </r>
  <r>
    <d v="2022-01-07T00:00:00"/>
    <s v="Netflix"/>
    <s v="Abonnement"/>
    <s v="Streaming-Dienst"/>
    <n v="-15"/>
    <s v="EUR"/>
    <x v="1"/>
    <x v="0"/>
    <x v="7"/>
    <n v="15"/>
    <x v="1"/>
  </r>
  <r>
    <d v="2022-01-08T00:00:00"/>
    <s v="Autohändler"/>
    <s v="KFZ-Zahlung"/>
    <s v="Auto-Rate"/>
    <n v="-350"/>
    <s v="EUR"/>
    <x v="2"/>
    <x v="0"/>
    <x v="7"/>
    <n v="350"/>
    <x v="1"/>
  </r>
  <r>
    <d v="2022-01-09T00:00:00"/>
    <s v="Versicherungsgesellschaft"/>
    <s v="Versicherungsprämie"/>
    <s v="Kfz-Versicherung"/>
    <n v="-120"/>
    <s v="EUR"/>
    <x v="3"/>
    <x v="0"/>
    <x v="7"/>
    <n v="120"/>
    <x v="1"/>
  </r>
  <r>
    <d v="2022-01-10T00:00:00"/>
    <s v="Supermarkt"/>
    <s v="Lebensmittel-Einkauf"/>
    <s v="Wochenendeinkauf"/>
    <n v="-70"/>
    <s v="EUR"/>
    <x v="4"/>
    <x v="0"/>
    <x v="7"/>
    <n v="70"/>
    <x v="1"/>
  </r>
  <r>
    <d v="2022-01-11T00:00:00"/>
    <s v="Arbeitgeber"/>
    <s v="Gutschrift"/>
    <s v="Lohn"/>
    <n v="1000"/>
    <s v="EUR"/>
    <x v="0"/>
    <x v="0"/>
    <x v="7"/>
    <n v="1000"/>
    <x v="0"/>
  </r>
  <r>
    <d v="2022-01-12T00:00:00"/>
    <s v="Spotify"/>
    <s v="Abonnement"/>
    <s v="Music-Streaming"/>
    <n v="-10"/>
    <s v="EUR"/>
    <x v="1"/>
    <x v="0"/>
    <x v="7"/>
    <n v="10"/>
    <x v="1"/>
  </r>
  <r>
    <d v="2022-01-13T00:00:00"/>
    <s v="Tankstelle"/>
    <s v="Kraftstoff"/>
    <s v="Auto-Tankfüllung"/>
    <n v="-60"/>
    <s v="EUR"/>
    <x v="2"/>
    <x v="0"/>
    <x v="7"/>
    <n v="60"/>
    <x v="1"/>
  </r>
  <r>
    <d v="2022-01-14T00:00:00"/>
    <s v="Versicherungsgesellschaft"/>
    <s v="Versicherungsprämie"/>
    <s v="Haftpflichtversicherung"/>
    <n v="-80"/>
    <s v="EUR"/>
    <x v="3"/>
    <x v="0"/>
    <x v="7"/>
    <n v="80"/>
    <x v="1"/>
  </r>
  <r>
    <d v="2022-01-15T00:00:00"/>
    <s v="Bäckerei"/>
    <s v="Lebensmittel-Einkauf"/>
    <s v="Brot und Gebäck"/>
    <n v="-30"/>
    <s v="EUR"/>
    <x v="4"/>
    <x v="0"/>
    <x v="7"/>
    <n v="30"/>
    <x v="1"/>
  </r>
  <r>
    <d v="2022-01-16T00:00:00"/>
    <s v="Arbeitgeber"/>
    <s v="Gutschrift"/>
    <s v="Lohn"/>
    <n v="1000"/>
    <s v="EUR"/>
    <x v="0"/>
    <x v="0"/>
    <x v="7"/>
    <n v="1000"/>
    <x v="0"/>
  </r>
  <r>
    <d v="2022-01-17T00:00:00"/>
    <s v="Netflix"/>
    <s v="Abonnement"/>
    <s v="Streaming-Dienst"/>
    <n v="-15"/>
    <s v="EUR"/>
    <x v="1"/>
    <x v="0"/>
    <x v="7"/>
    <n v="15"/>
    <x v="1"/>
  </r>
  <r>
    <d v="2022-01-18T00:00:00"/>
    <s v="Autohändler"/>
    <s v="KFZ-Zahlung"/>
    <s v="Auto-Rate"/>
    <n v="-350"/>
    <s v="EUR"/>
    <x v="2"/>
    <x v="0"/>
    <x v="7"/>
    <n v="350"/>
    <x v="1"/>
  </r>
  <r>
    <d v="2022-01-19T00:00:00"/>
    <s v="Versicherungsgesellschaft"/>
    <s v="Versicherungsprämie"/>
    <s v="Kfz-Versicherung"/>
    <n v="-120"/>
    <s v="EUR"/>
    <x v="3"/>
    <x v="0"/>
    <x v="7"/>
    <n v="120"/>
    <x v="1"/>
  </r>
  <r>
    <d v="2022-01-20T00:00:00"/>
    <s v="Supermarkt"/>
    <s v="Lebensmittel-Einkauf"/>
    <s v="Wochenendeinkauf"/>
    <n v="-80"/>
    <s v="EUR"/>
    <x v="4"/>
    <x v="0"/>
    <x v="7"/>
    <n v="80"/>
    <x v="1"/>
  </r>
  <r>
    <d v="2022-01-21T00:00:00"/>
    <s v="Arbeitgeber"/>
    <s v="Gutschrift"/>
    <s v="Lohn"/>
    <n v="1000"/>
    <s v="EUR"/>
    <x v="0"/>
    <x v="0"/>
    <x v="7"/>
    <n v="1000"/>
    <x v="0"/>
  </r>
  <r>
    <d v="2022-01-22T00:00:00"/>
    <s v="Spotify"/>
    <s v="Abonnement"/>
    <s v="Music-Streaming"/>
    <n v="-10"/>
    <s v="EUR"/>
    <x v="1"/>
    <x v="0"/>
    <x v="7"/>
    <n v="10"/>
    <x v="1"/>
  </r>
  <r>
    <d v="2022-01-23T00:00:00"/>
    <s v="Tankstelle"/>
    <s v="Kraftstoff"/>
    <s v="Auto-Tankfüllung"/>
    <n v="-65"/>
    <s v="EUR"/>
    <x v="2"/>
    <x v="0"/>
    <x v="7"/>
    <n v="65"/>
    <x v="1"/>
  </r>
  <r>
    <d v="2022-01-24T00:00:00"/>
    <s v="Versicherungsgesellschaft"/>
    <s v="Versicherungsprämie"/>
    <s v="Haftpflichtversicherung"/>
    <n v="-80"/>
    <s v="EUR"/>
    <x v="3"/>
    <x v="0"/>
    <x v="7"/>
    <n v="80"/>
    <x v="1"/>
  </r>
  <r>
    <d v="2022-01-25T00:00:00"/>
    <s v="Bäckerei"/>
    <s v="Lebensmittel-Einkauf"/>
    <s v="Brot und Gebäck"/>
    <n v="-35"/>
    <s v="EUR"/>
    <x v="4"/>
    <x v="0"/>
    <x v="7"/>
    <n v="35"/>
    <x v="1"/>
  </r>
  <r>
    <d v="2022-01-26T00:00:00"/>
    <s v="Arbeitgeber"/>
    <s v="Gutschrift"/>
    <s v="Lohn"/>
    <n v="1000"/>
    <s v="EUR"/>
    <x v="0"/>
    <x v="0"/>
    <x v="7"/>
    <n v="1000"/>
    <x v="0"/>
  </r>
  <r>
    <d v="2022-01-27T00:00:00"/>
    <s v="Arbeitgeber"/>
    <s v="Gutschrift"/>
    <s v="Lohn"/>
    <n v="1000"/>
    <s v="EUR"/>
    <x v="0"/>
    <x v="0"/>
    <x v="7"/>
    <n v="1000"/>
    <x v="0"/>
  </r>
  <r>
    <d v="2022-01-28T00:00:00"/>
    <s v="Netflix"/>
    <s v="Abonnement"/>
    <s v="Streaming-Dienst"/>
    <n v="-15"/>
    <s v="EUR"/>
    <x v="1"/>
    <x v="0"/>
    <x v="7"/>
    <n v="15"/>
    <x v="1"/>
  </r>
  <r>
    <d v="2022-01-29T00:00:00"/>
    <s v="Autohändler"/>
    <s v="KFZ-Zahlung"/>
    <s v="Auto-Rate"/>
    <n v="-350"/>
    <s v="EUR"/>
    <x v="2"/>
    <x v="0"/>
    <x v="7"/>
    <n v="350"/>
    <x v="1"/>
  </r>
  <r>
    <d v="2022-01-30T00:00:00"/>
    <s v="Versicherungsgesellschaft"/>
    <s v="Versicherungsprämie"/>
    <s v="Kfz-Versicherung"/>
    <n v="-120"/>
    <s v="EUR"/>
    <x v="3"/>
    <x v="0"/>
    <x v="7"/>
    <n v="120"/>
    <x v="1"/>
  </r>
  <r>
    <d v="2022-01-31T00:00:00"/>
    <s v="Supermarkt"/>
    <s v="Lebensmittel-Einkauf"/>
    <s v="Wochenendeinkauf"/>
    <n v="-50"/>
    <s v="EUR"/>
    <x v="4"/>
    <x v="0"/>
    <x v="7"/>
    <n v="50"/>
    <x v="1"/>
  </r>
  <r>
    <d v="2022-02-01T00:00:00"/>
    <s v="Arbeitgeber"/>
    <s v="Gutschrift"/>
    <s v="Lohn"/>
    <n v="1000"/>
    <s v="EUR"/>
    <x v="0"/>
    <x v="1"/>
    <x v="7"/>
    <n v="1000"/>
    <x v="0"/>
  </r>
  <r>
    <d v="2022-02-02T00:00:00"/>
    <s v="Spotify"/>
    <s v="Abonnement"/>
    <s v="Music-Streaming"/>
    <n v="-10"/>
    <s v="EUR"/>
    <x v="1"/>
    <x v="1"/>
    <x v="7"/>
    <n v="10"/>
    <x v="1"/>
  </r>
  <r>
    <d v="2022-02-03T00:00:00"/>
    <s v="Tankstelle"/>
    <s v="Kraftstoff"/>
    <s v="Auto-Tankfüllung"/>
    <n v="-60"/>
    <s v="EUR"/>
    <x v="2"/>
    <x v="1"/>
    <x v="7"/>
    <n v="60"/>
    <x v="1"/>
  </r>
  <r>
    <d v="2022-02-04T00:00:00"/>
    <s v="Versicherungsgesellschaft"/>
    <s v="Versicherungsprämie"/>
    <s v="Haftpflichtversicherung"/>
    <n v="-80"/>
    <s v="EUR"/>
    <x v="3"/>
    <x v="1"/>
    <x v="7"/>
    <n v="80"/>
    <x v="1"/>
  </r>
  <r>
    <d v="2022-02-05T00:00:00"/>
    <s v="Bäckerei"/>
    <s v="Lebensmittel-Einkauf"/>
    <s v="Brot und Gebäck"/>
    <n v="-20"/>
    <s v="EUR"/>
    <x v="4"/>
    <x v="1"/>
    <x v="7"/>
    <n v="20"/>
    <x v="1"/>
  </r>
  <r>
    <d v="2022-02-06T00:00:00"/>
    <s v="Arbeitgeber"/>
    <s v="Gutschrift"/>
    <s v="Lohn"/>
    <n v="1000"/>
    <s v="EUR"/>
    <x v="0"/>
    <x v="1"/>
    <x v="7"/>
    <n v="1000"/>
    <x v="0"/>
  </r>
  <r>
    <d v="2022-02-07T00:00:00"/>
    <s v="Netflix"/>
    <s v="Abonnement"/>
    <s v="Streaming-Dienst"/>
    <n v="-15"/>
    <s v="EUR"/>
    <x v="1"/>
    <x v="1"/>
    <x v="7"/>
    <n v="15"/>
    <x v="1"/>
  </r>
  <r>
    <d v="2022-02-08T00:00:00"/>
    <s v="Autohändler"/>
    <s v="KFZ-Zahlung"/>
    <s v="Auto-Rate"/>
    <n v="-350"/>
    <s v="EUR"/>
    <x v="2"/>
    <x v="1"/>
    <x v="7"/>
    <n v="350"/>
    <x v="1"/>
  </r>
  <r>
    <d v="2022-02-09T00:00:00"/>
    <s v="Versicherungsgesellschaft"/>
    <s v="Versicherungsprämie"/>
    <s v="Kfz-Versicherung"/>
    <n v="-120"/>
    <s v="EUR"/>
    <x v="3"/>
    <x v="1"/>
    <x v="7"/>
    <n v="120"/>
    <x v="1"/>
  </r>
  <r>
    <d v="2022-02-10T00:00:00"/>
    <s v="Supermarkt"/>
    <s v="Lebensmittel-Einkauf"/>
    <s v="Wochenendeinkauf"/>
    <n v="-60"/>
    <s v="EUR"/>
    <x v="4"/>
    <x v="1"/>
    <x v="7"/>
    <n v="60"/>
    <x v="1"/>
  </r>
  <r>
    <d v="2022-02-11T00:00:00"/>
    <s v="Arbeitgeber"/>
    <s v="Gutschrift"/>
    <s v="Lohn"/>
    <n v="1000"/>
    <s v="EUR"/>
    <x v="0"/>
    <x v="1"/>
    <x v="7"/>
    <n v="1000"/>
    <x v="0"/>
  </r>
  <r>
    <d v="2022-02-12T00:00:00"/>
    <s v="Spotify"/>
    <s v="Abonnement"/>
    <s v="Music-Streaming"/>
    <n v="-10"/>
    <s v="EUR"/>
    <x v="1"/>
    <x v="1"/>
    <x v="7"/>
    <n v="10"/>
    <x v="1"/>
  </r>
  <r>
    <d v="2022-02-13T00:00:00"/>
    <s v="Tankstelle"/>
    <s v="Kraftstoff"/>
    <s v="Auto-Tankfüllung"/>
    <n v="-70"/>
    <s v="EUR"/>
    <x v="2"/>
    <x v="1"/>
    <x v="7"/>
    <n v="70"/>
    <x v="1"/>
  </r>
  <r>
    <d v="2022-02-14T00:00:00"/>
    <s v="Versicherungsgesellschaft"/>
    <s v="Versicherungsprämie"/>
    <s v="Haftpflichtversicherung"/>
    <n v="-80"/>
    <s v="EUR"/>
    <x v="3"/>
    <x v="1"/>
    <x v="7"/>
    <n v="80"/>
    <x v="1"/>
  </r>
  <r>
    <d v="2022-02-15T00:00:00"/>
    <s v="Bäckerei"/>
    <s v="Lebensmittel-Einkauf"/>
    <s v="Brot und Gebäck"/>
    <n v="-25"/>
    <s v="EUR"/>
    <x v="4"/>
    <x v="1"/>
    <x v="7"/>
    <n v="25"/>
    <x v="1"/>
  </r>
  <r>
    <d v="2022-02-16T00:00:00"/>
    <s v="Arbeitgeber"/>
    <s v="Gutschrift"/>
    <s v="Lohn"/>
    <n v="1000"/>
    <s v="EUR"/>
    <x v="0"/>
    <x v="1"/>
    <x v="7"/>
    <n v="1000"/>
    <x v="0"/>
  </r>
  <r>
    <d v="2022-02-17T00:00:00"/>
    <s v="Netflix"/>
    <s v="Abonnement"/>
    <s v="Streaming-Dienst"/>
    <n v="-15"/>
    <s v="EUR"/>
    <x v="1"/>
    <x v="1"/>
    <x v="7"/>
    <n v="15"/>
    <x v="1"/>
  </r>
  <r>
    <d v="2022-02-18T00:00:00"/>
    <s v="Autohändler"/>
    <s v="KFZ-Zahlung"/>
    <s v="Auto-Rate"/>
    <n v="-350"/>
    <s v="EUR"/>
    <x v="2"/>
    <x v="1"/>
    <x v="7"/>
    <n v="350"/>
    <x v="1"/>
  </r>
  <r>
    <d v="2022-02-19T00:00:00"/>
    <s v="Versicherungsgesellschaft"/>
    <s v="Versicherungsprämie"/>
    <s v="Kfz-Versicherung"/>
    <n v="-120"/>
    <s v="EUR"/>
    <x v="3"/>
    <x v="1"/>
    <x v="7"/>
    <n v="120"/>
    <x v="1"/>
  </r>
  <r>
    <d v="2022-02-20T00:00:00"/>
    <s v="Supermarkt"/>
    <s v="Lebensmittel-Einkauf"/>
    <s v="Wochenendeinkauf"/>
    <n v="-70"/>
    <s v="EUR"/>
    <x v="4"/>
    <x v="1"/>
    <x v="7"/>
    <n v="70"/>
    <x v="1"/>
  </r>
  <r>
    <d v="2022-02-21T00:00:00"/>
    <s v="Arbeitgeber"/>
    <s v="Gutschrift"/>
    <s v="Lohn"/>
    <n v="1000"/>
    <s v="EUR"/>
    <x v="0"/>
    <x v="1"/>
    <x v="7"/>
    <n v="1000"/>
    <x v="0"/>
  </r>
  <r>
    <d v="2022-02-22T00:00:00"/>
    <s v="Spotify"/>
    <s v="Abonnement"/>
    <s v="Music-Streaming"/>
    <n v="-10"/>
    <s v="EUR"/>
    <x v="1"/>
    <x v="1"/>
    <x v="7"/>
    <n v="10"/>
    <x v="1"/>
  </r>
  <r>
    <d v="2022-02-23T00:00:00"/>
    <s v="Tankstelle"/>
    <s v="Kraftstoff"/>
    <s v="Auto-Tankfüllung"/>
    <n v="-60"/>
    <s v="EUR"/>
    <x v="2"/>
    <x v="1"/>
    <x v="7"/>
    <n v="60"/>
    <x v="1"/>
  </r>
  <r>
    <d v="2022-02-24T00:00:00"/>
    <s v="Versicherungsgesellschaft"/>
    <s v="Versicherungsprämie"/>
    <s v="Haftpflichtversicherung"/>
    <n v="-80"/>
    <s v="EUR"/>
    <x v="3"/>
    <x v="1"/>
    <x v="7"/>
    <n v="80"/>
    <x v="1"/>
  </r>
  <r>
    <d v="2022-02-25T00:00:00"/>
    <s v="Bäckerei"/>
    <s v="Lebensmittel-Einkauf"/>
    <s v="Brot und Gebäck"/>
    <n v="-30"/>
    <s v="EUR"/>
    <x v="4"/>
    <x v="1"/>
    <x v="7"/>
    <n v="30"/>
    <x v="1"/>
  </r>
  <r>
    <d v="2022-02-26T00:00:00"/>
    <s v="Arbeitgeber"/>
    <s v="Gutschrift"/>
    <s v="Lohn"/>
    <n v="1000"/>
    <s v="EUR"/>
    <x v="0"/>
    <x v="1"/>
    <x v="7"/>
    <n v="1000"/>
    <x v="0"/>
  </r>
  <r>
    <d v="2022-02-27T00:00:00"/>
    <s v="Netflix"/>
    <s v="Abonnement"/>
    <s v="Streaming-Dienst"/>
    <n v="-15"/>
    <s v="EUR"/>
    <x v="1"/>
    <x v="1"/>
    <x v="7"/>
    <n v="15"/>
    <x v="1"/>
  </r>
  <r>
    <d v="2022-02-28T00:00:00"/>
    <s v="Autohändler"/>
    <s v="KFZ-Zahlung"/>
    <s v="Auto-Rate"/>
    <n v="-350"/>
    <s v="EUR"/>
    <x v="2"/>
    <x v="1"/>
    <x v="7"/>
    <n v="350"/>
    <x v="1"/>
  </r>
  <r>
    <d v="2022-03-01T00:00:00"/>
    <s v="Versicherungsgesellschaft"/>
    <s v="Versicherungsprämie"/>
    <s v="Kfz-Versicherung"/>
    <n v="-120"/>
    <s v="EUR"/>
    <x v="3"/>
    <x v="2"/>
    <x v="7"/>
    <n v="120"/>
    <x v="1"/>
  </r>
  <r>
    <d v="2022-03-02T00:00:00"/>
    <s v="Supermarkt"/>
    <s v="Lebensmittel-Einkauf"/>
    <s v="Wochenendeinkauf"/>
    <n v="-80"/>
    <s v="EUR"/>
    <x v="4"/>
    <x v="2"/>
    <x v="7"/>
    <n v="80"/>
    <x v="1"/>
  </r>
  <r>
    <d v="2022-03-03T00:00:00"/>
    <s v="Arbeitgeber"/>
    <s v="Gutschrift"/>
    <s v="Lohn"/>
    <n v="1000"/>
    <s v="EUR"/>
    <x v="0"/>
    <x v="2"/>
    <x v="7"/>
    <n v="1000"/>
    <x v="0"/>
  </r>
  <r>
    <d v="2022-03-04T00:00:00"/>
    <s v="Spotify"/>
    <s v="Abonnement"/>
    <s v="Music-Streaming"/>
    <n v="-10"/>
    <s v="EUR"/>
    <x v="1"/>
    <x v="2"/>
    <x v="7"/>
    <n v="10"/>
    <x v="1"/>
  </r>
  <r>
    <d v="2022-03-05T00:00:00"/>
    <s v="Tankstelle"/>
    <s v="Kraftstoff"/>
    <s v="Auto-Tankfüllung"/>
    <n v="-65"/>
    <s v="EUR"/>
    <x v="2"/>
    <x v="2"/>
    <x v="7"/>
    <n v="65"/>
    <x v="1"/>
  </r>
  <r>
    <d v="2022-03-06T00:00:00"/>
    <s v="Versicherungsgesellschaft"/>
    <s v="Versicherungsprämie"/>
    <s v="Haftpflichtversicherung"/>
    <n v="-80"/>
    <s v="EUR"/>
    <x v="3"/>
    <x v="2"/>
    <x v="7"/>
    <n v="80"/>
    <x v="1"/>
  </r>
  <r>
    <d v="2022-03-07T00:00:00"/>
    <s v="Bäckerei"/>
    <s v="Lebensmittel-Einkauf"/>
    <s v="Brot und Gebäck"/>
    <n v="-35"/>
    <s v="EUR"/>
    <x v="4"/>
    <x v="2"/>
    <x v="7"/>
    <n v="35"/>
    <x v="1"/>
  </r>
  <r>
    <d v="2022-03-08T00:00:00"/>
    <s v="Arbeitgeber"/>
    <s v="Gutschrift"/>
    <s v="Lohn"/>
    <n v="1000"/>
    <s v="EUR"/>
    <x v="0"/>
    <x v="2"/>
    <x v="7"/>
    <n v="1000"/>
    <x v="0"/>
  </r>
  <r>
    <d v="2022-03-09T00:00:00"/>
    <s v="Arbeitgeber"/>
    <s v="Gutschrift"/>
    <s v="Lohn"/>
    <n v="1000"/>
    <s v="EUR"/>
    <x v="0"/>
    <x v="2"/>
    <x v="7"/>
    <n v="1000"/>
    <x v="0"/>
  </r>
  <r>
    <d v="2022-03-10T00:00:00"/>
    <s v="Netflix"/>
    <s v="Abonnement"/>
    <s v="Streaming-Dienst"/>
    <n v="-15"/>
    <s v="EUR"/>
    <x v="1"/>
    <x v="2"/>
    <x v="7"/>
    <n v="15"/>
    <x v="1"/>
  </r>
  <r>
    <d v="2022-03-11T00:00:00"/>
    <s v="Autohändler"/>
    <s v="KFZ-Zahlung"/>
    <s v="Auto-Rate"/>
    <n v="-350"/>
    <s v="EUR"/>
    <x v="2"/>
    <x v="2"/>
    <x v="7"/>
    <n v="350"/>
    <x v="1"/>
  </r>
  <r>
    <d v="2022-03-12T00:00:00"/>
    <s v="Versicherungsgesellschaft"/>
    <s v="Versicherungsprämie"/>
    <s v="Kfz-Versicherung"/>
    <n v="-120"/>
    <s v="EUR"/>
    <x v="3"/>
    <x v="2"/>
    <x v="7"/>
    <n v="120"/>
    <x v="1"/>
  </r>
  <r>
    <d v="2022-03-13T00:00:00"/>
    <s v="Supermarkt"/>
    <s v="Lebensmittel-Einkauf"/>
    <s v="Wochenendeinkauf"/>
    <n v="-50"/>
    <s v="EUR"/>
    <x v="4"/>
    <x v="2"/>
    <x v="7"/>
    <n v="50"/>
    <x v="1"/>
  </r>
  <r>
    <d v="2022-03-14T00:00:00"/>
    <s v="Arbeitgeber"/>
    <s v="Gutschrift"/>
    <s v="Lohn"/>
    <n v="1000"/>
    <s v="EUR"/>
    <x v="0"/>
    <x v="2"/>
    <x v="7"/>
    <n v="1000"/>
    <x v="0"/>
  </r>
  <r>
    <d v="2022-03-15T00:00:00"/>
    <s v="Spotify"/>
    <s v="Abonnement"/>
    <s v="Music-Streaming"/>
    <n v="-10"/>
    <s v="EUR"/>
    <x v="1"/>
    <x v="2"/>
    <x v="7"/>
    <n v="10"/>
    <x v="1"/>
  </r>
  <r>
    <d v="2022-03-16T00:00:00"/>
    <s v="Tankstelle"/>
    <s v="Kraftstoff"/>
    <s v="Auto-Tankfüllung"/>
    <n v="-60"/>
    <s v="EUR"/>
    <x v="2"/>
    <x v="2"/>
    <x v="7"/>
    <n v="60"/>
    <x v="1"/>
  </r>
  <r>
    <d v="2022-03-17T00:00:00"/>
    <s v="Versicherungsgesellschaft"/>
    <s v="Versicherungsprämie"/>
    <s v="Haftpflichtversicherung"/>
    <n v="-80"/>
    <s v="EUR"/>
    <x v="3"/>
    <x v="2"/>
    <x v="7"/>
    <n v="80"/>
    <x v="1"/>
  </r>
  <r>
    <d v="2022-03-18T00:00:00"/>
    <s v="Bäckerei"/>
    <s v="Lebensmittel-Einkauf"/>
    <s v="Brot und Gebäck"/>
    <n v="-20"/>
    <s v="EUR"/>
    <x v="4"/>
    <x v="2"/>
    <x v="7"/>
    <n v="20"/>
    <x v="1"/>
  </r>
  <r>
    <d v="2022-03-19T00:00:00"/>
    <s v="Arbeitgeber"/>
    <s v="Gutschrift"/>
    <s v="Lohn"/>
    <n v="1000"/>
    <s v="EUR"/>
    <x v="0"/>
    <x v="2"/>
    <x v="7"/>
    <n v="1000"/>
    <x v="0"/>
  </r>
  <r>
    <d v="2022-03-20T00:00:00"/>
    <s v="Netflix"/>
    <s v="Abonnement"/>
    <s v="Streaming-Dienst"/>
    <n v="-15"/>
    <s v="EUR"/>
    <x v="1"/>
    <x v="2"/>
    <x v="7"/>
    <n v="15"/>
    <x v="1"/>
  </r>
  <r>
    <d v="2022-03-21T00:00:00"/>
    <s v="Autohändler"/>
    <s v="KFZ-Zahlung"/>
    <s v="Auto-Rate"/>
    <n v="-350"/>
    <s v="EUR"/>
    <x v="2"/>
    <x v="2"/>
    <x v="7"/>
    <n v="350"/>
    <x v="1"/>
  </r>
  <r>
    <d v="2022-03-22T00:00:00"/>
    <s v="Versicherungsgesellschaft"/>
    <s v="Versicherungsprämie"/>
    <s v="Kfz-Versicherung"/>
    <n v="-120"/>
    <s v="EUR"/>
    <x v="3"/>
    <x v="2"/>
    <x v="7"/>
    <n v="120"/>
    <x v="1"/>
  </r>
  <r>
    <d v="2022-03-23T00:00:00"/>
    <s v="Supermarkt"/>
    <s v="Lebensmittel-Einkauf"/>
    <s v="Wochenendeinkauf"/>
    <n v="-60"/>
    <s v="EUR"/>
    <x v="4"/>
    <x v="2"/>
    <x v="7"/>
    <n v="60"/>
    <x v="1"/>
  </r>
  <r>
    <d v="2022-03-24T00:00:00"/>
    <s v="Arbeitgeber"/>
    <s v="Gutschrift"/>
    <s v="Lohn"/>
    <n v="1000"/>
    <s v="EUR"/>
    <x v="0"/>
    <x v="2"/>
    <x v="7"/>
    <n v="1000"/>
    <x v="0"/>
  </r>
  <r>
    <d v="2022-03-25T00:00:00"/>
    <s v="Spotify"/>
    <s v="Abonnement"/>
    <s v="Music-Streaming"/>
    <n v="-10"/>
    <s v="EUR"/>
    <x v="1"/>
    <x v="2"/>
    <x v="7"/>
    <n v="10"/>
    <x v="1"/>
  </r>
  <r>
    <d v="2022-03-26T00:00:00"/>
    <s v="Tankstelle"/>
    <s v="Kraftstoff"/>
    <s v="Auto-Tankfüllung"/>
    <n v="-70"/>
    <s v="EUR"/>
    <x v="2"/>
    <x v="2"/>
    <x v="7"/>
    <n v="70"/>
    <x v="1"/>
  </r>
  <r>
    <d v="2022-03-27T00:00:00"/>
    <s v="Versicherungsgesellschaft"/>
    <s v="Versicherungsprämie"/>
    <s v="Haftpflichtversicherung"/>
    <n v="-80"/>
    <s v="EUR"/>
    <x v="3"/>
    <x v="2"/>
    <x v="7"/>
    <n v="80"/>
    <x v="1"/>
  </r>
  <r>
    <d v="2022-03-28T00:00:00"/>
    <s v="Bäckerei"/>
    <s v="Lebensmittel-Einkauf"/>
    <s v="Brot und Gebäck"/>
    <n v="-25"/>
    <s v="EUR"/>
    <x v="4"/>
    <x v="2"/>
    <x v="7"/>
    <n v="25"/>
    <x v="1"/>
  </r>
  <r>
    <d v="2022-03-29T00:00:00"/>
    <s v="Arbeitgeber"/>
    <s v="Gutschrift"/>
    <s v="Lohn"/>
    <n v="1000"/>
    <s v="EUR"/>
    <x v="0"/>
    <x v="2"/>
    <x v="7"/>
    <n v="1000"/>
    <x v="0"/>
  </r>
  <r>
    <d v="2022-03-30T00:00:00"/>
    <s v="Netflix"/>
    <s v="Abonnement"/>
    <s v="Streaming-Dienst"/>
    <n v="-15"/>
    <s v="EUR"/>
    <x v="1"/>
    <x v="2"/>
    <x v="7"/>
    <n v="15"/>
    <x v="1"/>
  </r>
  <r>
    <d v="2022-03-31T00:00:00"/>
    <s v="Autohändler"/>
    <s v="KFZ-Zahlung"/>
    <s v="Auto-Rate"/>
    <n v="-350"/>
    <s v="EUR"/>
    <x v="2"/>
    <x v="2"/>
    <x v="7"/>
    <n v="350"/>
    <x v="1"/>
  </r>
  <r>
    <d v="2022-04-01T00:00:00"/>
    <s v="Versicherungsgesellschaft"/>
    <s v="Versicherungsprämie"/>
    <s v="Kfz-Versicherung"/>
    <n v="-120"/>
    <s v="EUR"/>
    <x v="3"/>
    <x v="3"/>
    <x v="7"/>
    <n v="120"/>
    <x v="1"/>
  </r>
  <r>
    <d v="2022-04-02T00:00:00"/>
    <s v="Supermarkt"/>
    <s v="Lebensmittel-Einkauf"/>
    <s v="Wochenendeinkauf"/>
    <n v="-70"/>
    <s v="EUR"/>
    <x v="4"/>
    <x v="3"/>
    <x v="7"/>
    <n v="70"/>
    <x v="1"/>
  </r>
  <r>
    <d v="2022-04-03T00:00:00"/>
    <s v="Arbeitgeber"/>
    <s v="Gutschrift"/>
    <s v="Lohn"/>
    <n v="1000"/>
    <s v="EUR"/>
    <x v="0"/>
    <x v="3"/>
    <x v="7"/>
    <n v="1000"/>
    <x v="0"/>
  </r>
  <r>
    <d v="2022-04-04T00:00:00"/>
    <s v="Spotify"/>
    <s v="Abonnement"/>
    <s v="Music-Streaming"/>
    <n v="-10"/>
    <s v="EUR"/>
    <x v="1"/>
    <x v="3"/>
    <x v="7"/>
    <n v="10"/>
    <x v="1"/>
  </r>
  <r>
    <d v="2022-04-05T00:00:00"/>
    <s v="Tankstelle"/>
    <s v="Kraftstoff"/>
    <s v="Auto-Tankfüllung"/>
    <n v="-60"/>
    <s v="EUR"/>
    <x v="2"/>
    <x v="3"/>
    <x v="7"/>
    <n v="60"/>
    <x v="1"/>
  </r>
  <r>
    <d v="2022-04-06T00:00:00"/>
    <s v="Versicherungsgesellschaft"/>
    <s v="Versicherungsprämie"/>
    <s v="Haftpflichtversicherung"/>
    <n v="-80"/>
    <s v="EUR"/>
    <x v="3"/>
    <x v="3"/>
    <x v="7"/>
    <n v="80"/>
    <x v="1"/>
  </r>
  <r>
    <d v="2022-04-07T00:00:00"/>
    <s v="Bäckerei"/>
    <s v="Lebensmittel-Einkauf"/>
    <s v="Brot und Gebäck"/>
    <n v="-30"/>
    <s v="EUR"/>
    <x v="4"/>
    <x v="3"/>
    <x v="7"/>
    <n v="30"/>
    <x v="1"/>
  </r>
  <r>
    <d v="2022-04-08T00:00:00"/>
    <s v="Arbeitgeber"/>
    <s v="Gutschrift"/>
    <s v="Lohn"/>
    <n v="1000"/>
    <s v="EUR"/>
    <x v="0"/>
    <x v="3"/>
    <x v="7"/>
    <n v="1000"/>
    <x v="0"/>
  </r>
  <r>
    <d v="2022-04-09T00:00:00"/>
    <s v="Netflix"/>
    <s v="Abonnement"/>
    <s v="Streaming-Dienst"/>
    <n v="-15"/>
    <s v="EUR"/>
    <x v="1"/>
    <x v="3"/>
    <x v="7"/>
    <n v="15"/>
    <x v="1"/>
  </r>
  <r>
    <d v="2022-04-10T00:00:00"/>
    <s v="Autohändler"/>
    <s v="KFZ-Zahlung"/>
    <s v="Auto-Rate"/>
    <n v="-350"/>
    <s v="EUR"/>
    <x v="2"/>
    <x v="3"/>
    <x v="7"/>
    <n v="350"/>
    <x v="1"/>
  </r>
  <r>
    <d v="2022-04-11T00:00:00"/>
    <s v="Versicherungsgesellschaft"/>
    <s v="Versicherungsprämie"/>
    <s v="Kfz-Versicherung"/>
    <n v="-120"/>
    <s v="EUR"/>
    <x v="3"/>
    <x v="3"/>
    <x v="7"/>
    <n v="120"/>
    <x v="1"/>
  </r>
  <r>
    <d v="2022-04-12T00:00:00"/>
    <s v="Supermarkt"/>
    <s v="Lebensmittel-Einkauf"/>
    <s v="Wochenendeinkauf"/>
    <n v="-80"/>
    <s v="EUR"/>
    <x v="4"/>
    <x v="3"/>
    <x v="7"/>
    <n v="80"/>
    <x v="1"/>
  </r>
  <r>
    <d v="2022-04-13T00:00:00"/>
    <s v="Arbeitgeber"/>
    <s v="Gutschrift"/>
    <s v="Lohn"/>
    <n v="1000"/>
    <s v="EUR"/>
    <x v="0"/>
    <x v="3"/>
    <x v="7"/>
    <n v="1000"/>
    <x v="0"/>
  </r>
  <r>
    <d v="2022-04-14T00:00:00"/>
    <s v="Spotify"/>
    <s v="Abonnement"/>
    <s v="Music-Streaming"/>
    <n v="-10"/>
    <s v="EUR"/>
    <x v="1"/>
    <x v="3"/>
    <x v="7"/>
    <n v="10"/>
    <x v="1"/>
  </r>
  <r>
    <d v="2022-04-15T00:00:00"/>
    <s v="Tankstelle"/>
    <s v="Kraftstoff"/>
    <s v="Auto-Tankfüllung"/>
    <n v="-65"/>
    <s v="EUR"/>
    <x v="2"/>
    <x v="3"/>
    <x v="7"/>
    <n v="65"/>
    <x v="1"/>
  </r>
  <r>
    <d v="2022-04-16T00:00:00"/>
    <s v="Versicherungsgesellschaft"/>
    <s v="Versicherungsprämie"/>
    <s v="Haftpflichtversicherung"/>
    <n v="-80"/>
    <s v="EUR"/>
    <x v="3"/>
    <x v="3"/>
    <x v="7"/>
    <n v="80"/>
    <x v="1"/>
  </r>
  <r>
    <d v="2022-04-17T00:00:00"/>
    <s v="Bäckerei"/>
    <s v="Lebensmittel-Einkauf"/>
    <s v="Brot und Gebäck"/>
    <n v="-35"/>
    <s v="EUR"/>
    <x v="4"/>
    <x v="3"/>
    <x v="7"/>
    <n v="35"/>
    <x v="1"/>
  </r>
  <r>
    <d v="2022-04-18T00:00:00"/>
    <s v="Arbeitgeber"/>
    <s v="Gutschrift"/>
    <s v="Lohn"/>
    <n v="1000"/>
    <s v="EUR"/>
    <x v="0"/>
    <x v="3"/>
    <x v="7"/>
    <n v="1000"/>
    <x v="0"/>
  </r>
  <r>
    <d v="2022-04-19T00:00:00"/>
    <s v="Arbeitgeber"/>
    <s v="Gutschrift"/>
    <s v="Lohn"/>
    <n v="1000"/>
    <s v="EUR"/>
    <x v="0"/>
    <x v="3"/>
    <x v="7"/>
    <n v="1000"/>
    <x v="0"/>
  </r>
  <r>
    <d v="2022-04-20T00:00:00"/>
    <s v="Netflix"/>
    <s v="Abonnement"/>
    <s v="Streaming-Dienst"/>
    <n v="-15"/>
    <s v="EUR"/>
    <x v="1"/>
    <x v="3"/>
    <x v="7"/>
    <n v="15"/>
    <x v="1"/>
  </r>
  <r>
    <d v="2022-04-21T00:00:00"/>
    <s v="Autohändler"/>
    <s v="KFZ-Zahlung"/>
    <s v="Auto-Rate"/>
    <n v="-350"/>
    <s v="EUR"/>
    <x v="2"/>
    <x v="3"/>
    <x v="7"/>
    <n v="350"/>
    <x v="1"/>
  </r>
  <r>
    <d v="2022-04-22T00:00:00"/>
    <s v="Versicherungsgesellschaft"/>
    <s v="Versicherungsprämie"/>
    <s v="Kfz-Versicherung"/>
    <n v="-120"/>
    <s v="EUR"/>
    <x v="3"/>
    <x v="3"/>
    <x v="7"/>
    <n v="120"/>
    <x v="1"/>
  </r>
  <r>
    <d v="2022-04-23T00:00:00"/>
    <s v="Supermarkt"/>
    <s v="Lebensmittel-Einkauf"/>
    <s v="Wochenendeinkauf"/>
    <n v="-50"/>
    <s v="EUR"/>
    <x v="4"/>
    <x v="3"/>
    <x v="7"/>
    <n v="50"/>
    <x v="1"/>
  </r>
  <r>
    <d v="2022-04-24T00:00:00"/>
    <s v="Arbeitgeber"/>
    <s v="Gutschrift"/>
    <s v="Lohn"/>
    <n v="1000"/>
    <s v="EUR"/>
    <x v="0"/>
    <x v="3"/>
    <x v="7"/>
    <n v="1000"/>
    <x v="0"/>
  </r>
  <r>
    <d v="2022-04-25T00:00:00"/>
    <s v="Spotify"/>
    <s v="Abonnement"/>
    <s v="Music-Streaming"/>
    <n v="-10"/>
    <s v="EUR"/>
    <x v="1"/>
    <x v="3"/>
    <x v="7"/>
    <n v="10"/>
    <x v="1"/>
  </r>
  <r>
    <d v="2022-04-26T00:00:00"/>
    <s v="Tankstelle"/>
    <s v="Kraftstoff"/>
    <s v="Auto-Tankfüllung"/>
    <n v="-60"/>
    <s v="EUR"/>
    <x v="2"/>
    <x v="3"/>
    <x v="7"/>
    <n v="60"/>
    <x v="1"/>
  </r>
  <r>
    <d v="2022-04-27T00:00:00"/>
    <s v="Versicherungsgesellschaft"/>
    <s v="Versicherungsprämie"/>
    <s v="Haftpflichtversicherung"/>
    <n v="-80"/>
    <s v="EUR"/>
    <x v="3"/>
    <x v="3"/>
    <x v="7"/>
    <n v="80"/>
    <x v="1"/>
  </r>
  <r>
    <d v="2022-04-28T00:00:00"/>
    <s v="Bäckerei"/>
    <s v="Lebensmittel-Einkauf"/>
    <s v="Brot und Gebäck"/>
    <n v="-20"/>
    <s v="EUR"/>
    <x v="4"/>
    <x v="3"/>
    <x v="7"/>
    <n v="20"/>
    <x v="1"/>
  </r>
  <r>
    <d v="2022-04-29T00:00:00"/>
    <s v="Arbeitgeber"/>
    <s v="Gutschrift"/>
    <s v="Lohn"/>
    <n v="1000"/>
    <s v="EUR"/>
    <x v="0"/>
    <x v="3"/>
    <x v="7"/>
    <n v="1000"/>
    <x v="0"/>
  </r>
  <r>
    <d v="2022-04-30T00:00:00"/>
    <s v="Netflix"/>
    <s v="Abonnement"/>
    <s v="Streaming-Dienst"/>
    <n v="-15"/>
    <s v="EUR"/>
    <x v="1"/>
    <x v="3"/>
    <x v="7"/>
    <n v="15"/>
    <x v="1"/>
  </r>
  <r>
    <d v="2022-05-01T00:00:00"/>
    <s v="Autohändler"/>
    <s v="KFZ-Zahlung"/>
    <s v="Auto-Rate"/>
    <n v="-350"/>
    <s v="EUR"/>
    <x v="2"/>
    <x v="4"/>
    <x v="7"/>
    <n v="350"/>
    <x v="1"/>
  </r>
  <r>
    <d v="2022-05-02T00:00:00"/>
    <s v="Versicherungsgesellschaft"/>
    <s v="Versicherungsprämie"/>
    <s v="Kfz-Versicherung"/>
    <n v="-120"/>
    <s v="EUR"/>
    <x v="3"/>
    <x v="4"/>
    <x v="7"/>
    <n v="120"/>
    <x v="1"/>
  </r>
  <r>
    <d v="2022-05-03T00:00:00"/>
    <s v="Supermarkt"/>
    <s v="Lebensmittel-Einkauf"/>
    <s v="Wochenendeinkauf"/>
    <n v="-60"/>
    <s v="EUR"/>
    <x v="4"/>
    <x v="4"/>
    <x v="7"/>
    <n v="60"/>
    <x v="1"/>
  </r>
  <r>
    <d v="2022-05-04T00:00:00"/>
    <s v="Arbeitgeber"/>
    <s v="Gutschrift"/>
    <s v="Lohn"/>
    <n v="1000"/>
    <s v="EUR"/>
    <x v="0"/>
    <x v="4"/>
    <x v="7"/>
    <n v="1000"/>
    <x v="0"/>
  </r>
  <r>
    <d v="2022-05-05T00:00:00"/>
    <s v="Spotify"/>
    <s v="Abonnement"/>
    <s v="Music-Streaming"/>
    <n v="-10"/>
    <s v="EUR"/>
    <x v="1"/>
    <x v="4"/>
    <x v="7"/>
    <n v="10"/>
    <x v="1"/>
  </r>
  <r>
    <d v="2022-05-06T00:00:00"/>
    <s v="Tankstelle"/>
    <s v="Kraftstoff"/>
    <s v="Auto-Tankfüllung"/>
    <n v="-70"/>
    <s v="EUR"/>
    <x v="2"/>
    <x v="4"/>
    <x v="7"/>
    <n v="70"/>
    <x v="1"/>
  </r>
  <r>
    <d v="2022-05-07T00:00:00"/>
    <s v="Versicherungsgesellschaft"/>
    <s v="Versicherungsprämie"/>
    <s v="Haftpflichtversicherung"/>
    <n v="-80"/>
    <s v="EUR"/>
    <x v="3"/>
    <x v="4"/>
    <x v="7"/>
    <n v="80"/>
    <x v="1"/>
  </r>
  <r>
    <d v="2022-05-08T00:00:00"/>
    <s v="Bäckerei"/>
    <s v="Lebensmittel-Einkauf"/>
    <s v="Brot und Gebäck"/>
    <n v="-25"/>
    <s v="EUR"/>
    <x v="4"/>
    <x v="4"/>
    <x v="7"/>
    <n v="25"/>
    <x v="1"/>
  </r>
  <r>
    <d v="2022-05-09T00:00:00"/>
    <s v="Arbeitgeber"/>
    <s v="Gutschrift"/>
    <s v="Lohn"/>
    <n v="1000"/>
    <s v="EUR"/>
    <x v="0"/>
    <x v="4"/>
    <x v="7"/>
    <n v="1000"/>
    <x v="0"/>
  </r>
  <r>
    <d v="2022-05-10T00:00:00"/>
    <s v="Netflix"/>
    <s v="Abonnement"/>
    <s v="Streaming-Dienst"/>
    <n v="-15"/>
    <s v="EUR"/>
    <x v="1"/>
    <x v="4"/>
    <x v="7"/>
    <n v="15"/>
    <x v="1"/>
  </r>
  <r>
    <d v="2022-05-11T00:00:00"/>
    <s v="Autohändler"/>
    <s v="KFZ-Zahlung"/>
    <s v="Auto-Rate"/>
    <n v="-350"/>
    <s v="EUR"/>
    <x v="2"/>
    <x v="4"/>
    <x v="7"/>
    <n v="350"/>
    <x v="1"/>
  </r>
  <r>
    <d v="2022-05-12T00:00:00"/>
    <s v="Versicherungsgesellschaft"/>
    <s v="Versicherungsprämie"/>
    <s v="Kfz-Versicherung"/>
    <n v="-120"/>
    <s v="EUR"/>
    <x v="3"/>
    <x v="4"/>
    <x v="7"/>
    <n v="120"/>
    <x v="1"/>
  </r>
  <r>
    <d v="2022-05-13T00:00:00"/>
    <s v="Supermarkt"/>
    <s v="Lebensmittel-Einkauf"/>
    <s v="Wochenendeinkauf"/>
    <n v="-70"/>
    <s v="EUR"/>
    <x v="4"/>
    <x v="4"/>
    <x v="7"/>
    <n v="70"/>
    <x v="1"/>
  </r>
  <r>
    <d v="2022-05-14T00:00:00"/>
    <s v="Arbeitgeber"/>
    <s v="Gutschrift"/>
    <s v="Lohn"/>
    <n v="1000"/>
    <s v="EUR"/>
    <x v="0"/>
    <x v="4"/>
    <x v="7"/>
    <n v="1000"/>
    <x v="0"/>
  </r>
  <r>
    <d v="2022-05-15T00:00:00"/>
    <s v="Spotify"/>
    <s v="Abonnement"/>
    <s v="Music-Streaming"/>
    <n v="-10"/>
    <s v="EUR"/>
    <x v="1"/>
    <x v="4"/>
    <x v="7"/>
    <n v="10"/>
    <x v="1"/>
  </r>
  <r>
    <d v="2022-05-16T00:00:00"/>
    <s v="Tankstelle"/>
    <s v="Kraftstoff"/>
    <s v="Auto-Tankfüllung"/>
    <n v="-60"/>
    <s v="EUR"/>
    <x v="2"/>
    <x v="4"/>
    <x v="7"/>
    <n v="60"/>
    <x v="1"/>
  </r>
  <r>
    <d v="2022-05-17T00:00:00"/>
    <s v="Versicherungsgesellschaft"/>
    <s v="Versicherungsprämie"/>
    <s v="Haftpflichtversicherung"/>
    <n v="-80"/>
    <s v="EUR"/>
    <x v="3"/>
    <x v="4"/>
    <x v="7"/>
    <n v="80"/>
    <x v="1"/>
  </r>
  <r>
    <d v="2022-05-18T00:00:00"/>
    <s v="Bäckerei"/>
    <s v="Lebensmittel-Einkauf"/>
    <s v="Brot und Gebäck"/>
    <n v="-30"/>
    <s v="EUR"/>
    <x v="4"/>
    <x v="4"/>
    <x v="7"/>
    <n v="30"/>
    <x v="1"/>
  </r>
  <r>
    <d v="2022-05-19T00:00:00"/>
    <s v="Arbeitgeber"/>
    <s v="Gutschrift"/>
    <s v="Lohn"/>
    <n v="1000"/>
    <s v="EUR"/>
    <x v="0"/>
    <x v="4"/>
    <x v="7"/>
    <n v="1000"/>
    <x v="0"/>
  </r>
  <r>
    <d v="2022-05-20T00:00:00"/>
    <s v="Netflix"/>
    <s v="Abonnement"/>
    <s v="Streaming-Dienst"/>
    <n v="-15"/>
    <s v="EUR"/>
    <x v="1"/>
    <x v="4"/>
    <x v="7"/>
    <n v="15"/>
    <x v="1"/>
  </r>
  <r>
    <d v="2022-05-21T00:00:00"/>
    <s v="Autohändler"/>
    <s v="KFZ-Zahlung"/>
    <s v="Auto-Rate"/>
    <n v="-350"/>
    <s v="EUR"/>
    <x v="2"/>
    <x v="4"/>
    <x v="7"/>
    <n v="350"/>
    <x v="1"/>
  </r>
  <r>
    <d v="2022-05-22T00:00:00"/>
    <s v="Versicherungsgesellschaft"/>
    <s v="Versicherungsprämie"/>
    <s v="Kfz-Versicherung"/>
    <n v="-120"/>
    <s v="EUR"/>
    <x v="3"/>
    <x v="4"/>
    <x v="7"/>
    <n v="120"/>
    <x v="1"/>
  </r>
  <r>
    <d v="2022-05-23T00:00:00"/>
    <s v="Supermarkt"/>
    <s v="Lebensmittel-Einkauf"/>
    <s v="Wochenendeinkauf"/>
    <n v="-80"/>
    <s v="EUR"/>
    <x v="4"/>
    <x v="4"/>
    <x v="7"/>
    <n v="80"/>
    <x v="1"/>
  </r>
  <r>
    <d v="2022-05-24T00:00:00"/>
    <s v="Arbeitgeber"/>
    <s v="Gutschrift"/>
    <s v="Lohn"/>
    <n v="1000"/>
    <s v="EUR"/>
    <x v="0"/>
    <x v="4"/>
    <x v="7"/>
    <n v="1000"/>
    <x v="0"/>
  </r>
  <r>
    <d v="2022-05-25T00:00:00"/>
    <s v="Spotify"/>
    <s v="Abonnement"/>
    <s v="Music-Streaming"/>
    <n v="-10"/>
    <s v="EUR"/>
    <x v="1"/>
    <x v="4"/>
    <x v="7"/>
    <n v="10"/>
    <x v="1"/>
  </r>
  <r>
    <d v="2022-05-26T00:00:00"/>
    <s v="Tankstelle"/>
    <s v="Kraftstoff"/>
    <s v="Auto-Tankfüllung"/>
    <n v="-65"/>
    <s v="EUR"/>
    <x v="2"/>
    <x v="4"/>
    <x v="7"/>
    <n v="65"/>
    <x v="1"/>
  </r>
  <r>
    <d v="2022-05-27T00:00:00"/>
    <s v="Versicherungsgesellschaft"/>
    <s v="Versicherungsprämie"/>
    <s v="Haftpflichtversicherung"/>
    <n v="-80"/>
    <s v="EUR"/>
    <x v="3"/>
    <x v="4"/>
    <x v="7"/>
    <n v="80"/>
    <x v="1"/>
  </r>
  <r>
    <d v="2022-05-28T00:00:00"/>
    <s v="Bäckerei"/>
    <s v="Lebensmittel-Einkauf"/>
    <s v="Brot und Gebäck"/>
    <n v="-35"/>
    <s v="EUR"/>
    <x v="4"/>
    <x v="4"/>
    <x v="7"/>
    <n v="35"/>
    <x v="1"/>
  </r>
  <r>
    <d v="2022-05-29T00:00:00"/>
    <s v="Arbeitgeber"/>
    <s v="Gutschrift"/>
    <s v="Lohn"/>
    <n v="1000"/>
    <s v="EUR"/>
    <x v="0"/>
    <x v="4"/>
    <x v="7"/>
    <n v="1000"/>
    <x v="0"/>
  </r>
  <r>
    <d v="2022-05-30T00:00:00"/>
    <s v="Arbeitgeber"/>
    <s v="Gutschrift"/>
    <s v="Lohn"/>
    <n v="1000"/>
    <s v="EUR"/>
    <x v="0"/>
    <x v="4"/>
    <x v="7"/>
    <n v="1000"/>
    <x v="0"/>
  </r>
  <r>
    <d v="2022-05-31T00:00:00"/>
    <s v="Netflix"/>
    <s v="Abonnement"/>
    <s v="Streaming-Dienst"/>
    <n v="-15"/>
    <s v="EUR"/>
    <x v="1"/>
    <x v="4"/>
    <x v="7"/>
    <n v="15"/>
    <x v="1"/>
  </r>
  <r>
    <d v="2022-06-01T00:00:00"/>
    <s v="Autohändler"/>
    <s v="KFZ-Zahlung"/>
    <s v="Auto-Rate"/>
    <n v="-350"/>
    <s v="EUR"/>
    <x v="2"/>
    <x v="5"/>
    <x v="7"/>
    <n v="350"/>
    <x v="1"/>
  </r>
  <r>
    <d v="2022-06-02T00:00:00"/>
    <s v="Versicherungsgesellschaft"/>
    <s v="Versicherungsprämie"/>
    <s v="Kfz-Versicherung"/>
    <n v="-120"/>
    <s v="EUR"/>
    <x v="3"/>
    <x v="5"/>
    <x v="7"/>
    <n v="120"/>
    <x v="1"/>
  </r>
  <r>
    <d v="2022-06-03T00:00:00"/>
    <s v="Supermarkt"/>
    <s v="Lebensmittel-Einkauf"/>
    <s v="Wochenendeinkauf"/>
    <n v="-50"/>
    <s v="EUR"/>
    <x v="4"/>
    <x v="5"/>
    <x v="7"/>
    <n v="50"/>
    <x v="1"/>
  </r>
  <r>
    <d v="2022-06-04T00:00:00"/>
    <s v="Arbeitgeber"/>
    <s v="Gutschrift"/>
    <s v="Lohn"/>
    <n v="1000"/>
    <s v="EUR"/>
    <x v="0"/>
    <x v="5"/>
    <x v="7"/>
    <n v="1000"/>
    <x v="0"/>
  </r>
  <r>
    <d v="2022-06-05T00:00:00"/>
    <s v="Spotify"/>
    <s v="Abonnement"/>
    <s v="Music-Streaming"/>
    <n v="-10"/>
    <s v="EUR"/>
    <x v="1"/>
    <x v="5"/>
    <x v="7"/>
    <n v="10"/>
    <x v="1"/>
  </r>
  <r>
    <d v="2022-06-06T00:00:00"/>
    <s v="Tankstelle"/>
    <s v="Kraftstoff"/>
    <s v="Auto-Tankfüllung"/>
    <n v="-60"/>
    <s v="EUR"/>
    <x v="2"/>
    <x v="5"/>
    <x v="7"/>
    <n v="60"/>
    <x v="1"/>
  </r>
  <r>
    <d v="2022-06-07T00:00:00"/>
    <s v="Versicherungsgesellschaft"/>
    <s v="Versicherungsprämie"/>
    <s v="Haftpflichtversicherung"/>
    <n v="-80"/>
    <s v="EUR"/>
    <x v="3"/>
    <x v="5"/>
    <x v="7"/>
    <n v="80"/>
    <x v="1"/>
  </r>
  <r>
    <d v="2022-06-08T00:00:00"/>
    <s v="Bäckerei"/>
    <s v="Lebensmittel-Einkauf"/>
    <s v="Brot und Gebäck"/>
    <n v="-20"/>
    <s v="EUR"/>
    <x v="4"/>
    <x v="5"/>
    <x v="7"/>
    <n v="20"/>
    <x v="1"/>
  </r>
  <r>
    <d v="2022-06-09T00:00:00"/>
    <s v="Arbeitgeber"/>
    <s v="Gutschrift"/>
    <s v="Lohn"/>
    <n v="1000"/>
    <s v="EUR"/>
    <x v="0"/>
    <x v="5"/>
    <x v="7"/>
    <n v="1000"/>
    <x v="0"/>
  </r>
  <r>
    <d v="2022-06-10T00:00:00"/>
    <s v="Netflix"/>
    <s v="Abonnement"/>
    <s v="Streaming-Dienst"/>
    <n v="-15"/>
    <s v="EUR"/>
    <x v="1"/>
    <x v="5"/>
    <x v="7"/>
    <n v="15"/>
    <x v="1"/>
  </r>
  <r>
    <d v="2022-06-11T00:00:00"/>
    <s v="Autohändler"/>
    <s v="KFZ-Zahlung"/>
    <s v="Auto-Rate"/>
    <n v="-350"/>
    <s v="EUR"/>
    <x v="2"/>
    <x v="5"/>
    <x v="7"/>
    <n v="350"/>
    <x v="1"/>
  </r>
  <r>
    <d v="2022-06-12T00:00:00"/>
    <s v="Versicherungsgesellschaft"/>
    <s v="Versicherungsprämie"/>
    <s v="Kfz-Versicherung"/>
    <n v="-120"/>
    <s v="EUR"/>
    <x v="3"/>
    <x v="5"/>
    <x v="7"/>
    <n v="120"/>
    <x v="1"/>
  </r>
  <r>
    <d v="2022-06-13T00:00:00"/>
    <s v="Supermarkt"/>
    <s v="Lebensmittel-Einkauf"/>
    <s v="Wochenendeinkauf"/>
    <n v="-60"/>
    <s v="EUR"/>
    <x v="4"/>
    <x v="5"/>
    <x v="7"/>
    <n v="60"/>
    <x v="1"/>
  </r>
  <r>
    <d v="2022-06-14T00:00:00"/>
    <s v="Arbeitgeber"/>
    <s v="Gutschrift"/>
    <s v="Lohn"/>
    <n v="1000"/>
    <s v="EUR"/>
    <x v="0"/>
    <x v="5"/>
    <x v="7"/>
    <n v="1000"/>
    <x v="0"/>
  </r>
  <r>
    <d v="2022-06-15T00:00:00"/>
    <s v="Spotify"/>
    <s v="Abonnement"/>
    <s v="Music-Streaming"/>
    <n v="-10"/>
    <s v="EUR"/>
    <x v="1"/>
    <x v="5"/>
    <x v="7"/>
    <n v="10"/>
    <x v="1"/>
  </r>
  <r>
    <d v="2022-06-16T00:00:00"/>
    <s v="Tankstelle"/>
    <s v="Kraftstoff"/>
    <s v="Auto-Tankfüllung"/>
    <n v="-70"/>
    <s v="EUR"/>
    <x v="2"/>
    <x v="5"/>
    <x v="7"/>
    <n v="70"/>
    <x v="1"/>
  </r>
  <r>
    <d v="2022-06-17T00:00:00"/>
    <s v="Versicherungsgesellschaft"/>
    <s v="Versicherungsprämie"/>
    <s v="Haftpflichtversicherung"/>
    <n v="-80"/>
    <s v="EUR"/>
    <x v="3"/>
    <x v="5"/>
    <x v="7"/>
    <n v="80"/>
    <x v="1"/>
  </r>
  <r>
    <d v="2022-06-18T00:00:00"/>
    <s v="Bäckerei"/>
    <s v="Lebensmittel-Einkauf"/>
    <s v="Brot und Gebäck"/>
    <n v="-25"/>
    <s v="EUR"/>
    <x v="4"/>
    <x v="5"/>
    <x v="7"/>
    <n v="25"/>
    <x v="1"/>
  </r>
  <r>
    <d v="2022-06-19T00:00:00"/>
    <s v="Arbeitgeber"/>
    <s v="Gutschrift"/>
    <s v="Lohn"/>
    <n v="1000"/>
    <s v="EUR"/>
    <x v="0"/>
    <x v="5"/>
    <x v="7"/>
    <n v="1000"/>
    <x v="0"/>
  </r>
  <r>
    <d v="2022-06-20T00:00:00"/>
    <s v="Netflix"/>
    <s v="Abonnement"/>
    <s v="Streaming-Dienst"/>
    <n v="-15"/>
    <s v="EUR"/>
    <x v="1"/>
    <x v="5"/>
    <x v="7"/>
    <n v="15"/>
    <x v="1"/>
  </r>
  <r>
    <d v="2022-06-21T00:00:00"/>
    <s v="Autohändler"/>
    <s v="KFZ-Zahlung"/>
    <s v="Auto-Rate"/>
    <n v="-350"/>
    <s v="EUR"/>
    <x v="2"/>
    <x v="5"/>
    <x v="7"/>
    <n v="350"/>
    <x v="1"/>
  </r>
  <r>
    <d v="2022-06-22T00:00:00"/>
    <s v="Versicherungsgesellschaft"/>
    <s v="Versicherungsprämie"/>
    <s v="Kfz-Versicherung"/>
    <n v="-120"/>
    <s v="EUR"/>
    <x v="3"/>
    <x v="5"/>
    <x v="7"/>
    <n v="120"/>
    <x v="1"/>
  </r>
  <r>
    <d v="2022-06-23T00:00:00"/>
    <s v="Supermarkt"/>
    <s v="Lebensmittel-Einkauf"/>
    <s v="Wochenendeinkauf"/>
    <n v="-70"/>
    <s v="EUR"/>
    <x v="4"/>
    <x v="5"/>
    <x v="7"/>
    <n v="70"/>
    <x v="1"/>
  </r>
  <r>
    <d v="2022-06-24T00:00:00"/>
    <s v="Arbeitgeber"/>
    <s v="Gutschrift"/>
    <s v="Lohn"/>
    <n v="1000"/>
    <s v="EUR"/>
    <x v="0"/>
    <x v="5"/>
    <x v="7"/>
    <n v="1000"/>
    <x v="0"/>
  </r>
  <r>
    <d v="2022-06-25T00:00:00"/>
    <s v="Spotify"/>
    <s v="Abonnement"/>
    <s v="Music-Streaming"/>
    <n v="-10"/>
    <s v="EUR"/>
    <x v="1"/>
    <x v="5"/>
    <x v="7"/>
    <n v="10"/>
    <x v="1"/>
  </r>
  <r>
    <d v="2022-06-26T00:00:00"/>
    <s v="Tankstelle"/>
    <s v="Kraftstoff"/>
    <s v="Auto-Tankfüllung"/>
    <n v="-60"/>
    <s v="EUR"/>
    <x v="2"/>
    <x v="5"/>
    <x v="7"/>
    <n v="60"/>
    <x v="1"/>
  </r>
  <r>
    <d v="2022-06-27T00:00:00"/>
    <s v="Versicherungsgesellschaft"/>
    <s v="Versicherungsprämie"/>
    <s v="Haftpflichtversicherung"/>
    <n v="-80"/>
    <s v="EUR"/>
    <x v="3"/>
    <x v="5"/>
    <x v="7"/>
    <n v="80"/>
    <x v="1"/>
  </r>
  <r>
    <d v="2022-06-28T00:00:00"/>
    <s v="Bäckerei"/>
    <s v="Lebensmittel-Einkauf"/>
    <s v="Brot und Gebäck"/>
    <n v="-30"/>
    <s v="EUR"/>
    <x v="4"/>
    <x v="5"/>
    <x v="7"/>
    <n v="30"/>
    <x v="1"/>
  </r>
  <r>
    <d v="2022-06-29T00:00:00"/>
    <s v="Arbeitgeber"/>
    <s v="Gutschrift"/>
    <s v="Lohn"/>
    <n v="1000"/>
    <s v="EUR"/>
    <x v="0"/>
    <x v="5"/>
    <x v="7"/>
    <n v="1000"/>
    <x v="0"/>
  </r>
  <r>
    <d v="2022-06-30T00:00:00"/>
    <s v="Netflix"/>
    <s v="Abonnement"/>
    <s v="Streaming-Dienst"/>
    <n v="-15"/>
    <s v="EUR"/>
    <x v="1"/>
    <x v="5"/>
    <x v="7"/>
    <n v="15"/>
    <x v="1"/>
  </r>
  <r>
    <d v="2022-07-01T00:00:00"/>
    <s v="Autohändler"/>
    <s v="KFZ-Zahlung"/>
    <s v="Auto-Rate"/>
    <n v="-350"/>
    <s v="EUR"/>
    <x v="2"/>
    <x v="6"/>
    <x v="7"/>
    <n v="350"/>
    <x v="1"/>
  </r>
  <r>
    <d v="2022-07-02T00:00:00"/>
    <s v="Versicherungsgesellschaft"/>
    <s v="Versicherungsprämie"/>
    <s v="Kfz-Versicherung"/>
    <n v="-120"/>
    <s v="EUR"/>
    <x v="3"/>
    <x v="6"/>
    <x v="7"/>
    <n v="120"/>
    <x v="1"/>
  </r>
  <r>
    <d v="2022-07-03T00:00:00"/>
    <s v="Supermarkt"/>
    <s v="Lebensmittel-Einkauf"/>
    <s v="Wochenendeinkauf"/>
    <n v="-80"/>
    <s v="EUR"/>
    <x v="4"/>
    <x v="6"/>
    <x v="7"/>
    <n v="80"/>
    <x v="1"/>
  </r>
  <r>
    <d v="2022-07-04T00:00:00"/>
    <s v="Arbeitgeber"/>
    <s v="Gutschrift"/>
    <s v="Lohn"/>
    <n v="1000"/>
    <s v="EUR"/>
    <x v="0"/>
    <x v="6"/>
    <x v="7"/>
    <n v="1000"/>
    <x v="0"/>
  </r>
  <r>
    <d v="2022-07-05T00:00:00"/>
    <s v="Spotify"/>
    <s v="Abonnement"/>
    <s v="Music-Streaming"/>
    <n v="-10"/>
    <s v="EUR"/>
    <x v="1"/>
    <x v="6"/>
    <x v="7"/>
    <n v="10"/>
    <x v="1"/>
  </r>
  <r>
    <d v="2022-07-06T00:00:00"/>
    <s v="Tankstelle"/>
    <s v="Kraftstoff"/>
    <s v="Auto-Tankfüllung"/>
    <n v="-65"/>
    <s v="EUR"/>
    <x v="2"/>
    <x v="6"/>
    <x v="7"/>
    <n v="65"/>
    <x v="1"/>
  </r>
  <r>
    <d v="2022-07-07T00:00:00"/>
    <s v="Versicherungsgesellschaft"/>
    <s v="Versicherungsprämie"/>
    <s v="Haftpflichtversicherung"/>
    <n v="-80"/>
    <s v="EUR"/>
    <x v="3"/>
    <x v="6"/>
    <x v="7"/>
    <n v="80"/>
    <x v="1"/>
  </r>
  <r>
    <d v="2022-07-08T00:00:00"/>
    <s v="Bäckerei"/>
    <s v="Lebensmittel-Einkauf"/>
    <s v="Brot und Gebäck"/>
    <n v="-35"/>
    <s v="EUR"/>
    <x v="4"/>
    <x v="6"/>
    <x v="7"/>
    <n v="35"/>
    <x v="1"/>
  </r>
  <r>
    <d v="2022-07-09T00:00:00"/>
    <s v="Arbeitgeber"/>
    <s v="Gutschrift"/>
    <s v="Lohn"/>
    <n v="1000"/>
    <s v="EUR"/>
    <x v="0"/>
    <x v="6"/>
    <x v="7"/>
    <n v="1000"/>
    <x v="0"/>
  </r>
  <r>
    <d v="2022-07-10T00:00:00"/>
    <s v="Arbeitgeber"/>
    <s v="Gutschrift"/>
    <s v="Lohn"/>
    <n v="1000"/>
    <s v="EUR"/>
    <x v="0"/>
    <x v="6"/>
    <x v="7"/>
    <n v="1000"/>
    <x v="0"/>
  </r>
  <r>
    <d v="2022-07-11T00:00:00"/>
    <s v="Netflix"/>
    <s v="Abonnement"/>
    <s v="Streaming-Dienst"/>
    <n v="-15"/>
    <s v="EUR"/>
    <x v="1"/>
    <x v="6"/>
    <x v="7"/>
    <n v="15"/>
    <x v="1"/>
  </r>
  <r>
    <d v="2022-07-12T00:00:00"/>
    <s v="Autohändler"/>
    <s v="KFZ-Zahlung"/>
    <s v="Auto-Rate"/>
    <n v="-350"/>
    <s v="EUR"/>
    <x v="2"/>
    <x v="6"/>
    <x v="7"/>
    <n v="350"/>
    <x v="1"/>
  </r>
  <r>
    <d v="2022-07-13T00:00:00"/>
    <s v="Versicherungsgesellschaft"/>
    <s v="Versicherungsprämie"/>
    <s v="Kfz-Versicherung"/>
    <n v="-120"/>
    <s v="EUR"/>
    <x v="3"/>
    <x v="6"/>
    <x v="7"/>
    <n v="120"/>
    <x v="1"/>
  </r>
  <r>
    <d v="2022-07-14T00:00:00"/>
    <s v="Supermarkt"/>
    <s v="Lebensmittel-Einkauf"/>
    <s v="Wochenendeinkauf"/>
    <n v="-50"/>
    <s v="EUR"/>
    <x v="4"/>
    <x v="6"/>
    <x v="7"/>
    <n v="50"/>
    <x v="1"/>
  </r>
  <r>
    <d v="2022-07-15T00:00:00"/>
    <s v="Arbeitgeber"/>
    <s v="Gutschrift"/>
    <s v="Lohn"/>
    <n v="1000"/>
    <s v="EUR"/>
    <x v="0"/>
    <x v="6"/>
    <x v="7"/>
    <n v="1000"/>
    <x v="0"/>
  </r>
  <r>
    <d v="2022-07-16T00:00:00"/>
    <s v="Spotify"/>
    <s v="Abonnement"/>
    <s v="Music-Streaming"/>
    <n v="-10"/>
    <s v="EUR"/>
    <x v="1"/>
    <x v="6"/>
    <x v="7"/>
    <n v="10"/>
    <x v="1"/>
  </r>
  <r>
    <d v="2022-07-17T00:00:00"/>
    <s v="Tankstelle"/>
    <s v="Kraftstoff"/>
    <s v="Auto-Tankfüllung"/>
    <n v="-60"/>
    <s v="EUR"/>
    <x v="2"/>
    <x v="6"/>
    <x v="7"/>
    <n v="60"/>
    <x v="1"/>
  </r>
  <r>
    <d v="2022-07-18T00:00:00"/>
    <s v="Versicherungsgesellschaft"/>
    <s v="Versicherungsprämie"/>
    <s v="Haftpflichtversicherung"/>
    <n v="-80"/>
    <s v="EUR"/>
    <x v="3"/>
    <x v="6"/>
    <x v="7"/>
    <n v="80"/>
    <x v="1"/>
  </r>
  <r>
    <d v="2022-07-19T00:00:00"/>
    <s v="Bäckerei"/>
    <s v="Lebensmittel-Einkauf"/>
    <s v="Brot und Gebäck"/>
    <n v="-20"/>
    <s v="EUR"/>
    <x v="4"/>
    <x v="6"/>
    <x v="7"/>
    <n v="20"/>
    <x v="1"/>
  </r>
  <r>
    <d v="2022-07-20T00:00:00"/>
    <s v="Arbeitgeber"/>
    <s v="Gutschrift"/>
    <s v="Lohn"/>
    <n v="1000"/>
    <s v="EUR"/>
    <x v="0"/>
    <x v="6"/>
    <x v="7"/>
    <n v="1000"/>
    <x v="0"/>
  </r>
  <r>
    <d v="2022-07-21T00:00:00"/>
    <s v="Netflix"/>
    <s v="Abonnement"/>
    <s v="Streaming-Dienst"/>
    <n v="-15"/>
    <s v="EUR"/>
    <x v="1"/>
    <x v="6"/>
    <x v="7"/>
    <n v="15"/>
    <x v="1"/>
  </r>
  <r>
    <d v="2022-07-22T00:00:00"/>
    <s v="Autohändler"/>
    <s v="KFZ-Zahlung"/>
    <s v="Auto-Rate"/>
    <n v="-350"/>
    <s v="EUR"/>
    <x v="2"/>
    <x v="6"/>
    <x v="7"/>
    <n v="350"/>
    <x v="1"/>
  </r>
  <r>
    <d v="2022-07-23T00:00:00"/>
    <s v="Versicherungsgesellschaft"/>
    <s v="Versicherungsprämie"/>
    <s v="Kfz-Versicherung"/>
    <n v="-120"/>
    <s v="EUR"/>
    <x v="3"/>
    <x v="6"/>
    <x v="7"/>
    <n v="120"/>
    <x v="1"/>
  </r>
  <r>
    <d v="2022-07-24T00:00:00"/>
    <s v="Supermarkt"/>
    <s v="Lebensmittel-Einkauf"/>
    <s v="Wochenendeinkauf"/>
    <n v="-60"/>
    <s v="EUR"/>
    <x v="4"/>
    <x v="6"/>
    <x v="7"/>
    <n v="60"/>
    <x v="1"/>
  </r>
  <r>
    <d v="2022-07-25T00:00:00"/>
    <s v="Arbeitgeber"/>
    <s v="Gutschrift"/>
    <s v="Lohn"/>
    <n v="1000"/>
    <s v="EUR"/>
    <x v="0"/>
    <x v="6"/>
    <x v="7"/>
    <n v="1000"/>
    <x v="0"/>
  </r>
  <r>
    <d v="2022-07-26T00:00:00"/>
    <s v="Spotify"/>
    <s v="Abonnement"/>
    <s v="Music-Streaming"/>
    <n v="-10"/>
    <s v="EUR"/>
    <x v="1"/>
    <x v="6"/>
    <x v="7"/>
    <n v="10"/>
    <x v="1"/>
  </r>
  <r>
    <d v="2022-07-27T00:00:00"/>
    <s v="Tankstelle"/>
    <s v="Kraftstoff"/>
    <s v="Auto-Tankfüllung"/>
    <n v="-70"/>
    <s v="EUR"/>
    <x v="2"/>
    <x v="6"/>
    <x v="7"/>
    <n v="70"/>
    <x v="1"/>
  </r>
  <r>
    <d v="2022-07-28T00:00:00"/>
    <s v="Versicherungsgesellschaft"/>
    <s v="Versicherungsprämie"/>
    <s v="Haftpflichtversicherung"/>
    <n v="-80"/>
    <s v="EUR"/>
    <x v="3"/>
    <x v="6"/>
    <x v="7"/>
    <n v="80"/>
    <x v="1"/>
  </r>
  <r>
    <d v="2022-07-29T00:00:00"/>
    <s v="Bäckerei"/>
    <s v="Lebensmittel-Einkauf"/>
    <s v="Brot und Gebäck"/>
    <n v="-25"/>
    <s v="EUR"/>
    <x v="4"/>
    <x v="6"/>
    <x v="7"/>
    <n v="25"/>
    <x v="1"/>
  </r>
  <r>
    <d v="2022-07-30T00:00:00"/>
    <s v="Arbeitgeber"/>
    <s v="Gutschrift"/>
    <s v="Lohn"/>
    <n v="1000"/>
    <s v="EUR"/>
    <x v="0"/>
    <x v="6"/>
    <x v="7"/>
    <n v="1000"/>
    <x v="0"/>
  </r>
  <r>
    <d v="2022-07-31T00:00:00"/>
    <s v="Netflix"/>
    <s v="Abonnement"/>
    <s v="Streaming-Dienst"/>
    <n v="-15"/>
    <s v="EUR"/>
    <x v="1"/>
    <x v="6"/>
    <x v="7"/>
    <n v="15"/>
    <x v="1"/>
  </r>
  <r>
    <d v="2022-08-01T00:00:00"/>
    <s v="Autohändler"/>
    <s v="KFZ-Zahlung"/>
    <s v="Auto-Rate"/>
    <n v="-350"/>
    <s v="EUR"/>
    <x v="2"/>
    <x v="7"/>
    <x v="7"/>
    <n v="350"/>
    <x v="1"/>
  </r>
  <r>
    <d v="2022-08-02T00:00:00"/>
    <s v="Versicherungsgesellschaft"/>
    <s v="Versicherungsprämie"/>
    <s v="Kfz-Versicherung"/>
    <n v="-120"/>
    <s v="EUR"/>
    <x v="3"/>
    <x v="7"/>
    <x v="7"/>
    <n v="120"/>
    <x v="1"/>
  </r>
  <r>
    <d v="2022-08-03T00:00:00"/>
    <s v="Supermarkt"/>
    <s v="Lebensmittel-Einkauf"/>
    <s v="Wochenendeinkauf"/>
    <n v="-70"/>
    <s v="EUR"/>
    <x v="4"/>
    <x v="7"/>
    <x v="7"/>
    <n v="70"/>
    <x v="1"/>
  </r>
  <r>
    <d v="2022-08-04T00:00:00"/>
    <s v="Arbeitgeber"/>
    <s v="Gutschrift"/>
    <s v="Lohn"/>
    <n v="1000"/>
    <s v="EUR"/>
    <x v="0"/>
    <x v="7"/>
    <x v="7"/>
    <n v="1000"/>
    <x v="0"/>
  </r>
  <r>
    <d v="2022-08-05T00:00:00"/>
    <s v="Spotify"/>
    <s v="Abonnement"/>
    <s v="Music-Streaming"/>
    <n v="-10"/>
    <s v="EUR"/>
    <x v="1"/>
    <x v="7"/>
    <x v="7"/>
    <n v="10"/>
    <x v="1"/>
  </r>
  <r>
    <d v="2022-08-06T00:00:00"/>
    <s v="Tankstelle"/>
    <s v="Kraftstoff"/>
    <s v="Auto-Tankfüllung"/>
    <n v="-60"/>
    <s v="EUR"/>
    <x v="2"/>
    <x v="7"/>
    <x v="7"/>
    <n v="60"/>
    <x v="1"/>
  </r>
  <r>
    <d v="2022-08-07T00:00:00"/>
    <s v="Versicherungsgesellschaft"/>
    <s v="Versicherungsprämie"/>
    <s v="Haftpflichtversicherung"/>
    <n v="-80"/>
    <s v="EUR"/>
    <x v="3"/>
    <x v="7"/>
    <x v="7"/>
    <n v="80"/>
    <x v="1"/>
  </r>
  <r>
    <d v="2022-08-08T00:00:00"/>
    <s v="Bäckerei"/>
    <s v="Lebensmittel-Einkauf"/>
    <s v="Brot und Gebäck"/>
    <n v="-30"/>
    <s v="EUR"/>
    <x v="4"/>
    <x v="7"/>
    <x v="7"/>
    <n v="30"/>
    <x v="1"/>
  </r>
  <r>
    <d v="2022-08-09T00:00:00"/>
    <s v="Arbeitgeber"/>
    <s v="Gutschrift"/>
    <s v="Lohn"/>
    <n v="1000"/>
    <s v="EUR"/>
    <x v="0"/>
    <x v="7"/>
    <x v="7"/>
    <n v="1000"/>
    <x v="0"/>
  </r>
  <r>
    <d v="2022-08-10T00:00:00"/>
    <s v="Netflix"/>
    <s v="Abonnement"/>
    <s v="Streaming-Dienst"/>
    <n v="-15"/>
    <s v="EUR"/>
    <x v="1"/>
    <x v="7"/>
    <x v="7"/>
    <n v="15"/>
    <x v="1"/>
  </r>
  <r>
    <d v="2022-08-11T00:00:00"/>
    <s v="Autohändler"/>
    <s v="KFZ-Zahlung"/>
    <s v="Auto-Rate"/>
    <n v="-350"/>
    <s v="EUR"/>
    <x v="2"/>
    <x v="7"/>
    <x v="7"/>
    <n v="350"/>
    <x v="1"/>
  </r>
  <r>
    <d v="2022-08-12T00:00:00"/>
    <s v="Versicherungsgesellschaft"/>
    <s v="Versicherungsprämie"/>
    <s v="Kfz-Versicherung"/>
    <n v="-120"/>
    <s v="EUR"/>
    <x v="3"/>
    <x v="7"/>
    <x v="7"/>
    <n v="120"/>
    <x v="1"/>
  </r>
  <r>
    <d v="2022-08-13T00:00:00"/>
    <s v="Supermarkt"/>
    <s v="Lebensmittel-Einkauf"/>
    <s v="Wochenendeinkauf"/>
    <n v="-80"/>
    <s v="EUR"/>
    <x v="4"/>
    <x v="7"/>
    <x v="7"/>
    <n v="80"/>
    <x v="1"/>
  </r>
  <r>
    <d v="2022-08-14T00:00:00"/>
    <s v="Arbeitgeber"/>
    <s v="Gutschrift"/>
    <s v="Lohn"/>
    <n v="1000"/>
    <s v="EUR"/>
    <x v="0"/>
    <x v="7"/>
    <x v="7"/>
    <n v="1000"/>
    <x v="0"/>
  </r>
  <r>
    <d v="2022-08-15T00:00:00"/>
    <s v="Spotify"/>
    <s v="Abonnement"/>
    <s v="Music-Streaming"/>
    <n v="-10"/>
    <s v="EUR"/>
    <x v="1"/>
    <x v="7"/>
    <x v="7"/>
    <n v="10"/>
    <x v="1"/>
  </r>
  <r>
    <d v="2022-08-16T00:00:00"/>
    <s v="Tankstelle"/>
    <s v="Kraftstoff"/>
    <s v="Auto-Tankfüllung"/>
    <n v="-65"/>
    <s v="EUR"/>
    <x v="2"/>
    <x v="7"/>
    <x v="7"/>
    <n v="65"/>
    <x v="1"/>
  </r>
  <r>
    <d v="2022-08-17T00:00:00"/>
    <s v="Versicherungsgesellschaft"/>
    <s v="Versicherungsprämie"/>
    <s v="Haftpflichtversicherung"/>
    <n v="-80"/>
    <s v="EUR"/>
    <x v="3"/>
    <x v="7"/>
    <x v="7"/>
    <n v="80"/>
    <x v="1"/>
  </r>
  <r>
    <d v="2022-08-18T00:00:00"/>
    <s v="Bäckerei"/>
    <s v="Lebensmittel-Einkauf"/>
    <s v="Brot und Gebäck"/>
    <n v="-35"/>
    <s v="EUR"/>
    <x v="4"/>
    <x v="7"/>
    <x v="7"/>
    <n v="35"/>
    <x v="1"/>
  </r>
  <r>
    <d v="2022-08-19T00:00:00"/>
    <s v="Arbeitgeber"/>
    <s v="Gutschrift"/>
    <s v="Lohn"/>
    <n v="1000"/>
    <s v="EUR"/>
    <x v="0"/>
    <x v="7"/>
    <x v="7"/>
    <n v="1000"/>
    <x v="0"/>
  </r>
  <r>
    <d v="2022-08-20T00:00:00"/>
    <s v="Arbeitgeber"/>
    <s v="Gutschrift"/>
    <s v="Lohn"/>
    <n v="1000"/>
    <s v="EUR"/>
    <x v="0"/>
    <x v="7"/>
    <x v="7"/>
    <n v="1000"/>
    <x v="0"/>
  </r>
  <r>
    <d v="2022-08-21T00:00:00"/>
    <s v="Netflix"/>
    <s v="Abonnement"/>
    <s v="Streaming-Dienst"/>
    <n v="-15"/>
    <s v="EUR"/>
    <x v="1"/>
    <x v="7"/>
    <x v="7"/>
    <n v="15"/>
    <x v="1"/>
  </r>
  <r>
    <d v="2022-08-22T00:00:00"/>
    <s v="Autohändler"/>
    <s v="KFZ-Zahlung"/>
    <s v="Auto-Rate"/>
    <n v="-350"/>
    <s v="EUR"/>
    <x v="2"/>
    <x v="7"/>
    <x v="7"/>
    <n v="350"/>
    <x v="1"/>
  </r>
  <r>
    <d v="2022-08-23T00:00:00"/>
    <s v="Versicherungsgesellschaft"/>
    <s v="Versicherungsprämie"/>
    <s v="Kfz-Versicherung"/>
    <n v="-120"/>
    <s v="EUR"/>
    <x v="3"/>
    <x v="7"/>
    <x v="7"/>
    <n v="120"/>
    <x v="1"/>
  </r>
  <r>
    <d v="2022-08-24T00:00:00"/>
    <s v="Supermarkt"/>
    <s v="Lebensmittel-Einkauf"/>
    <s v="Wochenendeinkauf"/>
    <n v="-50"/>
    <s v="EUR"/>
    <x v="4"/>
    <x v="7"/>
    <x v="7"/>
    <n v="50"/>
    <x v="1"/>
  </r>
  <r>
    <d v="2022-08-25T00:00:00"/>
    <s v="Arbeitgeber"/>
    <s v="Gutschrift"/>
    <s v="Lohn"/>
    <n v="1000"/>
    <s v="EUR"/>
    <x v="0"/>
    <x v="7"/>
    <x v="7"/>
    <n v="1000"/>
    <x v="0"/>
  </r>
  <r>
    <d v="2022-08-26T00:00:00"/>
    <s v="Spotify"/>
    <s v="Abonnement"/>
    <s v="Music-Streaming"/>
    <n v="-10"/>
    <s v="EUR"/>
    <x v="1"/>
    <x v="7"/>
    <x v="7"/>
    <n v="10"/>
    <x v="1"/>
  </r>
  <r>
    <d v="2022-08-27T00:00:00"/>
    <s v="Tankstelle"/>
    <s v="Kraftstoff"/>
    <s v="Auto-Tankfüllung"/>
    <n v="-60"/>
    <s v="EUR"/>
    <x v="2"/>
    <x v="7"/>
    <x v="7"/>
    <n v="60"/>
    <x v="1"/>
  </r>
  <r>
    <d v="2022-08-28T00:00:00"/>
    <s v="Versicherungsgesellschaft"/>
    <s v="Versicherungsprämie"/>
    <s v="Haftpflichtversicherung"/>
    <n v="-80"/>
    <s v="EUR"/>
    <x v="3"/>
    <x v="7"/>
    <x v="7"/>
    <n v="80"/>
    <x v="1"/>
  </r>
  <r>
    <d v="2022-08-29T00:00:00"/>
    <s v="Bäckerei"/>
    <s v="Lebensmittel-Einkauf"/>
    <s v="Brot und Gebäck"/>
    <n v="-20"/>
    <s v="EUR"/>
    <x v="4"/>
    <x v="7"/>
    <x v="7"/>
    <n v="20"/>
    <x v="1"/>
  </r>
  <r>
    <d v="2022-08-30T00:00:00"/>
    <s v="Arbeitgeber"/>
    <s v="Gutschrift"/>
    <s v="Lohn"/>
    <n v="1000"/>
    <s v="EUR"/>
    <x v="0"/>
    <x v="7"/>
    <x v="7"/>
    <n v="1000"/>
    <x v="0"/>
  </r>
  <r>
    <d v="2022-08-31T00:00:00"/>
    <s v="Netflix"/>
    <s v="Abonnement"/>
    <s v="Streaming-Dienst"/>
    <n v="-15"/>
    <s v="EUR"/>
    <x v="1"/>
    <x v="7"/>
    <x v="7"/>
    <n v="15"/>
    <x v="1"/>
  </r>
  <r>
    <d v="2022-09-01T00:00:00"/>
    <s v="Autohändler"/>
    <s v="KFZ-Zahlung"/>
    <s v="Auto-Rate"/>
    <n v="-350"/>
    <s v="EUR"/>
    <x v="2"/>
    <x v="8"/>
    <x v="7"/>
    <n v="350"/>
    <x v="1"/>
  </r>
  <r>
    <d v="2022-09-02T00:00:00"/>
    <s v="Versicherungsgesellschaft"/>
    <s v="Versicherungsprämie"/>
    <s v="Kfz-Versicherung"/>
    <n v="-120"/>
    <s v="EUR"/>
    <x v="3"/>
    <x v="8"/>
    <x v="7"/>
    <n v="120"/>
    <x v="1"/>
  </r>
  <r>
    <d v="2022-09-03T00:00:00"/>
    <s v="Supermarkt"/>
    <s v="Lebensmittel-Einkauf"/>
    <s v="Wochenendeinkauf"/>
    <n v="-60"/>
    <s v="EUR"/>
    <x v="4"/>
    <x v="8"/>
    <x v="7"/>
    <n v="60"/>
    <x v="1"/>
  </r>
  <r>
    <d v="2022-09-04T00:00:00"/>
    <s v="Arbeitgeber"/>
    <s v="Gutschrift"/>
    <s v="Lohn"/>
    <n v="1000"/>
    <s v="EUR"/>
    <x v="0"/>
    <x v="8"/>
    <x v="7"/>
    <n v="1000"/>
    <x v="0"/>
  </r>
  <r>
    <d v="2022-09-05T00:00:00"/>
    <s v="Spotify"/>
    <s v="Abonnement"/>
    <s v="Music-Streaming"/>
    <n v="-10"/>
    <s v="EUR"/>
    <x v="1"/>
    <x v="8"/>
    <x v="7"/>
    <n v="10"/>
    <x v="1"/>
  </r>
  <r>
    <d v="2022-09-06T00:00:00"/>
    <s v="Tankstelle"/>
    <s v="Kraftstoff"/>
    <s v="Auto-Tankfüllung"/>
    <n v="-70"/>
    <s v="EUR"/>
    <x v="2"/>
    <x v="8"/>
    <x v="7"/>
    <n v="70"/>
    <x v="1"/>
  </r>
  <r>
    <d v="2022-09-07T00:00:00"/>
    <s v="Versicherungsgesellschaft"/>
    <s v="Versicherungsprämie"/>
    <s v="Haftpflichtversicherung"/>
    <n v="-80"/>
    <s v="EUR"/>
    <x v="3"/>
    <x v="8"/>
    <x v="7"/>
    <n v="80"/>
    <x v="1"/>
  </r>
  <r>
    <d v="2022-09-08T00:00:00"/>
    <s v="Bäckerei"/>
    <s v="Lebensmittel-Einkauf"/>
    <s v="Brot und Gebäck"/>
    <n v="-25"/>
    <s v="EUR"/>
    <x v="4"/>
    <x v="8"/>
    <x v="7"/>
    <n v="25"/>
    <x v="1"/>
  </r>
  <r>
    <d v="2022-09-09T00:00:00"/>
    <s v="Arbeitgeber"/>
    <s v="Gutschrift"/>
    <s v="Lohn"/>
    <n v="1000"/>
    <s v="EUR"/>
    <x v="0"/>
    <x v="8"/>
    <x v="7"/>
    <n v="1000"/>
    <x v="0"/>
  </r>
  <r>
    <d v="2022-09-10T00:00:00"/>
    <s v="Netflix"/>
    <s v="Abonnement"/>
    <s v="Streaming-Dienst"/>
    <n v="-15"/>
    <s v="EUR"/>
    <x v="1"/>
    <x v="8"/>
    <x v="7"/>
    <n v="15"/>
    <x v="1"/>
  </r>
  <r>
    <d v="2022-09-11T00:00:00"/>
    <s v="Autohändler"/>
    <s v="KFZ-Zahlung"/>
    <s v="Auto-Rate"/>
    <n v="-350"/>
    <s v="EUR"/>
    <x v="2"/>
    <x v="8"/>
    <x v="7"/>
    <n v="350"/>
    <x v="1"/>
  </r>
  <r>
    <d v="2022-09-12T00:00:00"/>
    <s v="Versicherungsgesellschaft"/>
    <s v="Versicherungsprämie"/>
    <s v="Kfz-Versicherung"/>
    <n v="-120"/>
    <s v="EUR"/>
    <x v="3"/>
    <x v="8"/>
    <x v="7"/>
    <n v="120"/>
    <x v="1"/>
  </r>
  <r>
    <d v="2022-09-13T00:00:00"/>
    <s v="Supermarkt"/>
    <s v="Lebensmittel-Einkauf"/>
    <s v="Wochenendeinkauf"/>
    <n v="-70"/>
    <s v="EUR"/>
    <x v="4"/>
    <x v="8"/>
    <x v="7"/>
    <n v="70"/>
    <x v="1"/>
  </r>
  <r>
    <d v="2022-09-14T00:00:00"/>
    <s v="Arbeitgeber"/>
    <s v="Gutschrift"/>
    <s v="Lohn"/>
    <n v="1000"/>
    <s v="EUR"/>
    <x v="0"/>
    <x v="8"/>
    <x v="7"/>
    <n v="1000"/>
    <x v="0"/>
  </r>
  <r>
    <d v="2022-09-15T00:00:00"/>
    <s v="Spotify"/>
    <s v="Abonnement"/>
    <s v="Music-Streaming"/>
    <n v="-10"/>
    <s v="EUR"/>
    <x v="1"/>
    <x v="8"/>
    <x v="7"/>
    <n v="10"/>
    <x v="1"/>
  </r>
  <r>
    <d v="2022-09-16T00:00:00"/>
    <s v="Tankstelle"/>
    <s v="Kraftstoff"/>
    <s v="Auto-Tankfüllung"/>
    <n v="-60"/>
    <s v="EUR"/>
    <x v="2"/>
    <x v="8"/>
    <x v="7"/>
    <n v="60"/>
    <x v="1"/>
  </r>
  <r>
    <d v="2022-09-17T00:00:00"/>
    <s v="Versicherungsgesellschaft"/>
    <s v="Versicherungsprämie"/>
    <s v="Haftpflichtversicherung"/>
    <n v="-80"/>
    <s v="EUR"/>
    <x v="3"/>
    <x v="8"/>
    <x v="7"/>
    <n v="80"/>
    <x v="1"/>
  </r>
  <r>
    <d v="2022-09-18T00:00:00"/>
    <s v="Bäckerei"/>
    <s v="Lebensmittel-Einkauf"/>
    <s v="Brot und Gebäck"/>
    <n v="-30"/>
    <s v="EUR"/>
    <x v="4"/>
    <x v="8"/>
    <x v="7"/>
    <n v="30"/>
    <x v="1"/>
  </r>
  <r>
    <d v="2022-09-19T00:00:00"/>
    <s v="Arbeitgeber"/>
    <s v="Gutschrift"/>
    <s v="Lohn"/>
    <n v="1000"/>
    <s v="EUR"/>
    <x v="0"/>
    <x v="8"/>
    <x v="7"/>
    <n v="1000"/>
    <x v="0"/>
  </r>
  <r>
    <d v="2022-09-20T00:00:00"/>
    <s v="Netflix"/>
    <s v="Abonnement"/>
    <s v="Streaming-Dienst"/>
    <n v="-15"/>
    <s v="EUR"/>
    <x v="1"/>
    <x v="8"/>
    <x v="7"/>
    <n v="15"/>
    <x v="1"/>
  </r>
  <r>
    <d v="2022-09-21T00:00:00"/>
    <s v="Autohändler"/>
    <s v="KFZ-Zahlung"/>
    <s v="Auto-Rate"/>
    <n v="-350"/>
    <s v="EUR"/>
    <x v="2"/>
    <x v="8"/>
    <x v="7"/>
    <n v="350"/>
    <x v="1"/>
  </r>
  <r>
    <d v="2022-09-22T00:00:00"/>
    <s v="Versicherungsgesellschaft"/>
    <s v="Versicherungsprämie"/>
    <s v="Kfz-Versicherung"/>
    <n v="-120"/>
    <s v="EUR"/>
    <x v="3"/>
    <x v="8"/>
    <x v="7"/>
    <n v="120"/>
    <x v="1"/>
  </r>
  <r>
    <d v="2022-09-23T00:00:00"/>
    <s v="Supermarkt"/>
    <s v="Lebensmittel-Einkauf"/>
    <s v="Wochenendeinkauf"/>
    <n v="-80"/>
    <s v="EUR"/>
    <x v="4"/>
    <x v="8"/>
    <x v="7"/>
    <n v="80"/>
    <x v="1"/>
  </r>
  <r>
    <d v="2022-09-24T00:00:00"/>
    <s v="Arbeitgeber"/>
    <s v="Gutschrift"/>
    <s v="Lohn"/>
    <n v="1000"/>
    <s v="EUR"/>
    <x v="0"/>
    <x v="8"/>
    <x v="7"/>
    <n v="1000"/>
    <x v="0"/>
  </r>
  <r>
    <d v="2022-09-25T00:00:00"/>
    <s v="Spotify"/>
    <s v="Abonnement"/>
    <s v="Music-Streaming"/>
    <n v="-10"/>
    <s v="EUR"/>
    <x v="1"/>
    <x v="8"/>
    <x v="7"/>
    <n v="10"/>
    <x v="1"/>
  </r>
  <r>
    <d v="2022-09-26T00:00:00"/>
    <s v="Tankstelle"/>
    <s v="Kraftstoff"/>
    <s v="Auto-Tankfüllung"/>
    <n v="-65"/>
    <s v="EUR"/>
    <x v="2"/>
    <x v="8"/>
    <x v="7"/>
    <n v="65"/>
    <x v="1"/>
  </r>
  <r>
    <d v="2022-09-27T00:00:00"/>
    <s v="Versicherungsgesellschaft"/>
    <s v="Versicherungsprämie"/>
    <s v="Haftpflichtversicherung"/>
    <n v="-80"/>
    <s v="EUR"/>
    <x v="3"/>
    <x v="8"/>
    <x v="7"/>
    <n v="80"/>
    <x v="1"/>
  </r>
  <r>
    <d v="2022-09-28T00:00:00"/>
    <s v="Bäckerei"/>
    <s v="Lebensmittel-Einkauf"/>
    <s v="Brot und Gebäck"/>
    <n v="-35"/>
    <s v="EUR"/>
    <x v="4"/>
    <x v="8"/>
    <x v="7"/>
    <n v="35"/>
    <x v="1"/>
  </r>
  <r>
    <d v="2022-09-29T00:00:00"/>
    <s v="Arbeitgeber"/>
    <s v="Gutschrift"/>
    <s v="Lohn"/>
    <n v="1000"/>
    <s v="EUR"/>
    <x v="0"/>
    <x v="8"/>
    <x v="7"/>
    <n v="1000"/>
    <x v="0"/>
  </r>
  <r>
    <d v="2022-09-30T00:00:00"/>
    <s v="Arbeitgeber"/>
    <s v="Gutschrift"/>
    <s v="Lohn"/>
    <n v="1000"/>
    <s v="EUR"/>
    <x v="0"/>
    <x v="8"/>
    <x v="7"/>
    <n v="1000"/>
    <x v="0"/>
  </r>
  <r>
    <d v="2022-10-01T00:00:00"/>
    <s v="Netflix"/>
    <s v="Abonnement"/>
    <s v="Streaming-Dienst"/>
    <n v="-15"/>
    <s v="EUR"/>
    <x v="1"/>
    <x v="9"/>
    <x v="7"/>
    <n v="15"/>
    <x v="1"/>
  </r>
  <r>
    <d v="2022-10-02T00:00:00"/>
    <s v="Autohändler"/>
    <s v="KFZ-Zahlung"/>
    <s v="Auto-Rate"/>
    <n v="-350"/>
    <s v="EUR"/>
    <x v="2"/>
    <x v="9"/>
    <x v="7"/>
    <n v="350"/>
    <x v="1"/>
  </r>
  <r>
    <d v="2022-10-03T00:00:00"/>
    <s v="Versicherungsgesellschaft"/>
    <s v="Versicherungsprämie"/>
    <s v="Kfz-Versicherung"/>
    <n v="-120"/>
    <s v="EUR"/>
    <x v="3"/>
    <x v="9"/>
    <x v="7"/>
    <n v="120"/>
    <x v="1"/>
  </r>
  <r>
    <d v="2022-10-04T00:00:00"/>
    <s v="Supermarkt"/>
    <s v="Lebensmittel-Einkauf"/>
    <s v="Wochenendeinkauf"/>
    <n v="-50"/>
    <s v="EUR"/>
    <x v="4"/>
    <x v="9"/>
    <x v="7"/>
    <n v="50"/>
    <x v="1"/>
  </r>
  <r>
    <d v="2022-10-05T00:00:00"/>
    <s v="Arbeitgeber"/>
    <s v="Gutschrift"/>
    <s v="Lohn"/>
    <n v="1000"/>
    <s v="EUR"/>
    <x v="0"/>
    <x v="9"/>
    <x v="7"/>
    <n v="1000"/>
    <x v="0"/>
  </r>
  <r>
    <d v="2022-10-06T00:00:00"/>
    <s v="Spotify"/>
    <s v="Abonnement"/>
    <s v="Music-Streaming"/>
    <n v="-10"/>
    <s v="EUR"/>
    <x v="1"/>
    <x v="9"/>
    <x v="7"/>
    <n v="10"/>
    <x v="1"/>
  </r>
  <r>
    <d v="2022-10-07T00:00:00"/>
    <s v="Tankstelle"/>
    <s v="Kraftstoff"/>
    <s v="Auto-Tankfüllung"/>
    <n v="-60"/>
    <s v="EUR"/>
    <x v="2"/>
    <x v="9"/>
    <x v="7"/>
    <n v="60"/>
    <x v="1"/>
  </r>
  <r>
    <d v="2022-10-08T00:00:00"/>
    <s v="Versicherungsgesellschaft"/>
    <s v="Versicherungsprämie"/>
    <s v="Haftpflichtversicherung"/>
    <n v="-80"/>
    <s v="EUR"/>
    <x v="3"/>
    <x v="9"/>
    <x v="7"/>
    <n v="80"/>
    <x v="1"/>
  </r>
  <r>
    <d v="2022-10-09T00:00:00"/>
    <s v="Bäckerei"/>
    <s v="Lebensmittel-Einkauf"/>
    <s v="Brot und Gebäck"/>
    <n v="-20"/>
    <s v="EUR"/>
    <x v="4"/>
    <x v="9"/>
    <x v="7"/>
    <n v="20"/>
    <x v="1"/>
  </r>
  <r>
    <d v="2022-10-10T00:00:00"/>
    <s v="Arbeitgeber"/>
    <s v="Gutschrift"/>
    <s v="Lohn"/>
    <n v="1000"/>
    <s v="EUR"/>
    <x v="0"/>
    <x v="9"/>
    <x v="7"/>
    <n v="1000"/>
    <x v="0"/>
  </r>
  <r>
    <d v="2022-10-11T00:00:00"/>
    <s v="Netflix"/>
    <s v="Abonnement"/>
    <s v="Streaming-Dienst"/>
    <n v="-15"/>
    <s v="EUR"/>
    <x v="1"/>
    <x v="9"/>
    <x v="7"/>
    <n v="15"/>
    <x v="1"/>
  </r>
  <r>
    <d v="2022-10-12T00:00:00"/>
    <s v="Autohändler"/>
    <s v="KFZ-Zahlung"/>
    <s v="Auto-Rate"/>
    <n v="-350"/>
    <s v="EUR"/>
    <x v="2"/>
    <x v="9"/>
    <x v="7"/>
    <n v="350"/>
    <x v="1"/>
  </r>
  <r>
    <d v="2022-10-13T00:00:00"/>
    <s v="Versicherungsgesellschaft"/>
    <s v="Versicherungsprämie"/>
    <s v="Kfz-Versicherung"/>
    <n v="-120"/>
    <s v="EUR"/>
    <x v="3"/>
    <x v="9"/>
    <x v="7"/>
    <n v="120"/>
    <x v="1"/>
  </r>
  <r>
    <d v="2022-10-14T00:00:00"/>
    <s v="Supermarkt"/>
    <s v="Lebensmittel-Einkauf"/>
    <s v="Wochenendeinkauf"/>
    <n v="-60"/>
    <s v="EUR"/>
    <x v="4"/>
    <x v="9"/>
    <x v="7"/>
    <n v="60"/>
    <x v="1"/>
  </r>
  <r>
    <d v="2022-10-15T00:00:00"/>
    <s v="Arbeitgeber"/>
    <s v="Gutschrift"/>
    <s v="Lohn"/>
    <n v="1000"/>
    <s v="EUR"/>
    <x v="0"/>
    <x v="9"/>
    <x v="7"/>
    <n v="1000"/>
    <x v="0"/>
  </r>
  <r>
    <d v="2022-10-16T00:00:00"/>
    <s v="Spotify"/>
    <s v="Abonnement"/>
    <s v="Music-Streaming"/>
    <n v="-10"/>
    <s v="EUR"/>
    <x v="1"/>
    <x v="9"/>
    <x v="7"/>
    <n v="10"/>
    <x v="1"/>
  </r>
  <r>
    <d v="2022-10-17T00:00:00"/>
    <s v="Tankstelle"/>
    <s v="Kraftstoff"/>
    <s v="Auto-Tankfüllung"/>
    <n v="-70"/>
    <s v="EUR"/>
    <x v="2"/>
    <x v="9"/>
    <x v="7"/>
    <n v="70"/>
    <x v="1"/>
  </r>
  <r>
    <d v="2022-10-18T00:00:00"/>
    <s v="Versicherungsgesellschaft"/>
    <s v="Versicherungsprämie"/>
    <s v="Haftpflichtversicherung"/>
    <n v="-80"/>
    <s v="EUR"/>
    <x v="3"/>
    <x v="9"/>
    <x v="7"/>
    <n v="80"/>
    <x v="1"/>
  </r>
  <r>
    <d v="2022-10-19T00:00:00"/>
    <s v="Bäckerei"/>
    <s v="Lebensmittel-Einkauf"/>
    <s v="Brot und Gebäck"/>
    <n v="-25"/>
    <s v="EUR"/>
    <x v="4"/>
    <x v="9"/>
    <x v="7"/>
    <n v="25"/>
    <x v="1"/>
  </r>
  <r>
    <d v="2022-10-20T00:00:00"/>
    <s v="Arbeitgeber"/>
    <s v="Gutschrift"/>
    <s v="Lohn"/>
    <n v="1000"/>
    <s v="EUR"/>
    <x v="0"/>
    <x v="9"/>
    <x v="7"/>
    <n v="1000"/>
    <x v="0"/>
  </r>
  <r>
    <d v="2022-10-21T00:00:00"/>
    <s v="Netflix"/>
    <s v="Abonnement"/>
    <s v="Streaming-Dienst"/>
    <n v="-15"/>
    <s v="EUR"/>
    <x v="1"/>
    <x v="9"/>
    <x v="7"/>
    <n v="15"/>
    <x v="1"/>
  </r>
  <r>
    <d v="2022-10-22T00:00:00"/>
    <s v="Autohändler"/>
    <s v="KFZ-Zahlung"/>
    <s v="Auto-Rate"/>
    <n v="-350"/>
    <s v="EUR"/>
    <x v="2"/>
    <x v="9"/>
    <x v="7"/>
    <n v="350"/>
    <x v="1"/>
  </r>
  <r>
    <d v="2022-10-23T00:00:00"/>
    <s v="Versicherungsgesellschaft"/>
    <s v="Versicherungsprämie"/>
    <s v="Kfz-Versicherung"/>
    <n v="-120"/>
    <s v="EUR"/>
    <x v="3"/>
    <x v="9"/>
    <x v="7"/>
    <n v="120"/>
    <x v="1"/>
  </r>
  <r>
    <d v="2022-10-24T00:00:00"/>
    <s v="Supermarkt"/>
    <s v="Lebensmittel-Einkauf"/>
    <s v="Wochenendeinkauf"/>
    <n v="-70"/>
    <s v="EUR"/>
    <x v="4"/>
    <x v="9"/>
    <x v="7"/>
    <n v="70"/>
    <x v="1"/>
  </r>
  <r>
    <d v="2022-10-25T00:00:00"/>
    <s v="Arbeitgeber"/>
    <s v="Gutschrift"/>
    <s v="Lohn"/>
    <n v="1000"/>
    <s v="EUR"/>
    <x v="0"/>
    <x v="9"/>
    <x v="7"/>
    <n v="1000"/>
    <x v="0"/>
  </r>
  <r>
    <d v="2022-10-26T00:00:00"/>
    <s v="Spotify"/>
    <s v="Abonnement"/>
    <s v="Music-Streaming"/>
    <n v="-10"/>
    <s v="EUR"/>
    <x v="1"/>
    <x v="9"/>
    <x v="7"/>
    <n v="10"/>
    <x v="1"/>
  </r>
  <r>
    <d v="2022-10-27T00:00:00"/>
    <s v="Tankstelle"/>
    <s v="Kraftstoff"/>
    <s v="Auto-Tankfüllung"/>
    <n v="-60"/>
    <s v="EUR"/>
    <x v="2"/>
    <x v="9"/>
    <x v="7"/>
    <n v="60"/>
    <x v="1"/>
  </r>
  <r>
    <d v="2022-10-28T00:00:00"/>
    <s v="Versicherungsgesellschaft"/>
    <s v="Versicherungsprämie"/>
    <s v="Haftpflichtversicherung"/>
    <n v="-80"/>
    <s v="EUR"/>
    <x v="3"/>
    <x v="9"/>
    <x v="7"/>
    <n v="80"/>
    <x v="1"/>
  </r>
  <r>
    <d v="2022-10-29T00:00:00"/>
    <s v="Bäckerei"/>
    <s v="Lebensmittel-Einkauf"/>
    <s v="Brot und Gebäck"/>
    <n v="-30"/>
    <s v="EUR"/>
    <x v="4"/>
    <x v="9"/>
    <x v="7"/>
    <n v="30"/>
    <x v="1"/>
  </r>
  <r>
    <d v="2022-10-30T00:00:00"/>
    <s v="Arbeitgeber"/>
    <s v="Gutschrift"/>
    <s v="Lohn"/>
    <n v="1000"/>
    <s v="EUR"/>
    <x v="0"/>
    <x v="9"/>
    <x v="7"/>
    <n v="1000"/>
    <x v="0"/>
  </r>
  <r>
    <d v="2022-10-31T00:00:00"/>
    <s v="Netflix"/>
    <s v="Abonnement"/>
    <s v="Streaming-Dienst"/>
    <n v="-15"/>
    <s v="EUR"/>
    <x v="1"/>
    <x v="9"/>
    <x v="7"/>
    <n v="15"/>
    <x v="1"/>
  </r>
  <r>
    <d v="2022-11-01T00:00:00"/>
    <s v="Autohändler"/>
    <s v="KFZ-Zahlung"/>
    <s v="Auto-Rate"/>
    <n v="-350"/>
    <s v="EUR"/>
    <x v="2"/>
    <x v="10"/>
    <x v="7"/>
    <n v="350"/>
    <x v="1"/>
  </r>
  <r>
    <d v="2022-11-02T00:00:00"/>
    <s v="Versicherungsgesellschaft"/>
    <s v="Versicherungsprämie"/>
    <s v="Kfz-Versicherung"/>
    <n v="-120"/>
    <s v="EUR"/>
    <x v="3"/>
    <x v="10"/>
    <x v="7"/>
    <n v="120"/>
    <x v="1"/>
  </r>
  <r>
    <d v="2022-11-03T00:00:00"/>
    <s v="Supermarkt"/>
    <s v="Lebensmittel-Einkauf"/>
    <s v="Wochenendeinkauf"/>
    <n v="-80"/>
    <s v="EUR"/>
    <x v="4"/>
    <x v="10"/>
    <x v="7"/>
    <n v="80"/>
    <x v="1"/>
  </r>
  <r>
    <d v="2022-11-04T00:00:00"/>
    <s v="Arbeitgeber"/>
    <s v="Gutschrift"/>
    <s v="Lohn"/>
    <n v="1000"/>
    <s v="EUR"/>
    <x v="0"/>
    <x v="10"/>
    <x v="7"/>
    <n v="1000"/>
    <x v="0"/>
  </r>
  <r>
    <d v="2022-11-05T00:00:00"/>
    <s v="Spotify"/>
    <s v="Abonnement"/>
    <s v="Music-Streaming"/>
    <n v="-10"/>
    <s v="EUR"/>
    <x v="1"/>
    <x v="10"/>
    <x v="7"/>
    <n v="10"/>
    <x v="1"/>
  </r>
  <r>
    <d v="2022-11-06T00:00:00"/>
    <s v="Tankstelle"/>
    <s v="Kraftstoff"/>
    <s v="Auto-Tankfüllung"/>
    <n v="-65"/>
    <s v="EUR"/>
    <x v="2"/>
    <x v="10"/>
    <x v="7"/>
    <n v="65"/>
    <x v="1"/>
  </r>
  <r>
    <d v="2022-11-07T00:00:00"/>
    <s v="Versicherungsgesellschaft"/>
    <s v="Versicherungsprämie"/>
    <s v="Haftpflichtversicherung"/>
    <n v="-80"/>
    <s v="EUR"/>
    <x v="3"/>
    <x v="10"/>
    <x v="7"/>
    <n v="80"/>
    <x v="1"/>
  </r>
  <r>
    <d v="2022-11-08T00:00:00"/>
    <s v="Bäckerei"/>
    <s v="Lebensmittel-Einkauf"/>
    <s v="Brot und Gebäck"/>
    <n v="-35"/>
    <s v="EUR"/>
    <x v="4"/>
    <x v="10"/>
    <x v="7"/>
    <n v="35"/>
    <x v="1"/>
  </r>
  <r>
    <d v="2022-11-09T00:00:00"/>
    <s v="Arbeitgeber"/>
    <s v="Gutschrift"/>
    <s v="Lohn"/>
    <n v="1000"/>
    <s v="EUR"/>
    <x v="0"/>
    <x v="10"/>
    <x v="7"/>
    <n v="1000"/>
    <x v="0"/>
  </r>
  <r>
    <d v="2022-11-10T00:00:00"/>
    <s v="Arbeitgeber"/>
    <s v="Gutschrift"/>
    <s v="Lohn"/>
    <n v="1000"/>
    <s v="EUR"/>
    <x v="0"/>
    <x v="10"/>
    <x v="7"/>
    <n v="1000"/>
    <x v="0"/>
  </r>
  <r>
    <d v="2022-11-11T00:00:00"/>
    <s v="Netflix"/>
    <s v="Abonnement"/>
    <s v="Streaming-Dienst"/>
    <n v="-15"/>
    <s v="EUR"/>
    <x v="1"/>
    <x v="10"/>
    <x v="7"/>
    <n v="15"/>
    <x v="1"/>
  </r>
  <r>
    <d v="2022-11-12T00:00:00"/>
    <s v="Autohändler"/>
    <s v="KFZ-Zahlung"/>
    <s v="Auto-Rate"/>
    <n v="-350"/>
    <s v="EUR"/>
    <x v="2"/>
    <x v="10"/>
    <x v="7"/>
    <n v="350"/>
    <x v="1"/>
  </r>
  <r>
    <d v="2022-11-13T00:00:00"/>
    <s v="Versicherungsgesellschaft"/>
    <s v="Versicherungsprämie"/>
    <s v="Kfz-Versicherung"/>
    <n v="-120"/>
    <s v="EUR"/>
    <x v="3"/>
    <x v="10"/>
    <x v="7"/>
    <n v="120"/>
    <x v="1"/>
  </r>
  <r>
    <d v="2022-11-14T00:00:00"/>
    <s v="Supermarkt"/>
    <s v="Lebensmittel-Einkauf"/>
    <s v="Wochenendeinkauf"/>
    <n v="-50"/>
    <s v="EUR"/>
    <x v="4"/>
    <x v="10"/>
    <x v="7"/>
    <n v="50"/>
    <x v="1"/>
  </r>
  <r>
    <d v="2022-11-15T00:00:00"/>
    <s v="Arbeitgeber"/>
    <s v="Gutschrift"/>
    <s v="Lohn"/>
    <n v="1000"/>
    <s v="EUR"/>
    <x v="0"/>
    <x v="10"/>
    <x v="7"/>
    <n v="1000"/>
    <x v="0"/>
  </r>
  <r>
    <d v="2022-11-16T00:00:00"/>
    <s v="Spotify"/>
    <s v="Abonnement"/>
    <s v="Music-Streaming"/>
    <n v="-10"/>
    <s v="EUR"/>
    <x v="1"/>
    <x v="10"/>
    <x v="7"/>
    <n v="10"/>
    <x v="1"/>
  </r>
  <r>
    <d v="2022-11-17T00:00:00"/>
    <s v="Tankstelle"/>
    <s v="Kraftstoff"/>
    <s v="Auto-Tankfüllung"/>
    <n v="-60"/>
    <s v="EUR"/>
    <x v="2"/>
    <x v="10"/>
    <x v="7"/>
    <n v="60"/>
    <x v="1"/>
  </r>
  <r>
    <d v="2022-11-18T00:00:00"/>
    <s v="Versicherungsgesellschaft"/>
    <s v="Versicherungsprämie"/>
    <s v="Haftpflichtversicherung"/>
    <n v="-80"/>
    <s v="EUR"/>
    <x v="3"/>
    <x v="10"/>
    <x v="7"/>
    <n v="80"/>
    <x v="1"/>
  </r>
  <r>
    <d v="2022-11-19T00:00:00"/>
    <s v="Bäckerei"/>
    <s v="Lebensmittel-Einkauf"/>
    <s v="Brot und Gebäck"/>
    <n v="-20"/>
    <s v="EUR"/>
    <x v="4"/>
    <x v="10"/>
    <x v="7"/>
    <n v="20"/>
    <x v="1"/>
  </r>
  <r>
    <d v="2022-11-20T00:00:00"/>
    <s v="Arbeitgeber"/>
    <s v="Gutschrift"/>
    <s v="Lohn"/>
    <n v="1000"/>
    <s v="EUR"/>
    <x v="0"/>
    <x v="10"/>
    <x v="7"/>
    <n v="1000"/>
    <x v="0"/>
  </r>
  <r>
    <d v="2022-11-21T00:00:00"/>
    <s v="Netflix"/>
    <s v="Abonnement"/>
    <s v="Streaming-Dienst"/>
    <n v="-15"/>
    <s v="EUR"/>
    <x v="1"/>
    <x v="10"/>
    <x v="7"/>
    <n v="15"/>
    <x v="1"/>
  </r>
  <r>
    <d v="2022-11-22T00:00:00"/>
    <s v="Autohändler"/>
    <s v="KFZ-Zahlung"/>
    <s v="Auto-Rate"/>
    <n v="-350"/>
    <s v="EUR"/>
    <x v="2"/>
    <x v="10"/>
    <x v="7"/>
    <n v="350"/>
    <x v="1"/>
  </r>
  <r>
    <d v="2022-11-23T00:00:00"/>
    <s v="Versicherungsgesellschaft"/>
    <s v="Versicherungsprämie"/>
    <s v="Kfz-Versicherung"/>
    <n v="-120"/>
    <s v="EUR"/>
    <x v="3"/>
    <x v="10"/>
    <x v="7"/>
    <n v="120"/>
    <x v="1"/>
  </r>
  <r>
    <d v="2022-11-24T00:00:00"/>
    <s v="Supermarkt"/>
    <s v="Lebensmittel-Einkauf"/>
    <s v="Wochenendeinkauf"/>
    <n v="-60"/>
    <s v="EUR"/>
    <x v="4"/>
    <x v="10"/>
    <x v="7"/>
    <n v="60"/>
    <x v="1"/>
  </r>
  <r>
    <d v="2022-11-25T00:00:00"/>
    <s v="Arbeitgeber"/>
    <s v="Gutschrift"/>
    <s v="Lohn"/>
    <n v="1000"/>
    <s v="EUR"/>
    <x v="0"/>
    <x v="10"/>
    <x v="7"/>
    <n v="1000"/>
    <x v="0"/>
  </r>
  <r>
    <d v="2022-11-26T00:00:00"/>
    <s v="Spotify"/>
    <s v="Abonnement"/>
    <s v="Music-Streaming"/>
    <n v="-10"/>
    <s v="EUR"/>
    <x v="1"/>
    <x v="10"/>
    <x v="7"/>
    <n v="10"/>
    <x v="1"/>
  </r>
  <r>
    <d v="2022-11-27T00:00:00"/>
    <s v="Tankstelle"/>
    <s v="Kraftstoff"/>
    <s v="Auto-Tankfüllung"/>
    <n v="-70"/>
    <s v="EUR"/>
    <x v="2"/>
    <x v="10"/>
    <x v="7"/>
    <n v="70"/>
    <x v="1"/>
  </r>
  <r>
    <d v="2022-11-28T00:00:00"/>
    <s v="Versicherungsgesellschaft"/>
    <s v="Versicherungsprämie"/>
    <s v="Haftpflichtversicherung"/>
    <n v="-80"/>
    <s v="EUR"/>
    <x v="3"/>
    <x v="10"/>
    <x v="7"/>
    <n v="80"/>
    <x v="1"/>
  </r>
  <r>
    <d v="2022-11-29T00:00:00"/>
    <s v="Bäckerei"/>
    <s v="Lebensmittel-Einkauf"/>
    <s v="Brot und Gebäck"/>
    <n v="-25"/>
    <s v="EUR"/>
    <x v="4"/>
    <x v="10"/>
    <x v="7"/>
    <n v="25"/>
    <x v="1"/>
  </r>
  <r>
    <d v="2022-11-30T00:00:00"/>
    <s v="Arbeitgeber"/>
    <s v="Gutschrift"/>
    <s v="Lohn"/>
    <n v="1000"/>
    <s v="EUR"/>
    <x v="0"/>
    <x v="10"/>
    <x v="7"/>
    <n v="1000"/>
    <x v="0"/>
  </r>
  <r>
    <d v="2022-12-01T00:00:00"/>
    <s v="Netflix"/>
    <s v="Abonnement"/>
    <s v="Streaming-Dienst"/>
    <n v="-15"/>
    <s v="EUR"/>
    <x v="1"/>
    <x v="11"/>
    <x v="7"/>
    <n v="15"/>
    <x v="1"/>
  </r>
  <r>
    <d v="2022-12-02T00:00:00"/>
    <s v="Autohändler"/>
    <s v="KFZ-Zahlung"/>
    <s v="Auto-Rate"/>
    <n v="-350"/>
    <s v="EUR"/>
    <x v="2"/>
    <x v="11"/>
    <x v="7"/>
    <n v="350"/>
    <x v="1"/>
  </r>
  <r>
    <d v="2022-12-03T00:00:00"/>
    <s v="Versicherungsgesellschaft"/>
    <s v="Versicherungsprämie"/>
    <s v="Kfz-Versicherung"/>
    <n v="-120"/>
    <s v="EUR"/>
    <x v="3"/>
    <x v="11"/>
    <x v="7"/>
    <n v="120"/>
    <x v="1"/>
  </r>
  <r>
    <d v="2022-12-04T00:00:00"/>
    <s v="Supermarkt"/>
    <s v="Lebensmittel-Einkauf"/>
    <s v="Wochenendeinkauf"/>
    <n v="-70"/>
    <s v="EUR"/>
    <x v="4"/>
    <x v="11"/>
    <x v="7"/>
    <n v="70"/>
    <x v="1"/>
  </r>
  <r>
    <d v="2022-12-05T00:00:00"/>
    <s v="Arbeitgeber"/>
    <s v="Gutschrift"/>
    <s v="Lohn"/>
    <n v="1000"/>
    <s v="EUR"/>
    <x v="0"/>
    <x v="11"/>
    <x v="7"/>
    <n v="1000"/>
    <x v="0"/>
  </r>
  <r>
    <d v="2022-12-06T00:00:00"/>
    <s v="Spotify"/>
    <s v="Abonnement"/>
    <s v="Music-Streaming"/>
    <n v="-10"/>
    <s v="EUR"/>
    <x v="1"/>
    <x v="11"/>
    <x v="7"/>
    <n v="10"/>
    <x v="1"/>
  </r>
  <r>
    <d v="2022-12-07T00:00:00"/>
    <s v="Tankstelle"/>
    <s v="Kraftstoff"/>
    <s v="Auto-Tankfüllung"/>
    <n v="-60"/>
    <s v="EUR"/>
    <x v="2"/>
    <x v="11"/>
    <x v="7"/>
    <n v="60"/>
    <x v="1"/>
  </r>
  <r>
    <d v="2022-12-08T00:00:00"/>
    <s v="Versicherungsgesellschaft"/>
    <s v="Versicherungsprämie"/>
    <s v="Haftpflichtversicherung"/>
    <n v="-80"/>
    <s v="EUR"/>
    <x v="3"/>
    <x v="11"/>
    <x v="7"/>
    <n v="80"/>
    <x v="1"/>
  </r>
  <r>
    <d v="2022-12-09T00:00:00"/>
    <s v="Bäckerei"/>
    <s v="Lebensmittel-Einkauf"/>
    <s v="Brot und Gebäck"/>
    <n v="-30"/>
    <s v="EUR"/>
    <x v="4"/>
    <x v="11"/>
    <x v="7"/>
    <n v="30"/>
    <x v="1"/>
  </r>
  <r>
    <d v="2022-12-10T00:00:00"/>
    <s v="Arbeitgeber"/>
    <s v="Gutschrift"/>
    <s v="Lohn"/>
    <n v="1000"/>
    <s v="EUR"/>
    <x v="0"/>
    <x v="11"/>
    <x v="7"/>
    <n v="1000"/>
    <x v="0"/>
  </r>
  <r>
    <d v="2022-12-11T00:00:00"/>
    <s v="Netflix"/>
    <s v="Abonnement"/>
    <s v="Streaming-Dienst"/>
    <n v="-15"/>
    <s v="EUR"/>
    <x v="1"/>
    <x v="11"/>
    <x v="7"/>
    <n v="15"/>
    <x v="1"/>
  </r>
  <r>
    <d v="2022-12-12T00:00:00"/>
    <s v="Autohändler"/>
    <s v="KFZ-Zahlung"/>
    <s v="Auto-Rate"/>
    <n v="-350"/>
    <s v="EUR"/>
    <x v="2"/>
    <x v="11"/>
    <x v="7"/>
    <n v="350"/>
    <x v="1"/>
  </r>
  <r>
    <d v="2022-12-13T00:00:00"/>
    <s v="Versicherungsgesellschaft"/>
    <s v="Versicherungsprämie"/>
    <s v="Kfz-Versicherung"/>
    <n v="-120"/>
    <s v="EUR"/>
    <x v="3"/>
    <x v="11"/>
    <x v="7"/>
    <n v="120"/>
    <x v="1"/>
  </r>
  <r>
    <d v="2022-12-14T00:00:00"/>
    <s v="Supermarkt"/>
    <s v="Lebensmittel-Einkauf"/>
    <s v="Wochenendeinkauf"/>
    <n v="-80"/>
    <s v="EUR"/>
    <x v="4"/>
    <x v="11"/>
    <x v="7"/>
    <n v="80"/>
    <x v="1"/>
  </r>
  <r>
    <d v="2022-12-15T00:00:00"/>
    <s v="Arbeitgeber"/>
    <s v="Gutschrift"/>
    <s v="Lohn"/>
    <n v="1000"/>
    <s v="EUR"/>
    <x v="0"/>
    <x v="11"/>
    <x v="7"/>
    <n v="1000"/>
    <x v="0"/>
  </r>
  <r>
    <d v="2022-12-16T00:00:00"/>
    <s v="Spotify"/>
    <s v="Abonnement"/>
    <s v="Music-Streaming"/>
    <n v="-10"/>
    <s v="EUR"/>
    <x v="1"/>
    <x v="11"/>
    <x v="7"/>
    <n v="10"/>
    <x v="1"/>
  </r>
  <r>
    <d v="2022-12-17T00:00:00"/>
    <s v="Tankstelle"/>
    <s v="Kraftstoff"/>
    <s v="Auto-Tankfüllung"/>
    <n v="-65"/>
    <s v="EUR"/>
    <x v="2"/>
    <x v="11"/>
    <x v="7"/>
    <n v="65"/>
    <x v="1"/>
  </r>
  <r>
    <d v="2022-12-18T00:00:00"/>
    <s v="Versicherungsgesellschaft"/>
    <s v="Versicherungsprämie"/>
    <s v="Haftpflichtversicherung"/>
    <n v="-80"/>
    <s v="EUR"/>
    <x v="3"/>
    <x v="11"/>
    <x v="7"/>
    <n v="80"/>
    <x v="1"/>
  </r>
  <r>
    <d v="2022-12-19T00:00:00"/>
    <s v="Bäckerei"/>
    <s v="Lebensmittel-Einkauf"/>
    <s v="Brot und Gebäck"/>
    <n v="-35"/>
    <s v="EUR"/>
    <x v="4"/>
    <x v="11"/>
    <x v="7"/>
    <n v="35"/>
    <x v="1"/>
  </r>
  <r>
    <d v="2022-12-20T00:00:00"/>
    <s v="Arbeitgeber"/>
    <s v="Gutschrift"/>
    <s v="Lohn"/>
    <n v="1000"/>
    <s v="EUR"/>
    <x v="0"/>
    <x v="11"/>
    <x v="7"/>
    <n v="1000"/>
    <x v="0"/>
  </r>
  <r>
    <d v="2022-12-21T00:00:00"/>
    <s v="Arbeitgeber"/>
    <s v="Gutschrift"/>
    <s v="Lohn"/>
    <n v="1000"/>
    <s v="EUR"/>
    <x v="0"/>
    <x v="11"/>
    <x v="7"/>
    <n v="1000"/>
    <x v="0"/>
  </r>
  <r>
    <d v="2022-12-22T00:00:00"/>
    <s v="Netflix"/>
    <s v="Abonnement"/>
    <s v="Streaming-Dienst"/>
    <n v="-15"/>
    <s v="EUR"/>
    <x v="1"/>
    <x v="11"/>
    <x v="7"/>
    <n v="15"/>
    <x v="1"/>
  </r>
  <r>
    <d v="2022-12-23T00:00:00"/>
    <s v="Autohändler"/>
    <s v="KFZ-Zahlung"/>
    <s v="Auto-Rate"/>
    <n v="-350"/>
    <s v="EUR"/>
    <x v="2"/>
    <x v="11"/>
    <x v="7"/>
    <n v="350"/>
    <x v="1"/>
  </r>
  <r>
    <d v="2022-12-24T00:00:00"/>
    <s v="Versicherungsgesellschaft"/>
    <s v="Versicherungsprämie"/>
    <s v="Kfz-Versicherung"/>
    <n v="-120"/>
    <s v="EUR"/>
    <x v="3"/>
    <x v="11"/>
    <x v="7"/>
    <n v="120"/>
    <x v="1"/>
  </r>
  <r>
    <d v="2022-12-25T00:00:00"/>
    <s v="Supermarkt"/>
    <s v="Lebensmittel-Einkauf"/>
    <s v="Wochenendeinkauf"/>
    <n v="-50"/>
    <s v="EUR"/>
    <x v="4"/>
    <x v="11"/>
    <x v="7"/>
    <n v="50"/>
    <x v="1"/>
  </r>
  <r>
    <d v="2022-12-26T00:00:00"/>
    <s v="Arbeitgeber"/>
    <s v="Gutschrift"/>
    <s v="Lohn"/>
    <n v="1000"/>
    <s v="EUR"/>
    <x v="0"/>
    <x v="11"/>
    <x v="7"/>
    <n v="1000"/>
    <x v="0"/>
  </r>
  <r>
    <d v="2022-12-27T00:00:00"/>
    <s v="Spotify"/>
    <s v="Abonnement"/>
    <s v="Music-Streaming"/>
    <n v="-10"/>
    <s v="EUR"/>
    <x v="1"/>
    <x v="11"/>
    <x v="7"/>
    <n v="10"/>
    <x v="1"/>
  </r>
  <r>
    <d v="2022-12-28T00:00:00"/>
    <s v="Tankstelle"/>
    <s v="Kraftstoff"/>
    <s v="Auto-Tankfüllung"/>
    <n v="-60"/>
    <s v="EUR"/>
    <x v="2"/>
    <x v="11"/>
    <x v="7"/>
    <n v="60"/>
    <x v="1"/>
  </r>
  <r>
    <d v="2022-12-29T00:00:00"/>
    <s v="Versicherungsgesellschaft"/>
    <s v="Versicherungsprämie"/>
    <s v="Haftpflichtversicherung"/>
    <n v="-80"/>
    <s v="EUR"/>
    <x v="3"/>
    <x v="11"/>
    <x v="7"/>
    <n v="80"/>
    <x v="1"/>
  </r>
  <r>
    <d v="2022-12-30T00:00:00"/>
    <s v="Bäckerei"/>
    <s v="Lebensmittel-Einkauf"/>
    <s v="Brot und Gebäck"/>
    <n v="-20"/>
    <s v="EUR"/>
    <x v="4"/>
    <x v="11"/>
    <x v="7"/>
    <n v="20"/>
    <x v="1"/>
  </r>
  <r>
    <d v="2022-12-31T00:00:00"/>
    <s v="Arbeitgeber"/>
    <s v="Gutschrift"/>
    <s v="Lohn"/>
    <n v="1000"/>
    <s v="EUR"/>
    <x v="0"/>
    <x v="11"/>
    <x v="7"/>
    <n v="1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AE098A-54DA-4B6D-AAAE-088626780F7D}" name="Pivot_Ausgaben_Top5" cacheId="894"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chartFormat="4">
  <location ref="Q4:R9"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measureFilter="1" sortType="ascending">
      <items count="26">
        <item x="1"/>
        <item m="1" x="20"/>
        <item m="1" x="9"/>
        <item m="1" x="24"/>
        <item m="1" x="10"/>
        <item x="0"/>
        <item m="1" x="17"/>
        <item m="1" x="14"/>
        <item m="1" x="19"/>
        <item m="1" x="13"/>
        <item x="2"/>
        <item m="1" x="15"/>
        <item x="4"/>
        <item m="1" x="16"/>
        <item m="1" x="23"/>
        <item m="1" x="11"/>
        <item m="1" x="18"/>
        <item m="1" x="22"/>
        <item m="1" x="21"/>
        <item m="1" x="12"/>
        <item m="1" x="7"/>
        <item m="1" x="5"/>
        <item x="3"/>
        <item m="1" x="6"/>
        <item m="1" x="8"/>
        <item t="default"/>
      </items>
      <autoSortScope>
        <pivotArea dataOnly="0" outline="0" fieldPosition="0">
          <references count="1">
            <reference field="4294967294" count="1" selected="0">
              <x v="0"/>
            </reference>
          </references>
        </pivotArea>
      </autoSortScope>
    </pivotField>
    <pivotField compact="0" outline="0" showAll="0">
      <items count="14">
        <item x="0"/>
        <item x="1"/>
        <item x="2"/>
        <item x="3"/>
        <item x="4"/>
        <item x="5"/>
        <item x="6"/>
        <item x="7"/>
        <item x="8"/>
        <item x="9"/>
        <item x="10"/>
        <item x="11"/>
        <item m="1" x="12"/>
        <item t="default"/>
      </items>
    </pivotField>
    <pivotField compact="0" outline="0" showAll="0">
      <items count="13">
        <item h="1" m="1" x="9"/>
        <item h="1" x="0"/>
        <item h="1" x="1"/>
        <item h="1" x="2"/>
        <item h="1" x="3"/>
        <item h="1" x="4"/>
        <item h="1" x="5"/>
        <item h="1" x="6"/>
        <item x="7"/>
        <item h="1" m="1" x="8"/>
        <item h="1" m="1" x="10"/>
        <item h="1" m="1" x="11"/>
        <item t="default"/>
      </items>
    </pivotField>
    <pivotField dataField="1" compact="0" numFmtId="44" outline="0" showAll="0"/>
    <pivotField axis="axisPage" compact="0" outline="0" showAll="0">
      <items count="4">
        <item x="1"/>
        <item x="0"/>
        <item m="1" x="2"/>
        <item t="default"/>
      </items>
    </pivotField>
  </pivotFields>
  <rowFields count="1">
    <field x="6"/>
  </rowFields>
  <rowItems count="5">
    <i>
      <x/>
    </i>
    <i>
      <x v="12"/>
    </i>
    <i>
      <x v="22"/>
    </i>
    <i>
      <x v="10"/>
    </i>
    <i t="grand">
      <x/>
    </i>
  </rowItems>
  <colItems count="1">
    <i/>
  </colItems>
  <pageFields count="1">
    <pageField fld="10" item="0" hier="-1"/>
  </pageFields>
  <dataFields count="1">
    <dataField name="Summe von absolut Betrag" fld="9" baseField="0" baseItem="0" numFmtId="164"/>
  </dataFields>
  <formats count="24">
    <format dxfId="53">
      <pivotArea type="all" dataOnly="0" outline="0" fieldPosition="0"/>
    </format>
    <format dxfId="54">
      <pivotArea outline="0" collapsedLevelsAreSubtotals="1" fieldPosition="0"/>
    </format>
    <format dxfId="55">
      <pivotArea field="6" type="button" dataOnly="0" labelOnly="1" outline="0" axis="axisRow" fieldPosition="0"/>
    </format>
    <format dxfId="56">
      <pivotArea dataOnly="0" labelOnly="1" outline="0" fieldPosition="0">
        <references count="1">
          <reference field="6" count="5">
            <x v="9"/>
            <x v="11"/>
            <x v="12"/>
            <x v="13"/>
            <x v="19"/>
          </reference>
        </references>
      </pivotArea>
    </format>
    <format dxfId="57">
      <pivotArea dataOnly="0" labelOnly="1" grandRow="1" outline="0" fieldPosition="0"/>
    </format>
    <format dxfId="58">
      <pivotArea dataOnly="0" labelOnly="1" outline="0" axis="axisValues" fieldPosition="0"/>
    </format>
    <format dxfId="59">
      <pivotArea type="all" dataOnly="0" outline="0" fieldPosition="0"/>
    </format>
    <format dxfId="60">
      <pivotArea outline="0" collapsedLevelsAreSubtotals="1" fieldPosition="0"/>
    </format>
    <format dxfId="61">
      <pivotArea field="6" type="button" dataOnly="0" labelOnly="1" outline="0" axis="axisRow" fieldPosition="0"/>
    </format>
    <format dxfId="62">
      <pivotArea dataOnly="0" labelOnly="1" outline="0" fieldPosition="0">
        <references count="1">
          <reference field="6" count="5">
            <x v="9"/>
            <x v="11"/>
            <x v="12"/>
            <x v="13"/>
            <x v="19"/>
          </reference>
        </references>
      </pivotArea>
    </format>
    <format dxfId="63">
      <pivotArea dataOnly="0" labelOnly="1" grandRow="1" outline="0" fieldPosition="0"/>
    </format>
    <format dxfId="64">
      <pivotArea dataOnly="0" labelOnly="1" outline="0" axis="axisValues" fieldPosition="0"/>
    </format>
    <format dxfId="65">
      <pivotArea type="all" dataOnly="0" outline="0" fieldPosition="0"/>
    </format>
    <format dxfId="66">
      <pivotArea outline="0" collapsedLevelsAreSubtotals="1" fieldPosition="0"/>
    </format>
    <format dxfId="67">
      <pivotArea field="6" type="button" dataOnly="0" labelOnly="1" outline="0" axis="axisRow" fieldPosition="0"/>
    </format>
    <format dxfId="68">
      <pivotArea dataOnly="0" labelOnly="1" outline="0" fieldPosition="0">
        <references count="1">
          <reference field="6" count="5">
            <x v="9"/>
            <x v="11"/>
            <x v="12"/>
            <x v="13"/>
            <x v="19"/>
          </reference>
        </references>
      </pivotArea>
    </format>
    <format dxfId="69">
      <pivotArea dataOnly="0" labelOnly="1" grandRow="1" outline="0" fieldPosition="0"/>
    </format>
    <format dxfId="70">
      <pivotArea dataOnly="0" labelOnly="1" outline="0" axis="axisValues" fieldPosition="0"/>
    </format>
    <format dxfId="71">
      <pivotArea type="all" dataOnly="0" outline="0" fieldPosition="0"/>
    </format>
    <format dxfId="72">
      <pivotArea outline="0" collapsedLevelsAreSubtotals="1" fieldPosition="0"/>
    </format>
    <format dxfId="73">
      <pivotArea field="6" type="button" dataOnly="0" labelOnly="1" outline="0" axis="axisRow" fieldPosition="0"/>
    </format>
    <format dxfId="74">
      <pivotArea dataOnly="0" labelOnly="1" outline="0" fieldPosition="0">
        <references count="1">
          <reference field="6" count="5">
            <x v="9"/>
            <x v="11"/>
            <x v="12"/>
            <x v="13"/>
            <x v="19"/>
          </reference>
        </references>
      </pivotArea>
    </format>
    <format dxfId="75">
      <pivotArea dataOnly="0" labelOnly="1" grandRow="1" outline="0" fieldPosition="0"/>
    </format>
    <format dxfId="76">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BAC5B3-D94D-4A68-BEEB-548C20EF9552}" name="Vergleich_Pivot1" cacheId="894"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B56:C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7"/>
        <item m="1" x="5"/>
        <item x="3"/>
        <item m="1" x="6"/>
        <item m="1" x="8"/>
        <item t="default"/>
      </items>
    </pivotField>
    <pivotField showAll="0">
      <items count="14">
        <item x="0"/>
        <item x="1"/>
        <item x="2"/>
        <item x="3"/>
        <item x="4"/>
        <item x="5"/>
        <item x="6"/>
        <item x="7"/>
        <item x="8"/>
        <item x="9"/>
        <item x="10"/>
        <item x="11"/>
        <item m="1" x="12"/>
        <item t="default"/>
      </items>
    </pivotField>
    <pivotField showAll="0">
      <items count="13">
        <item m="1" x="9"/>
        <item x="0"/>
        <item x="1"/>
        <item x="2"/>
        <item x="3"/>
        <item x="4"/>
        <item x="5"/>
        <item x="6"/>
        <item x="7"/>
        <item m="1" x="8"/>
        <item m="1" x="10"/>
        <item m="1" x="11"/>
        <item t="default"/>
      </items>
    </pivotField>
    <pivotField dataField="1" numFmtId="44" showAll="0"/>
    <pivotField showAll="0"/>
  </pivotFields>
  <rowFields count="1">
    <field x="6"/>
  </rowFields>
  <rowItems count="5">
    <i>
      <x/>
    </i>
    <i>
      <x v="5"/>
    </i>
    <i>
      <x v="10"/>
    </i>
    <i>
      <x v="12"/>
    </i>
    <i>
      <x v="22"/>
    </i>
  </rowItems>
  <colItems count="1">
    <i/>
  </colItems>
  <dataFields count="1">
    <dataField name="Summe von absolut Betrag" fld="9" baseField="0" baseItem="0" numFmtId="164"/>
  </dataFields>
  <formats count="11">
    <format dxfId="135">
      <pivotArea type="all" dataOnly="0" outline="0" fieldPosition="0"/>
    </format>
    <format dxfId="134">
      <pivotArea outline="0" collapsedLevelsAreSubtotals="1" fieldPosition="0"/>
    </format>
    <format dxfId="133">
      <pivotArea field="6" type="button" dataOnly="0" labelOnly="1" outline="0" axis="axisRow" fieldPosition="0"/>
    </format>
    <format dxfId="132">
      <pivotArea dataOnly="0" labelOnly="1" fieldPosition="0">
        <references count="1">
          <reference field="6" count="18">
            <x v="0"/>
            <x v="2"/>
            <x v="3"/>
            <x v="4"/>
            <x v="5"/>
            <x v="6"/>
            <x v="7"/>
            <x v="8"/>
            <x v="10"/>
            <x v="11"/>
            <x v="12"/>
            <x v="13"/>
            <x v="14"/>
            <x v="15"/>
            <x v="16"/>
            <x v="17"/>
            <x v="18"/>
            <x v="19"/>
          </reference>
        </references>
      </pivotArea>
    </format>
    <format dxfId="131">
      <pivotArea dataOnly="0" labelOnly="1" outline="0" axis="axisValues" fieldPosition="0"/>
    </format>
    <format dxfId="130">
      <pivotArea type="all" dataOnly="0" outline="0" fieldPosition="0"/>
    </format>
    <format dxfId="129">
      <pivotArea outline="0" collapsedLevelsAreSubtotals="1" fieldPosition="0"/>
    </format>
    <format dxfId="128">
      <pivotArea field="6" type="button" dataOnly="0" labelOnly="1" outline="0" axis="axisRow" fieldPosition="0"/>
    </format>
    <format dxfId="127">
      <pivotArea dataOnly="0" labelOnly="1" fieldPosition="0">
        <references count="1">
          <reference field="6" count="18">
            <x v="0"/>
            <x v="2"/>
            <x v="3"/>
            <x v="4"/>
            <x v="5"/>
            <x v="6"/>
            <x v="7"/>
            <x v="8"/>
            <x v="10"/>
            <x v="11"/>
            <x v="12"/>
            <x v="13"/>
            <x v="14"/>
            <x v="15"/>
            <x v="16"/>
            <x v="17"/>
            <x v="18"/>
            <x v="19"/>
          </reference>
        </references>
      </pivotArea>
    </format>
    <format dxfId="126">
      <pivotArea dataOnly="0" labelOnly="1" outline="0" axis="axisValues" fieldPosition="0"/>
    </format>
    <format dxfId="125">
      <pivotArea outline="0" fieldPosition="0">
        <references count="1">
          <reference field="4294967294" count="1">
            <x v="0"/>
          </reference>
        </references>
      </pivotArea>
    </format>
  </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9E3F0D-0916-4343-B736-2E66FA0C9760}" name="Pivot_Summe_Absolut" cacheId="894" applyNumberFormats="0" applyBorderFormats="0" applyFontFormats="0" applyPatternFormats="0" applyAlignmentFormats="0" applyWidthHeightFormats="1" dataCaption="Werte" updatedVersion="8" minRefreshableVersion="3" useAutoFormatting="1" rowGrandTotals="0" colGrandTotals="0" itemPrintTitles="1" createdVersion="8" indent="0" compact="0" compactData="0" multipleFieldFilters="0">
  <location ref="H4:I9" firstHeaderRow="1" firstDataRow="1" firstDataCol="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6">
        <item x="1"/>
        <item m="1" x="20"/>
        <item m="1" x="9"/>
        <item m="1" x="24"/>
        <item m="1" x="10"/>
        <item x="0"/>
        <item m="1" x="17"/>
        <item m="1" x="14"/>
        <item m="1" x="19"/>
        <item m="1" x="13"/>
        <item x="2"/>
        <item m="1" x="15"/>
        <item x="4"/>
        <item m="1" x="16"/>
        <item m="1" x="23"/>
        <item m="1" x="11"/>
        <item m="1" x="18"/>
        <item m="1" x="22"/>
        <item m="1" x="21"/>
        <item m="1" x="12"/>
        <item m="1" x="7"/>
        <item m="1" x="5"/>
        <item x="3"/>
        <item m="1" x="6"/>
        <item m="1" x="8"/>
        <item t="default"/>
      </items>
      <autoSortScope>
        <pivotArea dataOnly="0" outline="0" fieldPosition="0">
          <references count="1">
            <reference field="4294967294" count="1" selected="0">
              <x v="0"/>
            </reference>
          </references>
        </pivotArea>
      </autoSortScope>
    </pivotField>
    <pivotField compact="0" outline="0" showAll="0">
      <items count="14">
        <item x="0"/>
        <item x="1"/>
        <item x="2"/>
        <item x="3"/>
        <item x="4"/>
        <item x="5"/>
        <item x="6"/>
        <item x="7"/>
        <item x="8"/>
        <item x="9"/>
        <item x="10"/>
        <item x="11"/>
        <item m="1" x="12"/>
        <item t="default"/>
      </items>
    </pivotField>
    <pivotField compact="0" outline="0" showAll="0">
      <items count="13">
        <item h="1" m="1" x="9"/>
        <item h="1" x="0"/>
        <item h="1" x="1"/>
        <item h="1" x="2"/>
        <item h="1" x="3"/>
        <item h="1" x="4"/>
        <item h="1" x="5"/>
        <item h="1" x="6"/>
        <item x="7"/>
        <item h="1" m="1" x="8"/>
        <item h="1" m="1" x="10"/>
        <item h="1" m="1" x="11"/>
        <item t="default"/>
      </items>
    </pivotField>
    <pivotField dataField="1" compact="0" numFmtId="44" outline="0" showAll="0"/>
    <pivotField compact="0" outline="0" showAll="0"/>
  </pivotFields>
  <rowFields count="1">
    <field x="6"/>
  </rowFields>
  <rowItems count="5">
    <i>
      <x v="5"/>
    </i>
    <i>
      <x v="10"/>
    </i>
    <i>
      <x v="22"/>
    </i>
    <i>
      <x v="12"/>
    </i>
    <i>
      <x/>
    </i>
  </rowItems>
  <colItems count="1">
    <i/>
  </colItems>
  <dataFields count="1">
    <dataField name="Summe von absolut Betrag" fld="9" baseField="0" baseItem="0" numFmtId="164"/>
  </dataFields>
  <formats count="20">
    <format dxfId="9">
      <pivotArea type="all" dataOnly="0" outline="0" fieldPosition="0"/>
    </format>
    <format dxfId="10">
      <pivotArea outline="0" collapsedLevelsAreSubtotals="1" fieldPosition="0"/>
    </format>
    <format dxfId="11">
      <pivotArea field="6" type="button" dataOnly="0" labelOnly="1" outline="0" axis="axisRow" fieldPosition="0"/>
    </format>
    <format dxfId="12">
      <pivotArea dataOnly="0" labelOnly="1" outline="0" fieldPosition="0">
        <references count="1">
          <reference field="6" count="12">
            <x v="0"/>
            <x v="4"/>
            <x v="5"/>
            <x v="7"/>
            <x v="8"/>
            <x v="9"/>
            <x v="11"/>
            <x v="12"/>
            <x v="13"/>
            <x v="14"/>
            <x v="15"/>
            <x v="19"/>
          </reference>
        </references>
      </pivotArea>
    </format>
    <format dxfId="13">
      <pivotArea dataOnly="0" labelOnly="1" outline="0" axis="axisValues" fieldPosition="0"/>
    </format>
    <format dxfId="14">
      <pivotArea type="all" dataOnly="0" outline="0" fieldPosition="0"/>
    </format>
    <format dxfId="15">
      <pivotArea outline="0" collapsedLevelsAreSubtotals="1" fieldPosition="0"/>
    </format>
    <format dxfId="16">
      <pivotArea field="6" type="button" dataOnly="0" labelOnly="1" outline="0" axis="axisRow" fieldPosition="0"/>
    </format>
    <format dxfId="17">
      <pivotArea dataOnly="0" labelOnly="1" outline="0" fieldPosition="0">
        <references count="1">
          <reference field="6" count="12">
            <x v="0"/>
            <x v="4"/>
            <x v="5"/>
            <x v="7"/>
            <x v="8"/>
            <x v="9"/>
            <x v="11"/>
            <x v="12"/>
            <x v="13"/>
            <x v="14"/>
            <x v="15"/>
            <x v="19"/>
          </reference>
        </references>
      </pivotArea>
    </format>
    <format dxfId="18">
      <pivotArea dataOnly="0" labelOnly="1" outline="0" axis="axisValues" fieldPosition="0"/>
    </format>
    <format dxfId="19">
      <pivotArea type="all" dataOnly="0" outline="0" fieldPosition="0"/>
    </format>
    <format dxfId="20">
      <pivotArea outline="0" collapsedLevelsAreSubtotals="1" fieldPosition="0"/>
    </format>
    <format dxfId="21">
      <pivotArea field="6" type="button" dataOnly="0" labelOnly="1" outline="0" axis="axisRow" fieldPosition="0"/>
    </format>
    <format dxfId="22">
      <pivotArea dataOnly="0" labelOnly="1" outline="0" fieldPosition="0">
        <references count="1">
          <reference field="6" count="12">
            <x v="0"/>
            <x v="4"/>
            <x v="5"/>
            <x v="7"/>
            <x v="8"/>
            <x v="9"/>
            <x v="11"/>
            <x v="12"/>
            <x v="13"/>
            <x v="14"/>
            <x v="15"/>
            <x v="19"/>
          </reference>
        </references>
      </pivotArea>
    </format>
    <format dxfId="23">
      <pivotArea dataOnly="0" labelOnly="1" outline="0" axis="axisValues" fieldPosition="0"/>
    </format>
    <format dxfId="24">
      <pivotArea type="all" dataOnly="0" outline="0" fieldPosition="0"/>
    </format>
    <format dxfId="25">
      <pivotArea outline="0" collapsedLevelsAreSubtotals="1" fieldPosition="0"/>
    </format>
    <format dxfId="26">
      <pivotArea field="6" type="button" dataOnly="0" labelOnly="1" outline="0" axis="axisRow" fieldPosition="0"/>
    </format>
    <format dxfId="27">
      <pivotArea dataOnly="0" labelOnly="1" outline="0" fieldPosition="0">
        <references count="1">
          <reference field="6" count="12">
            <x v="0"/>
            <x v="4"/>
            <x v="5"/>
            <x v="7"/>
            <x v="8"/>
            <x v="9"/>
            <x v="11"/>
            <x v="12"/>
            <x v="13"/>
            <x v="14"/>
            <x v="15"/>
            <x v="19"/>
          </reference>
        </references>
      </pivotArea>
    </format>
    <format dxfId="28">
      <pivotArea dataOnly="0" labelOnly="1" outline="0" axis="axisValues" fieldPosition="0"/>
    </format>
  </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82F563-5683-4822-85DC-514059ED01CD}" name="Pivot_Ausgaben" cacheId="894"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location ref="N4:O9"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6">
        <item x="1"/>
        <item m="1" x="20"/>
        <item m="1" x="9"/>
        <item m="1" x="24"/>
        <item m="1" x="10"/>
        <item x="0"/>
        <item m="1" x="17"/>
        <item m="1" x="14"/>
        <item m="1" x="19"/>
        <item m="1" x="13"/>
        <item x="2"/>
        <item m="1" x="15"/>
        <item x="4"/>
        <item m="1" x="16"/>
        <item m="1" x="23"/>
        <item m="1" x="11"/>
        <item m="1" x="18"/>
        <item m="1" x="22"/>
        <item m="1" x="21"/>
        <item m="1" x="12"/>
        <item m="1" x="7"/>
        <item m="1" x="5"/>
        <item x="3"/>
        <item m="1" x="6"/>
        <item m="1" x="8"/>
        <item t="default"/>
      </items>
      <autoSortScope>
        <pivotArea dataOnly="0" outline="0" fieldPosition="0">
          <references count="1">
            <reference field="4294967294" count="1" selected="0">
              <x v="0"/>
            </reference>
          </references>
        </pivotArea>
      </autoSortScope>
    </pivotField>
    <pivotField compact="0" outline="0" showAll="0">
      <items count="14">
        <item x="0"/>
        <item x="1"/>
        <item x="2"/>
        <item x="3"/>
        <item x="4"/>
        <item x="5"/>
        <item x="6"/>
        <item x="7"/>
        <item x="8"/>
        <item x="9"/>
        <item x="10"/>
        <item x="11"/>
        <item m="1" x="12"/>
        <item t="default"/>
      </items>
    </pivotField>
    <pivotField compact="0" outline="0" showAll="0">
      <items count="13">
        <item h="1" m="1" x="9"/>
        <item h="1" x="0"/>
        <item h="1" x="1"/>
        <item h="1" x="2"/>
        <item h="1" x="3"/>
        <item h="1" x="4"/>
        <item h="1" x="5"/>
        <item h="1" x="6"/>
        <item x="7"/>
        <item h="1" m="1" x="8"/>
        <item h="1" m="1" x="10"/>
        <item h="1" m="1" x="11"/>
        <item t="default"/>
      </items>
    </pivotField>
    <pivotField dataField="1" compact="0" numFmtId="44" outline="0" showAll="0"/>
    <pivotField axis="axisPage" compact="0" outline="0" showAll="0">
      <items count="4">
        <item x="1"/>
        <item x="0"/>
        <item m="1" x="2"/>
        <item t="default"/>
      </items>
    </pivotField>
  </pivotFields>
  <rowFields count="1">
    <field x="6"/>
  </rowFields>
  <rowItems count="5">
    <i>
      <x v="10"/>
    </i>
    <i>
      <x v="22"/>
    </i>
    <i>
      <x v="12"/>
    </i>
    <i>
      <x/>
    </i>
    <i t="grand">
      <x/>
    </i>
  </rowItems>
  <colItems count="1">
    <i/>
  </colItems>
  <pageFields count="1">
    <pageField fld="10" item="0" hier="-1"/>
  </pageFields>
  <dataFields count="1">
    <dataField name="Summe von absolut Betrag" fld="9" baseField="0" baseItem="0" numFmtId="164"/>
  </dataFields>
  <formats count="24">
    <format dxfId="77">
      <pivotArea type="all" dataOnly="0" outline="0" fieldPosition="0"/>
    </format>
    <format dxfId="78">
      <pivotArea outline="0" collapsedLevelsAreSubtotals="1" fieldPosition="0"/>
    </format>
    <format dxfId="79">
      <pivotArea field="6" type="button" dataOnly="0" labelOnly="1" outline="0" axis="axisRow" fieldPosition="0"/>
    </format>
    <format dxfId="80">
      <pivotArea dataOnly="0" labelOnly="1" outline="0" fieldPosition="0">
        <references count="1">
          <reference field="6" count="11">
            <x v="0"/>
            <x v="4"/>
            <x v="7"/>
            <x v="8"/>
            <x v="9"/>
            <x v="11"/>
            <x v="12"/>
            <x v="13"/>
            <x v="14"/>
            <x v="15"/>
            <x v="19"/>
          </reference>
        </references>
      </pivotArea>
    </format>
    <format dxfId="81">
      <pivotArea dataOnly="0" labelOnly="1" grandRow="1" outline="0" fieldPosition="0"/>
    </format>
    <format dxfId="82">
      <pivotArea dataOnly="0" labelOnly="1" outline="0" axis="axisValues" fieldPosition="0"/>
    </format>
    <format dxfId="83">
      <pivotArea type="all" dataOnly="0" outline="0" fieldPosition="0"/>
    </format>
    <format dxfId="84">
      <pivotArea outline="0" collapsedLevelsAreSubtotals="1" fieldPosition="0"/>
    </format>
    <format dxfId="85">
      <pivotArea field="6" type="button" dataOnly="0" labelOnly="1" outline="0" axis="axisRow" fieldPosition="0"/>
    </format>
    <format dxfId="86">
      <pivotArea dataOnly="0" labelOnly="1" outline="0" fieldPosition="0">
        <references count="1">
          <reference field="6" count="11">
            <x v="0"/>
            <x v="4"/>
            <x v="7"/>
            <x v="8"/>
            <x v="9"/>
            <x v="11"/>
            <x v="12"/>
            <x v="13"/>
            <x v="14"/>
            <x v="15"/>
            <x v="19"/>
          </reference>
        </references>
      </pivotArea>
    </format>
    <format dxfId="87">
      <pivotArea dataOnly="0" labelOnly="1" grandRow="1" outline="0" fieldPosition="0"/>
    </format>
    <format dxfId="88">
      <pivotArea dataOnly="0" labelOnly="1" outline="0" axis="axisValues" fieldPosition="0"/>
    </format>
    <format dxfId="89">
      <pivotArea type="all" dataOnly="0" outline="0" fieldPosition="0"/>
    </format>
    <format dxfId="90">
      <pivotArea outline="0" collapsedLevelsAreSubtotals="1" fieldPosition="0"/>
    </format>
    <format dxfId="91">
      <pivotArea field="6" type="button" dataOnly="0" labelOnly="1" outline="0" axis="axisRow" fieldPosition="0"/>
    </format>
    <format dxfId="92">
      <pivotArea dataOnly="0" labelOnly="1" outline="0" fieldPosition="0">
        <references count="1">
          <reference field="6" count="11">
            <x v="0"/>
            <x v="4"/>
            <x v="7"/>
            <x v="8"/>
            <x v="9"/>
            <x v="11"/>
            <x v="12"/>
            <x v="13"/>
            <x v="14"/>
            <x v="15"/>
            <x v="19"/>
          </reference>
        </references>
      </pivotArea>
    </format>
    <format dxfId="93">
      <pivotArea dataOnly="0" labelOnly="1" grandRow="1" outline="0" fieldPosition="0"/>
    </format>
    <format dxfId="94">
      <pivotArea dataOnly="0" labelOnly="1" outline="0" axis="axisValues" fieldPosition="0"/>
    </format>
    <format dxfId="95">
      <pivotArea type="all" dataOnly="0" outline="0" fieldPosition="0"/>
    </format>
    <format dxfId="96">
      <pivotArea outline="0" collapsedLevelsAreSubtotals="1" fieldPosition="0"/>
    </format>
    <format dxfId="97">
      <pivotArea field="6" type="button" dataOnly="0" labelOnly="1" outline="0" axis="axisRow" fieldPosition="0"/>
    </format>
    <format dxfId="98">
      <pivotArea dataOnly="0" labelOnly="1" outline="0" fieldPosition="0">
        <references count="1">
          <reference field="6" count="11">
            <x v="0"/>
            <x v="4"/>
            <x v="7"/>
            <x v="8"/>
            <x v="9"/>
            <x v="11"/>
            <x v="12"/>
            <x v="13"/>
            <x v="14"/>
            <x v="15"/>
            <x v="19"/>
          </reference>
        </references>
      </pivotArea>
    </format>
    <format dxfId="99">
      <pivotArea dataOnly="0" labelOnly="1" grandRow="1" outline="0" fieldPosition="0"/>
    </format>
    <format dxfId="100">
      <pivotArea dataOnly="0" labelOnly="1" outline="0" axis="axisValues" fieldPosition="0"/>
    </format>
  </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17B1EA-DDAE-43A4-9FA1-A4F1F679C684}" name="Pivot_Durchschnitt_2" cacheId="894"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L95:T98" firstHeaderRow="1" firstDataRow="2" firstDataCol="1"/>
  <pivotFields count="11">
    <pivotField numFmtId="14" showAll="0"/>
    <pivotField showAll="0"/>
    <pivotField showAll="0"/>
    <pivotField showAll="0"/>
    <pivotField showAll="0"/>
    <pivotField showAll="0"/>
    <pivotField showAll="0"/>
    <pivotField showAll="0"/>
    <pivotField axis="axisCol" showAll="0">
      <items count="13">
        <item m="1" x="9"/>
        <item x="7"/>
        <item m="1" x="8"/>
        <item m="1" x="10"/>
        <item m="1" x="11"/>
        <item x="0"/>
        <item x="1"/>
        <item x="2"/>
        <item x="3"/>
        <item x="4"/>
        <item x="5"/>
        <item x="6"/>
        <item t="default"/>
      </items>
    </pivotField>
    <pivotField dataField="1" numFmtId="44" showAll="0"/>
    <pivotField axis="axisRow" showAll="0">
      <items count="4">
        <item x="1"/>
        <item x="0"/>
        <item m="1" x="2"/>
        <item t="default"/>
      </items>
    </pivotField>
  </pivotFields>
  <rowFields count="1">
    <field x="10"/>
  </rowFields>
  <rowItems count="2">
    <i>
      <x/>
    </i>
    <i>
      <x v="1"/>
    </i>
  </rowItems>
  <colFields count="1">
    <field x="8"/>
  </colFields>
  <colItems count="8">
    <i>
      <x v="1"/>
    </i>
    <i>
      <x v="5"/>
    </i>
    <i>
      <x v="6"/>
    </i>
    <i>
      <x v="7"/>
    </i>
    <i>
      <x v="8"/>
    </i>
    <i>
      <x v="9"/>
    </i>
    <i>
      <x v="10"/>
    </i>
    <i>
      <x v="11"/>
    </i>
  </colItems>
  <dataFields count="1">
    <dataField name="Summe von absolut Betra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E681AA-6CB9-41E7-B788-98B662DC3888}" name="Vergleich_Pivot2" cacheId="894"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E56:F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7"/>
        <item m="1" x="5"/>
        <item x="3"/>
        <item m="1" x="6"/>
        <item m="1" x="8"/>
        <item t="default"/>
      </items>
    </pivotField>
    <pivotField showAll="0">
      <items count="14">
        <item x="0"/>
        <item x="1"/>
        <item x="2"/>
        <item x="3"/>
        <item x="4"/>
        <item x="5"/>
        <item x="6"/>
        <item x="7"/>
        <item x="8"/>
        <item x="9"/>
        <item x="10"/>
        <item x="11"/>
        <item m="1" x="12"/>
        <item t="default"/>
      </items>
    </pivotField>
    <pivotField showAll="0">
      <items count="13">
        <item m="1" x="9"/>
        <item x="0"/>
        <item x="1"/>
        <item x="2"/>
        <item x="3"/>
        <item x="4"/>
        <item x="5"/>
        <item x="6"/>
        <item x="7"/>
        <item m="1" x="8"/>
        <item m="1" x="10"/>
        <item m="1" x="11"/>
        <item t="default"/>
      </items>
    </pivotField>
    <pivotField dataField="1" numFmtId="44" showAll="0"/>
    <pivotField showAll="0"/>
  </pivotFields>
  <rowFields count="1">
    <field x="6"/>
  </rowFields>
  <rowItems count="5">
    <i>
      <x/>
    </i>
    <i>
      <x v="5"/>
    </i>
    <i>
      <x v="10"/>
    </i>
    <i>
      <x v="12"/>
    </i>
    <i>
      <x v="22"/>
    </i>
  </rowItems>
  <colItems count="1">
    <i/>
  </colItems>
  <dataFields count="1">
    <dataField name="Summe von absolut Betrag" fld="9" baseField="0" baseItem="0" numFmtId="164"/>
  </dataFields>
  <formats count="11">
    <format dxfId="146">
      <pivotArea type="all" dataOnly="0" outline="0" fieldPosition="0"/>
    </format>
    <format dxfId="145">
      <pivotArea outline="0" collapsedLevelsAreSubtotals="1" fieldPosition="0"/>
    </format>
    <format dxfId="144">
      <pivotArea field="6" type="button" dataOnly="0" labelOnly="1" outline="0" axis="axisRow" fieldPosition="0"/>
    </format>
    <format dxfId="143">
      <pivotArea dataOnly="0" labelOnly="1" fieldPosition="0">
        <references count="1">
          <reference field="6" count="0"/>
        </references>
      </pivotArea>
    </format>
    <format dxfId="142">
      <pivotArea dataOnly="0" labelOnly="1" outline="0" axis="axisValues" fieldPosition="0"/>
    </format>
    <format dxfId="141">
      <pivotArea type="all" dataOnly="0" outline="0" fieldPosition="0"/>
    </format>
    <format dxfId="140">
      <pivotArea outline="0" collapsedLevelsAreSubtotals="1" fieldPosition="0"/>
    </format>
    <format dxfId="139">
      <pivotArea field="6" type="button" dataOnly="0" labelOnly="1" outline="0" axis="axisRow" fieldPosition="0"/>
    </format>
    <format dxfId="138">
      <pivotArea dataOnly="0" labelOnly="1" fieldPosition="0">
        <references count="1">
          <reference field="6" count="0"/>
        </references>
      </pivotArea>
    </format>
    <format dxfId="137">
      <pivotArea dataOnly="0" labelOnly="1" outline="0" axis="axisValues" fieldPosition="0"/>
    </format>
    <format dxfId="136">
      <pivotArea outline="0" fieldPosition="0">
        <references count="1">
          <reference field="4294967294" count="1">
            <x v="0"/>
          </reference>
        </references>
      </pivotArea>
    </format>
  </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C7997E3-284E-4F06-916D-CCBF08ED2C11}" name="Pivot_Umsatz" cacheId="894"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chartFormat="4">
  <location ref="X4:Y17" firstHeaderRow="1" firstDataRow="1" firstDataCol="1" rowPageCount="1" colPageCount="1"/>
  <pivotFields count="11">
    <pivotField compact="0" numFmtId="14"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items count="14">
        <item x="0"/>
        <item x="1"/>
        <item x="2"/>
        <item x="3"/>
        <item x="4"/>
        <item x="5"/>
        <item x="6"/>
        <item x="7"/>
        <item x="8"/>
        <item x="9"/>
        <item x="10"/>
        <item x="11"/>
        <item m="1" x="12"/>
        <item t="default"/>
      </items>
    </pivotField>
    <pivotField axis="axisPage" compact="0" outline="0" showAll="0">
      <items count="13">
        <item x="7"/>
        <item m="1" x="8"/>
        <item h="1" m="1" x="10"/>
        <item h="1" m="1" x="11"/>
        <item h="1" m="1" x="9"/>
        <item h="1" x="0"/>
        <item h="1" x="1"/>
        <item h="1" x="2"/>
        <item h="1" x="3"/>
        <item h="1" x="4"/>
        <item h="1" x="5"/>
        <item h="1" x="6"/>
        <item t="default"/>
      </items>
    </pivotField>
    <pivotField compact="0" numFmtId="44" outline="0" showAll="0"/>
    <pivotField compact="0" outline="0" showAll="0"/>
  </pivotFields>
  <rowFields count="1">
    <field x="7"/>
  </rowFields>
  <rowItems count="13">
    <i>
      <x/>
    </i>
    <i>
      <x v="1"/>
    </i>
    <i>
      <x v="2"/>
    </i>
    <i>
      <x v="3"/>
    </i>
    <i>
      <x v="4"/>
    </i>
    <i>
      <x v="5"/>
    </i>
    <i>
      <x v="6"/>
    </i>
    <i>
      <x v="7"/>
    </i>
    <i>
      <x v="8"/>
    </i>
    <i>
      <x v="9"/>
    </i>
    <i>
      <x v="10"/>
    </i>
    <i>
      <x v="11"/>
    </i>
    <i t="grand">
      <x/>
    </i>
  </rowItems>
  <colItems count="1">
    <i/>
  </colItems>
  <pageFields count="1">
    <pageField fld="8" item="0" hier="-1"/>
  </pageFields>
  <dataFields count="1">
    <dataField name="Summe von Betrag" fld="4" baseField="0" baseItem="0" numFmtId="164"/>
  </dataFields>
  <formats count="24">
    <format dxfId="101">
      <pivotArea type="all" dataOnly="0" outline="0" fieldPosition="0"/>
    </format>
    <format dxfId="102">
      <pivotArea outline="0" collapsedLevelsAreSubtotals="1" fieldPosition="0"/>
    </format>
    <format dxfId="103">
      <pivotArea field="8" type="button" dataOnly="0" labelOnly="1" outline="0" axis="axisPage" fieldPosition="0"/>
    </format>
    <format dxfId="104">
      <pivotArea field="7" type="button" dataOnly="0" labelOnly="1" outline="0" axis="axisRow" fieldPosition="0"/>
    </format>
    <format dxfId="105">
      <pivotArea dataOnly="0" labelOnly="1" grandRow="1" outline="0" fieldPosition="0"/>
    </format>
    <format dxfId="106">
      <pivotArea dataOnly="0" labelOnly="1" outline="0" axis="axisValues" fieldPosition="0"/>
    </format>
    <format dxfId="107">
      <pivotArea type="all" dataOnly="0" outline="0" fieldPosition="0"/>
    </format>
    <format dxfId="108">
      <pivotArea outline="0" collapsedLevelsAreSubtotals="1" fieldPosition="0"/>
    </format>
    <format dxfId="109">
      <pivotArea field="8" type="button" dataOnly="0" labelOnly="1" outline="0" axis="axisPage" fieldPosition="0"/>
    </format>
    <format dxfId="110">
      <pivotArea field="7" type="button" dataOnly="0" labelOnly="1" outline="0" axis="axisRow" fieldPosition="0"/>
    </format>
    <format dxfId="111">
      <pivotArea dataOnly="0" labelOnly="1" grandRow="1" outline="0" fieldPosition="0"/>
    </format>
    <format dxfId="112">
      <pivotArea dataOnly="0" labelOnly="1" outline="0" axis="axisValues" fieldPosition="0"/>
    </format>
    <format dxfId="113">
      <pivotArea type="all" dataOnly="0" outline="0" fieldPosition="0"/>
    </format>
    <format dxfId="114">
      <pivotArea outline="0" collapsedLevelsAreSubtotals="1" fieldPosition="0"/>
    </format>
    <format dxfId="115">
      <pivotArea field="8" type="button" dataOnly="0" labelOnly="1" outline="0" axis="axisPage" fieldPosition="0"/>
    </format>
    <format dxfId="116">
      <pivotArea field="7" type="button" dataOnly="0" labelOnly="1" outline="0" axis="axisRow" fieldPosition="0"/>
    </format>
    <format dxfId="117">
      <pivotArea dataOnly="0" labelOnly="1" grandRow="1" outline="0" fieldPosition="0"/>
    </format>
    <format dxfId="118">
      <pivotArea dataOnly="0" labelOnly="1" outline="0" axis="axisValues" fieldPosition="0"/>
    </format>
    <format dxfId="119">
      <pivotArea type="all" dataOnly="0" outline="0" fieldPosition="0"/>
    </format>
    <format dxfId="120">
      <pivotArea outline="0" collapsedLevelsAreSubtotals="1" fieldPosition="0"/>
    </format>
    <format dxfId="121">
      <pivotArea field="8" type="button" dataOnly="0" labelOnly="1" outline="0" axis="axisPage" fieldPosition="0"/>
    </format>
    <format dxfId="122">
      <pivotArea field="7" type="button" dataOnly="0" labelOnly="1" outline="0" axis="axisRow" fieldPosition="0"/>
    </format>
    <format dxfId="123">
      <pivotArea dataOnly="0" labelOnly="1" grandRow="1" outline="0" fieldPosition="0"/>
    </format>
    <format dxfId="124">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FA869A-CB2F-4489-AD85-4CA8C62EAB22}" name="Pivot_Jahre" cacheId="894"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T4:T12" firstHeaderRow="1" firstDataRow="1" firstDataCol="1"/>
  <pivotFields count="11">
    <pivotField numFmtId="14" showAll="0"/>
    <pivotField showAll="0"/>
    <pivotField showAll="0"/>
    <pivotField showAll="0"/>
    <pivotField showAll="0"/>
    <pivotField showAll="0"/>
    <pivotField showAll="0"/>
    <pivotField showAll="0"/>
    <pivotField axis="axisRow" showAll="0">
      <items count="13">
        <item m="1" x="9"/>
        <item x="7"/>
        <item m="1" x="8"/>
        <item m="1" x="10"/>
        <item m="1" x="11"/>
        <item x="0"/>
        <item x="1"/>
        <item x="2"/>
        <item x="3"/>
        <item x="4"/>
        <item x="5"/>
        <item x="6"/>
        <item t="default"/>
      </items>
    </pivotField>
    <pivotField numFmtId="44" showAll="0"/>
    <pivotField showAll="0"/>
  </pivotFields>
  <rowFields count="1">
    <field x="8"/>
  </rowFields>
  <rowItems count="8">
    <i>
      <x v="1"/>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D28ABAC-89A7-44AE-9CE5-FA7459AD2984}" name="Vergleich_Cat" cacheId="894"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H56:I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7"/>
        <item m="1" x="5"/>
        <item x="3"/>
        <item m="1" x="6"/>
        <item m="1" x="8"/>
        <item t="default"/>
      </items>
    </pivotField>
    <pivotField showAll="0"/>
    <pivotField showAll="0"/>
    <pivotField dataField="1" numFmtId="44" showAll="0"/>
    <pivotField showAll="0"/>
  </pivotFields>
  <rowFields count="1">
    <field x="6"/>
  </rowFields>
  <rowItems count="5">
    <i>
      <x/>
    </i>
    <i>
      <x v="5"/>
    </i>
    <i>
      <x v="10"/>
    </i>
    <i>
      <x v="12"/>
    </i>
    <i>
      <x v="22"/>
    </i>
  </rowItems>
  <colItems count="1">
    <i/>
  </colItems>
  <dataFields count="1">
    <dataField name="Summe von absolut Betrag" fld="9" baseField="6" baseItem="4" numFmtId="164"/>
  </dataField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FEBBACD-69B9-4FA8-8827-4407D388729B}" name="Pivot_Einnahmen" cacheId="894"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chartFormat="4">
  <location ref="K4:L6"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26">
        <item x="1"/>
        <item m="1" x="20"/>
        <item m="1" x="9"/>
        <item m="1" x="24"/>
        <item m="1" x="6"/>
        <item m="1" x="10"/>
        <item x="0"/>
        <item m="1" x="17"/>
        <item m="1" x="14"/>
        <item m="1" x="19"/>
        <item m="1" x="13"/>
        <item x="2"/>
        <item m="1" x="15"/>
        <item x="4"/>
        <item m="1" x="16"/>
        <item m="1" x="23"/>
        <item m="1" x="8"/>
        <item m="1" x="11"/>
        <item m="1" x="18"/>
        <item m="1" x="22"/>
        <item m="1" x="21"/>
        <item m="1" x="7"/>
        <item x="3"/>
        <item m="1" x="12"/>
        <item m="1" x="5"/>
        <item t="default"/>
      </items>
    </pivotField>
    <pivotField compact="0" outline="0" showAll="0">
      <items count="14">
        <item x="0"/>
        <item x="1"/>
        <item x="2"/>
        <item x="3"/>
        <item x="4"/>
        <item x="5"/>
        <item x="6"/>
        <item x="7"/>
        <item x="8"/>
        <item x="9"/>
        <item x="10"/>
        <item x="11"/>
        <item m="1" x="12"/>
        <item t="default"/>
      </items>
    </pivotField>
    <pivotField compact="0" outline="0" showAll="0">
      <items count="13">
        <item h="1" m="1" x="9"/>
        <item h="1" x="0"/>
        <item h="1" x="1"/>
        <item h="1" x="2"/>
        <item h="1" x="3"/>
        <item h="1" x="4"/>
        <item h="1" x="5"/>
        <item h="1" x="6"/>
        <item x="7"/>
        <item h="1" m="1" x="8"/>
        <item h="1" m="1" x="10"/>
        <item h="1" m="1" x="11"/>
        <item t="default"/>
      </items>
    </pivotField>
    <pivotField dataField="1" compact="0" numFmtId="44" outline="0" showAll="0"/>
    <pivotField axis="axisPage" compact="0" outline="0" showAll="0">
      <items count="4">
        <item x="1"/>
        <item x="0"/>
        <item m="1" x="2"/>
        <item t="default"/>
      </items>
    </pivotField>
  </pivotFields>
  <rowFields count="1">
    <field x="6"/>
  </rowFields>
  <rowItems count="2">
    <i>
      <x v="6"/>
    </i>
    <i t="grand">
      <x/>
    </i>
  </rowItems>
  <colItems count="1">
    <i/>
  </colItems>
  <pageFields count="1">
    <pageField fld="10" item="1" hier="-1"/>
  </pageFields>
  <dataFields count="1">
    <dataField name="Summe von absolut Betrag" fld="9" baseField="0" baseItem="0" numFmtId="164"/>
  </dataFields>
  <formats count="24">
    <format dxfId="29">
      <pivotArea type="all" dataOnly="0" outline="0" fieldPosition="0"/>
    </format>
    <format dxfId="30">
      <pivotArea outline="0" collapsedLevelsAreSubtotals="1" fieldPosition="0"/>
    </format>
    <format dxfId="31">
      <pivotArea field="6" type="button" dataOnly="0" labelOnly="1" outline="0" axis="axisRow" fieldPosition="0"/>
    </format>
    <format dxfId="32">
      <pivotArea dataOnly="0" labelOnly="1" outline="0" fieldPosition="0">
        <references count="1">
          <reference field="6" count="1">
            <x v="6"/>
          </reference>
        </references>
      </pivotArea>
    </format>
    <format dxfId="33">
      <pivotArea dataOnly="0" labelOnly="1" grandRow="1" outline="0" fieldPosition="0"/>
    </format>
    <format dxfId="34">
      <pivotArea dataOnly="0" labelOnly="1" outline="0" axis="axisValues" fieldPosition="0"/>
    </format>
    <format dxfId="35">
      <pivotArea type="all" dataOnly="0" outline="0" fieldPosition="0"/>
    </format>
    <format dxfId="36">
      <pivotArea outline="0" collapsedLevelsAreSubtotals="1" fieldPosition="0"/>
    </format>
    <format dxfId="37">
      <pivotArea field="6" type="button" dataOnly="0" labelOnly="1" outline="0" axis="axisRow" fieldPosition="0"/>
    </format>
    <format dxfId="38">
      <pivotArea dataOnly="0" labelOnly="1" outline="0" fieldPosition="0">
        <references count="1">
          <reference field="6" count="1">
            <x v="6"/>
          </reference>
        </references>
      </pivotArea>
    </format>
    <format dxfId="39">
      <pivotArea dataOnly="0" labelOnly="1" grandRow="1" outline="0" fieldPosition="0"/>
    </format>
    <format dxfId="40">
      <pivotArea dataOnly="0" labelOnly="1" outline="0" axis="axisValues" fieldPosition="0"/>
    </format>
    <format dxfId="41">
      <pivotArea type="all" dataOnly="0" outline="0" fieldPosition="0"/>
    </format>
    <format dxfId="42">
      <pivotArea outline="0" collapsedLevelsAreSubtotals="1" fieldPosition="0"/>
    </format>
    <format dxfId="43">
      <pivotArea field="6" type="button" dataOnly="0" labelOnly="1" outline="0" axis="axisRow" fieldPosition="0"/>
    </format>
    <format dxfId="44">
      <pivotArea dataOnly="0" labelOnly="1" outline="0" fieldPosition="0">
        <references count="1">
          <reference field="6" count="1">
            <x v="6"/>
          </reference>
        </references>
      </pivotArea>
    </format>
    <format dxfId="45">
      <pivotArea dataOnly="0" labelOnly="1" grandRow="1" outline="0" fieldPosition="0"/>
    </format>
    <format dxfId="46">
      <pivotArea dataOnly="0" labelOnly="1" outline="0" axis="axisValues" fieldPosition="0"/>
    </format>
    <format dxfId="47">
      <pivotArea type="all" dataOnly="0" outline="0" fieldPosition="0"/>
    </format>
    <format dxfId="48">
      <pivotArea outline="0" collapsedLevelsAreSubtotals="1" fieldPosition="0"/>
    </format>
    <format dxfId="49">
      <pivotArea field="6" type="button" dataOnly="0" labelOnly="1" outline="0" axis="axisRow" fieldPosition="0"/>
    </format>
    <format dxfId="50">
      <pivotArea dataOnly="0" labelOnly="1" outline="0" fieldPosition="0">
        <references count="1">
          <reference field="6" count="1">
            <x v="6"/>
          </reference>
        </references>
      </pivotArea>
    </format>
    <format dxfId="51">
      <pivotArea dataOnly="0" labelOnly="1" grandRow="1" outline="0" fieldPosition="0"/>
    </format>
    <format dxfId="52">
      <pivotArea dataOnly="0" labelOnly="1" outline="0" axis="axisValues" fieldPosition="0"/>
    </format>
  </formats>
  <chartFormats count="5">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6" count="1" selected="0">
            <x v="6"/>
          </reference>
        </references>
      </pivotArea>
    </chartFormat>
    <chartFormat chart="3" format="6">
      <pivotArea type="data" outline="0" fieldPosition="0">
        <references count="2">
          <reference field="4294967294" count="1" selected="0">
            <x v="0"/>
          </reference>
          <reference field="6" count="1" selected="0">
            <x v="7"/>
          </reference>
        </references>
      </pivotArea>
    </chartFormat>
    <chartFormat chart="3" format="7">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6" count="1" selected="0">
            <x v="23"/>
          </reference>
        </references>
      </pivotArea>
    </chartFormat>
  </chart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F68BF78-33EA-4E63-93CB-F09298DC4A52}" name="Pivot_Durchschnitt" cacheId="894" applyNumberFormats="0" applyBorderFormats="0" applyFontFormats="0" applyPatternFormats="0" applyAlignmentFormats="0" applyWidthHeightFormats="1" dataCaption="Werte" updatedVersion="8" minRefreshableVersion="3" useAutoFormatting="1" rowGrandTotals="0" colGrandTotals="0" itemPrintTitles="1" createdVersion="8" indent="0" compact="0" compactData="0" multipleFieldFilters="0">
  <location ref="L56:AB63" firstHeaderRow="1" firstDataRow="3" firstDataCol="1"/>
  <pivotFields count="11">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5">
        <item x="1"/>
        <item m="1" x="20"/>
        <item m="1" x="9"/>
        <item m="1" x="24"/>
        <item m="1" x="10"/>
        <item x="0"/>
        <item m="1" x="17"/>
        <item m="1" x="14"/>
        <item m="1" x="19"/>
        <item m="1" x="13"/>
        <item x="2"/>
        <item m="1" x="15"/>
        <item x="4"/>
        <item m="1" x="16"/>
        <item m="1" x="23"/>
        <item m="1" x="11"/>
        <item m="1" x="18"/>
        <item m="1" x="22"/>
        <item m="1" x="21"/>
        <item m="1" x="7"/>
        <item m="1" x="12"/>
        <item m="1" x="5"/>
        <item x="3"/>
        <item m="1" x="6"/>
        <item m="1"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2">
        <item m="1" x="9"/>
        <item x="7"/>
        <item m="1" x="8"/>
        <item m="1" x="10"/>
        <item m="1" x="11"/>
        <item x="0"/>
        <item x="1"/>
        <item x="2"/>
        <item x="3"/>
        <item x="4"/>
        <item x="5"/>
        <item x="6"/>
      </items>
      <extLst>
        <ext xmlns:x14="http://schemas.microsoft.com/office/spreadsheetml/2009/9/main" uri="{2946ED86-A175-432a-8AC1-64E0C546D7DE}">
          <x14:pivotField fillDownLabels="1"/>
        </ext>
      </extLst>
    </pivotField>
    <pivotField dataField="1" compact="0" numFmtId="4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6"/>
  </rowFields>
  <rowItems count="5">
    <i>
      <x/>
    </i>
    <i>
      <x v="5"/>
    </i>
    <i>
      <x v="10"/>
    </i>
    <i>
      <x v="12"/>
    </i>
    <i>
      <x v="22"/>
    </i>
  </rowItems>
  <colFields count="2">
    <field x="8"/>
    <field x="-2"/>
  </colFields>
  <colItems count="16">
    <i>
      <x v="1"/>
      <x/>
    </i>
    <i r="1" i="1">
      <x v="1"/>
    </i>
    <i>
      <x v="5"/>
      <x/>
    </i>
    <i r="1" i="1">
      <x v="1"/>
    </i>
    <i>
      <x v="6"/>
      <x/>
    </i>
    <i r="1" i="1">
      <x v="1"/>
    </i>
    <i>
      <x v="7"/>
      <x/>
    </i>
    <i r="1" i="1">
      <x v="1"/>
    </i>
    <i>
      <x v="8"/>
      <x/>
    </i>
    <i r="1" i="1">
      <x v="1"/>
    </i>
    <i>
      <x v="9"/>
      <x/>
    </i>
    <i r="1" i="1">
      <x v="1"/>
    </i>
    <i>
      <x v="10"/>
      <x/>
    </i>
    <i r="1" i="1">
      <x v="1"/>
    </i>
    <i>
      <x v="11"/>
      <x/>
    </i>
    <i r="1" i="1">
      <x v="1"/>
    </i>
  </colItems>
  <dataFields count="2">
    <dataField name="Anzahl von absolut Betrag" fld="9" subtotal="count" baseField="7" baseItem="9"/>
    <dataField name="Summe von absolut Betra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1" xr16:uid="{CC61BBDD-672B-42C1-B051-F80CB00A7071}" autoFormatId="16" applyNumberFormats="0" applyBorderFormats="0" applyFontFormats="0" applyPatternFormats="0" applyAlignmentFormats="0" applyWidthHeightFormats="0">
  <queryTableRefresh nextId="12" unboundColumnsRight="4">
    <queryTableFields count="11">
      <queryTableField id="1" name="Buchung" tableColumnId="8"/>
      <queryTableField id="2" name="Auftraggeber/Empfänger" tableColumnId="2"/>
      <queryTableField id="3" name="Buchungstext" tableColumnId="3"/>
      <queryTableField id="4" name="Verwendungszweck" tableColumnId="4"/>
      <queryTableField id="5" name="Betrag" tableColumnId="5"/>
      <queryTableField id="6" name="Währung" tableColumnId="6"/>
      <queryTableField id="7" name="Kategorie" tableColumnId="7"/>
      <queryTableField id="8" dataBound="0" tableColumnId="9"/>
      <queryTableField id="9" dataBound="0" tableColumnId="10"/>
      <queryTableField id="10" dataBound="0" tableColumnId="1"/>
      <queryTableField id="11" dataBound="0"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 xr10:uid="{6051360A-EBC0-4DBB-B4E1-C100434C02B4}" sourceName="Jahr">
  <pivotTables>
    <pivotTable tabId="4" name="Pivot_Umsatz"/>
    <pivotTable tabId="4" name="Pivot_Ausgaben"/>
    <pivotTable tabId="4" name="Pivot_Ausgaben_Top5"/>
    <pivotTable tabId="4" name="Pivot_Einnahmen"/>
    <pivotTable tabId="4" name="Pivot_Summe_Absolut"/>
  </pivotTables>
  <data>
    <tabular pivotCacheId="968278675">
      <items count="12">
        <i x="0"/>
        <i x="1"/>
        <i x="2"/>
        <i x="3"/>
        <i x="4"/>
        <i x="5"/>
        <i x="6"/>
        <i x="7" s="1"/>
        <i x="9" nd="1"/>
        <i x="8" nd="1"/>
        <i x="10" nd="1"/>
        <i x="1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 xr10:uid="{DC2D4391-AB80-416E-B041-79B19C58DB5C}" sourceName="Monat">
  <pivotTables>
    <pivotTable tabId="4" name="Pivot_Ausgaben"/>
    <pivotTable tabId="4" name="Pivot_Ausgaben_Top5"/>
    <pivotTable tabId="4" name="Pivot_Einnahmen"/>
    <pivotTable tabId="4" name="Pivot_Summe_Absolut"/>
  </pivotTables>
  <data>
    <tabular pivotCacheId="968278675">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1" xr10:uid="{62F1A36F-D92A-4158-ABBD-64042073FE80}" sourceName="Monat">
  <pivotTables>
    <pivotTable tabId="4" name="Vergleich_Pivot1"/>
  </pivotTables>
  <data>
    <tabular pivotCacheId="968278675" showMissing="0" crossFilter="showItemsWithNoData">
      <items count="13">
        <i x="0" s="1"/>
        <i x="1" s="1"/>
        <i x="2" s="1"/>
        <i x="3" s="1"/>
        <i x="4" s="1"/>
        <i x="5" s="1"/>
        <i x="6" s="1"/>
        <i x="7" s="1"/>
        <i x="8" s="1"/>
        <i x="9" s="1"/>
        <i x="10" s="1"/>
        <i x="11" s="1"/>
        <i x="1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1" xr10:uid="{A0B3B3BB-644F-4959-A44B-15830163AE3A}" sourceName="Jahr">
  <pivotTables>
    <pivotTable tabId="4" name="Vergleich_Pivot1"/>
  </pivotTables>
  <data>
    <tabular pivotCacheId="968278675" showMissing="0">
      <items count="12">
        <i x="0" s="1"/>
        <i x="1" s="1"/>
        <i x="2" s="1"/>
        <i x="3" s="1"/>
        <i x="4" s="1"/>
        <i x="5" s="1"/>
        <i x="6" s="1"/>
        <i x="7" s="1"/>
        <i x="9" s="1" nd="1"/>
        <i x="8" s="1" nd="1"/>
        <i x="10" s="1" nd="1"/>
        <i x="1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2" xr10:uid="{2A14789A-EA73-42BA-8F0C-4108F9D62E50}" sourceName="Monat">
  <pivotTables>
    <pivotTable tabId="4" name="Vergleich_Pivot2"/>
  </pivotTables>
  <data>
    <tabular pivotCacheId="968278675" showMissing="0" crossFilter="showItemsWithNoData">
      <items count="13">
        <i x="0" s="1"/>
        <i x="1" s="1"/>
        <i x="2" s="1"/>
        <i x="3" s="1"/>
        <i x="4" s="1"/>
        <i x="5" s="1"/>
        <i x="6" s="1"/>
        <i x="7" s="1"/>
        <i x="8" s="1"/>
        <i x="9" s="1"/>
        <i x="10" s="1"/>
        <i x="11" s="1"/>
        <i x="1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2" xr10:uid="{2FEA9C20-2B19-4B71-85EE-6024D7BE5944}" sourceName="Jahr">
  <pivotTables>
    <pivotTable tabId="4" name="Vergleich_Pivot2"/>
  </pivotTables>
  <data>
    <tabular pivotCacheId="968278675" showMissing="0">
      <items count="12">
        <i x="0" s="1"/>
        <i x="1" s="1"/>
        <i x="2" s="1"/>
        <i x="3" s="1"/>
        <i x="4" s="1"/>
        <i x="5" s="1"/>
        <i x="6" s="1"/>
        <i x="7" s="1"/>
        <i x="9" s="1" nd="1"/>
        <i x="8" s="1" nd="1"/>
        <i x="10"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ahr" xr10:uid="{9BFE4932-E779-4773-B7FB-427A0844DBEC}" cache="Datenschnitt_Jahr" caption="Jahr" startItem="6" columnCount="2" style="Dashboard" lockedPosition="1" rowHeight="241300"/>
  <slicer name="Monat" xr10:uid="{D48FEA30-F90A-4EDC-86D9-11BA7415B2CB}" cache="Datenschnitt_Monat" caption="Monat" columnCount="12" style="Dashboard"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at_Vergleich_01" xr10:uid="{93DFF296-3404-4829-8371-A65DABB0A518}" cache="Datenschnitt_Monat1" caption="Vergleich 1" columnCount="6" style="Dashboard" lockedPosition="1" rowHeight="216000"/>
  <slicer name="Jahr_Vergleich_01" xr10:uid="{29AEC3B0-07BF-493B-99C2-366CB079E668}" cache="Datenschnitt_Jahr1" style="Dashboard" lockedPosition="1" rowHeight="216000"/>
  <slicer name="Monat_Vergleich_02" xr10:uid="{632E1E43-0213-46C0-AD4E-9162F27621A2}" cache="Datenschnitt_Monat2" caption="Vergleich 2" columnCount="6" style="Dashboard" lockedPosition="1" rowHeight="241300"/>
  <slicer name="Jahr_Vergleich_02" xr10:uid="{3F563C7F-D267-4678-899C-1A6EA4199D31}" cache="Datenschnitt_Jahr2" style="Dashboard" lockedPosition="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4D315F-19A4-4914-90DD-FD7F1158C2FC}" name="Data" displayName="Data" ref="A1:K2923" tableType="queryTable" totalsRowShown="0">
  <autoFilter ref="A1:K2923" xr:uid="{7B4D315F-19A4-4914-90DD-FD7F1158C2FC}"/>
  <tableColumns count="11">
    <tableColumn id="8" xr3:uid="{C7FA21BE-1A66-4083-856F-0E43CAB3EC71}" uniqueName="8" name="Buchung" queryTableFieldId="1" dataDxfId="8"/>
    <tableColumn id="2" xr3:uid="{F30732CF-126F-4FAD-8174-2E78D5DC3AEB}" uniqueName="2" name="Auftraggeber/Empfänger" queryTableFieldId="2" dataDxfId="7"/>
    <tableColumn id="3" xr3:uid="{5573AF91-44CC-4C4F-AA32-CABAF6E6A98F}" uniqueName="3" name="Buchungstext" queryTableFieldId="3" dataDxfId="6"/>
    <tableColumn id="4" xr3:uid="{F255001B-535C-4512-9774-F89EED796A5F}" uniqueName="4" name="Verwendungszweck" queryTableFieldId="4"/>
    <tableColumn id="5" xr3:uid="{578FC94A-3985-4CFB-8846-4946C5ED043C}" uniqueName="5" name="Betrag" queryTableFieldId="5"/>
    <tableColumn id="6" xr3:uid="{C98A4B26-585E-4C58-BDB1-D56F694EEB61}" uniqueName="6" name="Währung" queryTableFieldId="6" dataDxfId="5"/>
    <tableColumn id="7" xr3:uid="{944107BE-86A7-4AAC-9AF8-092B5670DD96}" uniqueName="7" name="Kategorie" queryTableFieldId="7" dataDxfId="4"/>
    <tableColumn id="9" xr3:uid="{06186FD7-D0D7-4E6B-85F7-49A51ACA657F}" uniqueName="9" name="Monat" queryTableFieldId="8" dataDxfId="3">
      <calculatedColumnFormula>TEXT(Data[[#This Row],[Buchung]],"MMM")</calculatedColumnFormula>
    </tableColumn>
    <tableColumn id="10" xr3:uid="{3530A05B-D9A5-482C-BA6E-F12E760E02C7}" uniqueName="10" name="Jahr" queryTableFieldId="9" dataDxfId="2">
      <calculatedColumnFormula>YEAR(Data[[#This Row],[Buchung]])</calculatedColumnFormula>
    </tableColumn>
    <tableColumn id="1" xr3:uid="{CFB0A753-156C-4600-B200-2E62D0550D49}" uniqueName="1" name="absolut Betrag" queryTableFieldId="10" dataDxfId="1" dataCellStyle="Währung">
      <calculatedColumnFormula>ABS(Data[[#This Row],[Betrag]])</calculatedColumnFormula>
    </tableColumn>
    <tableColumn id="11" xr3:uid="{0F77101A-D000-4E28-99D9-E01A324AC12F}" uniqueName="11" name="E/A" queryTableFieldId="11" dataDxfId="0">
      <calculatedColumnFormula>IF(Data[[#This Row],[Betrag]]&lt;0,"A","E")</calculatedColumnFormula>
    </tableColumn>
  </tableColumns>
  <tableStyleInfo name="TableStyleDark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30A79-8A52-4EE2-BB21-EA5D31E6FCB1}">
  <sheetPr codeName="Tabelle1"/>
  <dimension ref="A1:K2927"/>
  <sheetViews>
    <sheetView topLeftCell="A2" workbookViewId="0">
      <selection activeCell="A2" sqref="A2:K1096"/>
    </sheetView>
  </sheetViews>
  <sheetFormatPr baseColWidth="10" defaultRowHeight="15" x14ac:dyDescent="0.25"/>
  <cols>
    <col min="1" max="1" width="10.85546875" bestFit="1" customWidth="1"/>
    <col min="2" max="2" width="25.7109375" bestFit="1" customWidth="1"/>
    <col min="3" max="3" width="20.140625" bestFit="1" customWidth="1"/>
    <col min="4" max="4" width="22.140625" bestFit="1" customWidth="1"/>
    <col min="5" max="5" width="9" bestFit="1" customWidth="1"/>
    <col min="7" max="7" width="12.7109375" bestFit="1" customWidth="1"/>
    <col min="8" max="8" width="9.140625" bestFit="1" customWidth="1"/>
    <col min="9" max="9" width="6.85546875" style="21" bestFit="1" customWidth="1"/>
    <col min="10" max="10" width="17.42578125" style="2" bestFit="1" customWidth="1"/>
    <col min="11" max="11" width="6.42578125" bestFit="1" customWidth="1"/>
  </cols>
  <sheetData>
    <row r="1" spans="1:11" x14ac:dyDescent="0.25">
      <c r="A1" t="s">
        <v>0</v>
      </c>
      <c r="B1" t="s">
        <v>1</v>
      </c>
      <c r="C1" t="s">
        <v>2</v>
      </c>
      <c r="D1" t="s">
        <v>3</v>
      </c>
      <c r="E1" t="s">
        <v>4</v>
      </c>
      <c r="F1" t="s">
        <v>5</v>
      </c>
      <c r="G1" t="s">
        <v>6</v>
      </c>
      <c r="H1" t="s">
        <v>14</v>
      </c>
      <c r="I1" s="21" t="s">
        <v>15</v>
      </c>
      <c r="J1" s="2" t="s">
        <v>16</v>
      </c>
      <c r="K1" t="s">
        <v>18</v>
      </c>
    </row>
    <row r="2" spans="1:11" x14ac:dyDescent="0.25">
      <c r="A2" s="1">
        <v>42005</v>
      </c>
      <c r="B2" s="66" t="s">
        <v>45</v>
      </c>
      <c r="C2" s="66" t="s">
        <v>46</v>
      </c>
      <c r="D2" t="s">
        <v>47</v>
      </c>
      <c r="E2">
        <v>1000</v>
      </c>
      <c r="F2" s="66" t="s">
        <v>7</v>
      </c>
      <c r="G2" s="66" t="s">
        <v>9</v>
      </c>
      <c r="H2" s="66" t="str">
        <f>TEXT(Data[[#This Row],[Buchung]],"MMM")</f>
        <v>Jan</v>
      </c>
      <c r="I2" s="67">
        <f>YEAR(Data[[#This Row],[Buchung]])</f>
        <v>2015</v>
      </c>
      <c r="J2" s="2">
        <f>ABS(Data[[#This Row],[Betrag]])</f>
        <v>1000</v>
      </c>
      <c r="K2" s="66" t="str">
        <f>IF(Data[[#This Row],[Betrag]]&lt;0,"A","E")</f>
        <v>E</v>
      </c>
    </row>
    <row r="3" spans="1:11" x14ac:dyDescent="0.25">
      <c r="A3" s="1">
        <v>42006</v>
      </c>
      <c r="B3" s="66" t="s">
        <v>48</v>
      </c>
      <c r="C3" s="66" t="s">
        <v>49</v>
      </c>
      <c r="D3" t="s">
        <v>50</v>
      </c>
      <c r="E3">
        <v>-15</v>
      </c>
      <c r="F3" s="66" t="s">
        <v>7</v>
      </c>
      <c r="G3" s="66" t="s">
        <v>8</v>
      </c>
      <c r="H3" s="66" t="str">
        <f>TEXT(Data[[#This Row],[Buchung]],"MMM")</f>
        <v>Jan</v>
      </c>
      <c r="I3" s="67">
        <f>YEAR(Data[[#This Row],[Buchung]])</f>
        <v>2015</v>
      </c>
      <c r="J3" s="2">
        <f>ABS(Data[[#This Row],[Betrag]])</f>
        <v>15</v>
      </c>
      <c r="K3" s="66" t="str">
        <f>IF(Data[[#This Row],[Betrag]]&lt;0,"A","E")</f>
        <v>A</v>
      </c>
    </row>
    <row r="4" spans="1:11" x14ac:dyDescent="0.25">
      <c r="A4" s="1">
        <v>42007</v>
      </c>
      <c r="B4" s="66" t="s">
        <v>51</v>
      </c>
      <c r="C4" s="66" t="s">
        <v>52</v>
      </c>
      <c r="D4" t="s">
        <v>53</v>
      </c>
      <c r="E4">
        <v>-350</v>
      </c>
      <c r="F4" s="66" t="s">
        <v>7</v>
      </c>
      <c r="G4" s="66" t="s">
        <v>11</v>
      </c>
      <c r="H4" s="66" t="str">
        <f>TEXT(Data[[#This Row],[Buchung]],"MMM")</f>
        <v>Jan</v>
      </c>
      <c r="I4" s="67">
        <f>YEAR(Data[[#This Row],[Buchung]])</f>
        <v>2015</v>
      </c>
      <c r="J4" s="2">
        <f>ABS(Data[[#This Row],[Betrag]])</f>
        <v>350</v>
      </c>
      <c r="K4" s="66" t="str">
        <f>IF(Data[[#This Row],[Betrag]]&lt;0,"A","E")</f>
        <v>A</v>
      </c>
    </row>
    <row r="5" spans="1:11" x14ac:dyDescent="0.25">
      <c r="A5" s="1">
        <v>42008</v>
      </c>
      <c r="B5" s="66" t="s">
        <v>54</v>
      </c>
      <c r="C5" s="66" t="s">
        <v>55</v>
      </c>
      <c r="D5" t="s">
        <v>56</v>
      </c>
      <c r="E5">
        <v>-120</v>
      </c>
      <c r="F5" s="66" t="s">
        <v>7</v>
      </c>
      <c r="G5" s="66" t="s">
        <v>57</v>
      </c>
      <c r="H5" s="66" t="str">
        <f>TEXT(Data[[#This Row],[Buchung]],"MMM")</f>
        <v>Jan</v>
      </c>
      <c r="I5" s="67">
        <f>YEAR(Data[[#This Row],[Buchung]])</f>
        <v>2015</v>
      </c>
      <c r="J5" s="2">
        <f>ABS(Data[[#This Row],[Betrag]])</f>
        <v>120</v>
      </c>
      <c r="K5" s="66" t="str">
        <f>IF(Data[[#This Row],[Betrag]]&lt;0,"A","E")</f>
        <v>A</v>
      </c>
    </row>
    <row r="6" spans="1:11" x14ac:dyDescent="0.25">
      <c r="A6" s="1">
        <v>42009</v>
      </c>
      <c r="B6" s="66" t="s">
        <v>58</v>
      </c>
      <c r="C6" s="66" t="s">
        <v>59</v>
      </c>
      <c r="D6" t="s">
        <v>60</v>
      </c>
      <c r="E6">
        <v>-50</v>
      </c>
      <c r="F6" s="66" t="s">
        <v>7</v>
      </c>
      <c r="G6" s="66" t="s">
        <v>10</v>
      </c>
      <c r="H6" s="66" t="str">
        <f>TEXT(Data[[#This Row],[Buchung]],"MMM")</f>
        <v>Jan</v>
      </c>
      <c r="I6" s="67">
        <f>YEAR(Data[[#This Row],[Buchung]])</f>
        <v>2015</v>
      </c>
      <c r="J6" s="2">
        <f>ABS(Data[[#This Row],[Betrag]])</f>
        <v>50</v>
      </c>
      <c r="K6" s="66" t="str">
        <f>IF(Data[[#This Row],[Betrag]]&lt;0,"A","E")</f>
        <v>A</v>
      </c>
    </row>
    <row r="7" spans="1:11" x14ac:dyDescent="0.25">
      <c r="A7" s="1">
        <v>42010</v>
      </c>
      <c r="B7" s="66" t="s">
        <v>45</v>
      </c>
      <c r="C7" s="66" t="s">
        <v>46</v>
      </c>
      <c r="D7" t="s">
        <v>47</v>
      </c>
      <c r="E7">
        <v>1000</v>
      </c>
      <c r="F7" s="66" t="s">
        <v>7</v>
      </c>
      <c r="G7" s="66" t="s">
        <v>9</v>
      </c>
      <c r="H7" s="66" t="str">
        <f>TEXT(Data[[#This Row],[Buchung]],"MMM")</f>
        <v>Jan</v>
      </c>
      <c r="I7" s="67">
        <f>YEAR(Data[[#This Row],[Buchung]])</f>
        <v>2015</v>
      </c>
      <c r="J7" s="2">
        <f>ABS(Data[[#This Row],[Betrag]])</f>
        <v>1000</v>
      </c>
      <c r="K7" s="66" t="str">
        <f>IF(Data[[#This Row],[Betrag]]&lt;0,"A","E")</f>
        <v>E</v>
      </c>
    </row>
    <row r="8" spans="1:11" x14ac:dyDescent="0.25">
      <c r="A8" s="1">
        <v>42011</v>
      </c>
      <c r="B8" s="66" t="s">
        <v>61</v>
      </c>
      <c r="C8" s="66" t="s">
        <v>49</v>
      </c>
      <c r="D8" t="s">
        <v>62</v>
      </c>
      <c r="E8">
        <v>-10</v>
      </c>
      <c r="F8" s="66" t="s">
        <v>7</v>
      </c>
      <c r="G8" s="66" t="s">
        <v>8</v>
      </c>
      <c r="H8" s="66" t="str">
        <f>TEXT(Data[[#This Row],[Buchung]],"MMM")</f>
        <v>Jan</v>
      </c>
      <c r="I8" s="67">
        <f>YEAR(Data[[#This Row],[Buchung]])</f>
        <v>2015</v>
      </c>
      <c r="J8" s="2">
        <f>ABS(Data[[#This Row],[Betrag]])</f>
        <v>10</v>
      </c>
      <c r="K8" s="66" t="str">
        <f>IF(Data[[#This Row],[Betrag]]&lt;0,"A","E")</f>
        <v>A</v>
      </c>
    </row>
    <row r="9" spans="1:11" x14ac:dyDescent="0.25">
      <c r="A9" s="1">
        <v>42012</v>
      </c>
      <c r="B9" s="66" t="s">
        <v>63</v>
      </c>
      <c r="C9" s="66" t="s">
        <v>64</v>
      </c>
      <c r="D9" t="s">
        <v>65</v>
      </c>
      <c r="E9">
        <v>-60</v>
      </c>
      <c r="F9" s="66" t="s">
        <v>7</v>
      </c>
      <c r="G9" s="66" t="s">
        <v>11</v>
      </c>
      <c r="H9" s="66" t="str">
        <f>TEXT(Data[[#This Row],[Buchung]],"MMM")</f>
        <v>Jan</v>
      </c>
      <c r="I9" s="67">
        <f>YEAR(Data[[#This Row],[Buchung]])</f>
        <v>2015</v>
      </c>
      <c r="J9" s="2">
        <f>ABS(Data[[#This Row],[Betrag]])</f>
        <v>60</v>
      </c>
      <c r="K9" s="66" t="str">
        <f>IF(Data[[#This Row],[Betrag]]&lt;0,"A","E")</f>
        <v>A</v>
      </c>
    </row>
    <row r="10" spans="1:11" x14ac:dyDescent="0.25">
      <c r="A10" s="1">
        <v>42013</v>
      </c>
      <c r="B10" s="66" t="s">
        <v>54</v>
      </c>
      <c r="C10" s="66" t="s">
        <v>55</v>
      </c>
      <c r="D10" t="s">
        <v>66</v>
      </c>
      <c r="E10">
        <v>-80</v>
      </c>
      <c r="F10" s="66" t="s">
        <v>7</v>
      </c>
      <c r="G10" s="66" t="s">
        <v>57</v>
      </c>
      <c r="H10" s="66" t="str">
        <f>TEXT(Data[[#This Row],[Buchung]],"MMM")</f>
        <v>Jan</v>
      </c>
      <c r="I10" s="67">
        <f>YEAR(Data[[#This Row],[Buchung]])</f>
        <v>2015</v>
      </c>
      <c r="J10" s="2">
        <f>ABS(Data[[#This Row],[Betrag]])</f>
        <v>80</v>
      </c>
      <c r="K10" s="66" t="str">
        <f>IF(Data[[#This Row],[Betrag]]&lt;0,"A","E")</f>
        <v>A</v>
      </c>
    </row>
    <row r="11" spans="1:11" x14ac:dyDescent="0.25">
      <c r="A11" s="1">
        <v>42014</v>
      </c>
      <c r="B11" s="66" t="s">
        <v>67</v>
      </c>
      <c r="C11" s="66" t="s">
        <v>59</v>
      </c>
      <c r="D11" t="s">
        <v>68</v>
      </c>
      <c r="E11">
        <v>-20</v>
      </c>
      <c r="F11" s="66" t="s">
        <v>7</v>
      </c>
      <c r="G11" s="66" t="s">
        <v>10</v>
      </c>
      <c r="H11" s="66" t="str">
        <f>TEXT(Data[[#This Row],[Buchung]],"MMM")</f>
        <v>Jan</v>
      </c>
      <c r="I11" s="67">
        <f>YEAR(Data[[#This Row],[Buchung]])</f>
        <v>2015</v>
      </c>
      <c r="J11" s="2">
        <f>ABS(Data[[#This Row],[Betrag]])</f>
        <v>20</v>
      </c>
      <c r="K11" s="66" t="str">
        <f>IF(Data[[#This Row],[Betrag]]&lt;0,"A","E")</f>
        <v>A</v>
      </c>
    </row>
    <row r="12" spans="1:11" x14ac:dyDescent="0.25">
      <c r="A12" s="1">
        <v>42015</v>
      </c>
      <c r="B12" s="66" t="s">
        <v>45</v>
      </c>
      <c r="C12" s="66" t="s">
        <v>46</v>
      </c>
      <c r="D12" t="s">
        <v>47</v>
      </c>
      <c r="E12">
        <v>1000</v>
      </c>
      <c r="F12" s="66" t="s">
        <v>7</v>
      </c>
      <c r="G12" s="66" t="s">
        <v>9</v>
      </c>
      <c r="H12" s="66" t="str">
        <f>TEXT(Data[[#This Row],[Buchung]],"MMM")</f>
        <v>Jan</v>
      </c>
      <c r="I12" s="67">
        <f>YEAR(Data[[#This Row],[Buchung]])</f>
        <v>2015</v>
      </c>
      <c r="J12" s="2">
        <f>ABS(Data[[#This Row],[Betrag]])</f>
        <v>1000</v>
      </c>
      <c r="K12" s="66" t="str">
        <f>IF(Data[[#This Row],[Betrag]]&lt;0,"A","E")</f>
        <v>E</v>
      </c>
    </row>
    <row r="13" spans="1:11" x14ac:dyDescent="0.25">
      <c r="A13" s="1">
        <v>42016</v>
      </c>
      <c r="B13" s="66" t="s">
        <v>48</v>
      </c>
      <c r="C13" s="66" t="s">
        <v>49</v>
      </c>
      <c r="D13" t="s">
        <v>50</v>
      </c>
      <c r="E13">
        <v>-15</v>
      </c>
      <c r="F13" s="66" t="s">
        <v>7</v>
      </c>
      <c r="G13" s="66" t="s">
        <v>8</v>
      </c>
      <c r="H13" s="66" t="str">
        <f>TEXT(Data[[#This Row],[Buchung]],"MMM")</f>
        <v>Jan</v>
      </c>
      <c r="I13" s="67">
        <f>YEAR(Data[[#This Row],[Buchung]])</f>
        <v>2015</v>
      </c>
      <c r="J13" s="2">
        <f>ABS(Data[[#This Row],[Betrag]])</f>
        <v>15</v>
      </c>
      <c r="K13" s="66" t="str">
        <f>IF(Data[[#This Row],[Betrag]]&lt;0,"A","E")</f>
        <v>A</v>
      </c>
    </row>
    <row r="14" spans="1:11" x14ac:dyDescent="0.25">
      <c r="A14" s="1">
        <v>42017</v>
      </c>
      <c r="B14" s="66" t="s">
        <v>51</v>
      </c>
      <c r="C14" s="66" t="s">
        <v>52</v>
      </c>
      <c r="D14" t="s">
        <v>53</v>
      </c>
      <c r="E14">
        <v>-350</v>
      </c>
      <c r="F14" s="66" t="s">
        <v>7</v>
      </c>
      <c r="G14" s="66" t="s">
        <v>11</v>
      </c>
      <c r="H14" s="66" t="str">
        <f>TEXT(Data[[#This Row],[Buchung]],"MMM")</f>
        <v>Jan</v>
      </c>
      <c r="I14" s="67">
        <f>YEAR(Data[[#This Row],[Buchung]])</f>
        <v>2015</v>
      </c>
      <c r="J14" s="2">
        <f>ABS(Data[[#This Row],[Betrag]])</f>
        <v>350</v>
      </c>
      <c r="K14" s="66" t="str">
        <f>IF(Data[[#This Row],[Betrag]]&lt;0,"A","E")</f>
        <v>A</v>
      </c>
    </row>
    <row r="15" spans="1:11" x14ac:dyDescent="0.25">
      <c r="A15" s="1">
        <v>42018</v>
      </c>
      <c r="B15" s="66" t="s">
        <v>54</v>
      </c>
      <c r="C15" s="66" t="s">
        <v>55</v>
      </c>
      <c r="D15" t="s">
        <v>56</v>
      </c>
      <c r="E15">
        <v>-120</v>
      </c>
      <c r="F15" s="66" t="s">
        <v>7</v>
      </c>
      <c r="G15" s="66" t="s">
        <v>57</v>
      </c>
      <c r="H15" s="66" t="str">
        <f>TEXT(Data[[#This Row],[Buchung]],"MMM")</f>
        <v>Jan</v>
      </c>
      <c r="I15" s="67">
        <f>YEAR(Data[[#This Row],[Buchung]])</f>
        <v>2015</v>
      </c>
      <c r="J15" s="2">
        <f>ABS(Data[[#This Row],[Betrag]])</f>
        <v>120</v>
      </c>
      <c r="K15" s="66" t="str">
        <f>IF(Data[[#This Row],[Betrag]]&lt;0,"A","E")</f>
        <v>A</v>
      </c>
    </row>
    <row r="16" spans="1:11" x14ac:dyDescent="0.25">
      <c r="A16" s="1">
        <v>42019</v>
      </c>
      <c r="B16" s="66" t="s">
        <v>58</v>
      </c>
      <c r="C16" s="66" t="s">
        <v>59</v>
      </c>
      <c r="D16" t="s">
        <v>60</v>
      </c>
      <c r="E16">
        <v>-60</v>
      </c>
      <c r="F16" s="66" t="s">
        <v>7</v>
      </c>
      <c r="G16" s="66" t="s">
        <v>10</v>
      </c>
      <c r="H16" s="66" t="str">
        <f>TEXT(Data[[#This Row],[Buchung]],"MMM")</f>
        <v>Jan</v>
      </c>
      <c r="I16" s="67">
        <f>YEAR(Data[[#This Row],[Buchung]])</f>
        <v>2015</v>
      </c>
      <c r="J16" s="2">
        <f>ABS(Data[[#This Row],[Betrag]])</f>
        <v>60</v>
      </c>
      <c r="K16" s="66" t="str">
        <f>IF(Data[[#This Row],[Betrag]]&lt;0,"A","E")</f>
        <v>A</v>
      </c>
    </row>
    <row r="17" spans="1:11" x14ac:dyDescent="0.25">
      <c r="A17" s="1">
        <v>42020</v>
      </c>
      <c r="B17" s="66" t="s">
        <v>45</v>
      </c>
      <c r="C17" s="66" t="s">
        <v>46</v>
      </c>
      <c r="D17" t="s">
        <v>47</v>
      </c>
      <c r="E17">
        <v>1000</v>
      </c>
      <c r="F17" s="66" t="s">
        <v>7</v>
      </c>
      <c r="G17" s="66" t="s">
        <v>9</v>
      </c>
      <c r="H17" s="66" t="str">
        <f>TEXT(Data[[#This Row],[Buchung]],"MMM")</f>
        <v>Jan</v>
      </c>
      <c r="I17" s="67">
        <f>YEAR(Data[[#This Row],[Buchung]])</f>
        <v>2015</v>
      </c>
      <c r="J17" s="2">
        <f>ABS(Data[[#This Row],[Betrag]])</f>
        <v>1000</v>
      </c>
      <c r="K17" s="66" t="str">
        <f>IF(Data[[#This Row],[Betrag]]&lt;0,"A","E")</f>
        <v>E</v>
      </c>
    </row>
    <row r="18" spans="1:11" x14ac:dyDescent="0.25">
      <c r="A18" s="1">
        <v>42021</v>
      </c>
      <c r="B18" s="66" t="s">
        <v>61</v>
      </c>
      <c r="C18" s="66" t="s">
        <v>49</v>
      </c>
      <c r="D18" t="s">
        <v>62</v>
      </c>
      <c r="E18">
        <v>-10</v>
      </c>
      <c r="F18" s="66" t="s">
        <v>7</v>
      </c>
      <c r="G18" s="66" t="s">
        <v>8</v>
      </c>
      <c r="H18" s="66" t="str">
        <f>TEXT(Data[[#This Row],[Buchung]],"MMM")</f>
        <v>Jan</v>
      </c>
      <c r="I18" s="67">
        <f>YEAR(Data[[#This Row],[Buchung]])</f>
        <v>2015</v>
      </c>
      <c r="J18" s="2">
        <f>ABS(Data[[#This Row],[Betrag]])</f>
        <v>10</v>
      </c>
      <c r="K18" s="66" t="str">
        <f>IF(Data[[#This Row],[Betrag]]&lt;0,"A","E")</f>
        <v>A</v>
      </c>
    </row>
    <row r="19" spans="1:11" x14ac:dyDescent="0.25">
      <c r="A19" s="1">
        <v>42022</v>
      </c>
      <c r="B19" s="66" t="s">
        <v>63</v>
      </c>
      <c r="C19" s="66" t="s">
        <v>64</v>
      </c>
      <c r="D19" t="s">
        <v>65</v>
      </c>
      <c r="E19">
        <v>-70</v>
      </c>
      <c r="F19" s="66" t="s">
        <v>7</v>
      </c>
      <c r="G19" s="66" t="s">
        <v>11</v>
      </c>
      <c r="H19" s="66" t="str">
        <f>TEXT(Data[[#This Row],[Buchung]],"MMM")</f>
        <v>Jan</v>
      </c>
      <c r="I19" s="67">
        <f>YEAR(Data[[#This Row],[Buchung]])</f>
        <v>2015</v>
      </c>
      <c r="J19" s="2">
        <f>ABS(Data[[#This Row],[Betrag]])</f>
        <v>70</v>
      </c>
      <c r="K19" s="66" t="str">
        <f>IF(Data[[#This Row],[Betrag]]&lt;0,"A","E")</f>
        <v>A</v>
      </c>
    </row>
    <row r="20" spans="1:11" x14ac:dyDescent="0.25">
      <c r="A20" s="1">
        <v>42023</v>
      </c>
      <c r="B20" s="66" t="s">
        <v>54</v>
      </c>
      <c r="C20" s="66" t="s">
        <v>55</v>
      </c>
      <c r="D20" t="s">
        <v>66</v>
      </c>
      <c r="E20">
        <v>-80</v>
      </c>
      <c r="F20" s="66" t="s">
        <v>7</v>
      </c>
      <c r="G20" s="66" t="s">
        <v>57</v>
      </c>
      <c r="H20" s="66" t="str">
        <f>TEXT(Data[[#This Row],[Buchung]],"MMM")</f>
        <v>Jan</v>
      </c>
      <c r="I20" s="67">
        <f>YEAR(Data[[#This Row],[Buchung]])</f>
        <v>2015</v>
      </c>
      <c r="J20" s="2">
        <f>ABS(Data[[#This Row],[Betrag]])</f>
        <v>80</v>
      </c>
      <c r="K20" s="66" t="str">
        <f>IF(Data[[#This Row],[Betrag]]&lt;0,"A","E")</f>
        <v>A</v>
      </c>
    </row>
    <row r="21" spans="1:11" x14ac:dyDescent="0.25">
      <c r="A21" s="1">
        <v>42024</v>
      </c>
      <c r="B21" s="66" t="s">
        <v>67</v>
      </c>
      <c r="C21" s="66" t="s">
        <v>59</v>
      </c>
      <c r="D21" t="s">
        <v>68</v>
      </c>
      <c r="E21">
        <v>-25</v>
      </c>
      <c r="F21" s="66" t="s">
        <v>7</v>
      </c>
      <c r="G21" s="66" t="s">
        <v>10</v>
      </c>
      <c r="H21" s="66" t="str">
        <f>TEXT(Data[[#This Row],[Buchung]],"MMM")</f>
        <v>Jan</v>
      </c>
      <c r="I21" s="67">
        <f>YEAR(Data[[#This Row],[Buchung]])</f>
        <v>2015</v>
      </c>
      <c r="J21" s="2">
        <f>ABS(Data[[#This Row],[Betrag]])</f>
        <v>25</v>
      </c>
      <c r="K21" s="66" t="str">
        <f>IF(Data[[#This Row],[Betrag]]&lt;0,"A","E")</f>
        <v>A</v>
      </c>
    </row>
    <row r="22" spans="1:11" x14ac:dyDescent="0.25">
      <c r="A22" s="1">
        <v>42025</v>
      </c>
      <c r="B22" s="66" t="s">
        <v>45</v>
      </c>
      <c r="C22" s="66" t="s">
        <v>46</v>
      </c>
      <c r="D22" t="s">
        <v>47</v>
      </c>
      <c r="E22">
        <v>1000</v>
      </c>
      <c r="F22" s="66" t="s">
        <v>7</v>
      </c>
      <c r="G22" s="66" t="s">
        <v>9</v>
      </c>
      <c r="H22" s="66" t="str">
        <f>TEXT(Data[[#This Row],[Buchung]],"MMM")</f>
        <v>Jan</v>
      </c>
      <c r="I22" s="67">
        <f>YEAR(Data[[#This Row],[Buchung]])</f>
        <v>2015</v>
      </c>
      <c r="J22" s="2">
        <f>ABS(Data[[#This Row],[Betrag]])</f>
        <v>1000</v>
      </c>
      <c r="K22" s="66" t="str">
        <f>IF(Data[[#This Row],[Betrag]]&lt;0,"A","E")</f>
        <v>E</v>
      </c>
    </row>
    <row r="23" spans="1:11" x14ac:dyDescent="0.25">
      <c r="A23" s="1">
        <v>42026</v>
      </c>
      <c r="B23" s="66" t="s">
        <v>48</v>
      </c>
      <c r="C23" s="66" t="s">
        <v>49</v>
      </c>
      <c r="D23" t="s">
        <v>50</v>
      </c>
      <c r="E23">
        <v>-15</v>
      </c>
      <c r="F23" s="66" t="s">
        <v>7</v>
      </c>
      <c r="G23" s="66" t="s">
        <v>8</v>
      </c>
      <c r="H23" s="66" t="str">
        <f>TEXT(Data[[#This Row],[Buchung]],"MMM")</f>
        <v>Jan</v>
      </c>
      <c r="I23" s="67">
        <f>YEAR(Data[[#This Row],[Buchung]])</f>
        <v>2015</v>
      </c>
      <c r="J23" s="2">
        <f>ABS(Data[[#This Row],[Betrag]])</f>
        <v>15</v>
      </c>
      <c r="K23" s="66" t="str">
        <f>IF(Data[[#This Row],[Betrag]]&lt;0,"A","E")</f>
        <v>A</v>
      </c>
    </row>
    <row r="24" spans="1:11" x14ac:dyDescent="0.25">
      <c r="A24" s="1">
        <v>42027</v>
      </c>
      <c r="B24" s="66" t="s">
        <v>51</v>
      </c>
      <c r="C24" s="66" t="s">
        <v>52</v>
      </c>
      <c r="D24" t="s">
        <v>53</v>
      </c>
      <c r="E24">
        <v>-350</v>
      </c>
      <c r="F24" s="66" t="s">
        <v>7</v>
      </c>
      <c r="G24" s="66" t="s">
        <v>11</v>
      </c>
      <c r="H24" s="66" t="str">
        <f>TEXT(Data[[#This Row],[Buchung]],"MMM")</f>
        <v>Jan</v>
      </c>
      <c r="I24" s="67">
        <f>YEAR(Data[[#This Row],[Buchung]])</f>
        <v>2015</v>
      </c>
      <c r="J24" s="2">
        <f>ABS(Data[[#This Row],[Betrag]])</f>
        <v>350</v>
      </c>
      <c r="K24" s="66" t="str">
        <f>IF(Data[[#This Row],[Betrag]]&lt;0,"A","E")</f>
        <v>A</v>
      </c>
    </row>
    <row r="25" spans="1:11" x14ac:dyDescent="0.25">
      <c r="A25" s="1">
        <v>42028</v>
      </c>
      <c r="B25" s="66" t="s">
        <v>54</v>
      </c>
      <c r="C25" s="66" t="s">
        <v>55</v>
      </c>
      <c r="D25" t="s">
        <v>56</v>
      </c>
      <c r="E25">
        <v>-120</v>
      </c>
      <c r="F25" s="66" t="s">
        <v>7</v>
      </c>
      <c r="G25" s="66" t="s">
        <v>57</v>
      </c>
      <c r="H25" s="66" t="str">
        <f>TEXT(Data[[#This Row],[Buchung]],"MMM")</f>
        <v>Jan</v>
      </c>
      <c r="I25" s="67">
        <f>YEAR(Data[[#This Row],[Buchung]])</f>
        <v>2015</v>
      </c>
      <c r="J25" s="2">
        <f>ABS(Data[[#This Row],[Betrag]])</f>
        <v>120</v>
      </c>
      <c r="K25" s="66" t="str">
        <f>IF(Data[[#This Row],[Betrag]]&lt;0,"A","E")</f>
        <v>A</v>
      </c>
    </row>
    <row r="26" spans="1:11" x14ac:dyDescent="0.25">
      <c r="A26" s="1">
        <v>42029</v>
      </c>
      <c r="B26" s="66" t="s">
        <v>58</v>
      </c>
      <c r="C26" s="66" t="s">
        <v>59</v>
      </c>
      <c r="D26" t="s">
        <v>60</v>
      </c>
      <c r="E26">
        <v>-70</v>
      </c>
      <c r="F26" s="66" t="s">
        <v>7</v>
      </c>
      <c r="G26" s="66" t="s">
        <v>10</v>
      </c>
      <c r="H26" s="66" t="str">
        <f>TEXT(Data[[#This Row],[Buchung]],"MMM")</f>
        <v>Jan</v>
      </c>
      <c r="I26" s="67">
        <f>YEAR(Data[[#This Row],[Buchung]])</f>
        <v>2015</v>
      </c>
      <c r="J26" s="2">
        <f>ABS(Data[[#This Row],[Betrag]])</f>
        <v>70</v>
      </c>
      <c r="K26" s="66" t="str">
        <f>IF(Data[[#This Row],[Betrag]]&lt;0,"A","E")</f>
        <v>A</v>
      </c>
    </row>
    <row r="27" spans="1:11" x14ac:dyDescent="0.25">
      <c r="A27" s="1">
        <v>42030</v>
      </c>
      <c r="B27" s="66" t="s">
        <v>45</v>
      </c>
      <c r="C27" s="66" t="s">
        <v>46</v>
      </c>
      <c r="D27" t="s">
        <v>47</v>
      </c>
      <c r="E27">
        <v>1000</v>
      </c>
      <c r="F27" s="66" t="s">
        <v>7</v>
      </c>
      <c r="G27" s="66" t="s">
        <v>9</v>
      </c>
      <c r="H27" s="66" t="str">
        <f>TEXT(Data[[#This Row],[Buchung]],"MMM")</f>
        <v>Jan</v>
      </c>
      <c r="I27" s="67">
        <f>YEAR(Data[[#This Row],[Buchung]])</f>
        <v>2015</v>
      </c>
      <c r="J27" s="2">
        <f>ABS(Data[[#This Row],[Betrag]])</f>
        <v>1000</v>
      </c>
      <c r="K27" s="66" t="str">
        <f>IF(Data[[#This Row],[Betrag]]&lt;0,"A","E")</f>
        <v>E</v>
      </c>
    </row>
    <row r="28" spans="1:11" x14ac:dyDescent="0.25">
      <c r="A28" s="1">
        <v>42031</v>
      </c>
      <c r="B28" s="66" t="s">
        <v>61</v>
      </c>
      <c r="C28" s="66" t="s">
        <v>49</v>
      </c>
      <c r="D28" t="s">
        <v>62</v>
      </c>
      <c r="E28">
        <v>-10</v>
      </c>
      <c r="F28" s="66" t="s">
        <v>7</v>
      </c>
      <c r="G28" s="66" t="s">
        <v>8</v>
      </c>
      <c r="H28" s="66" t="str">
        <f>TEXT(Data[[#This Row],[Buchung]],"MMM")</f>
        <v>Jan</v>
      </c>
      <c r="I28" s="67">
        <f>YEAR(Data[[#This Row],[Buchung]])</f>
        <v>2015</v>
      </c>
      <c r="J28" s="2">
        <f>ABS(Data[[#This Row],[Betrag]])</f>
        <v>10</v>
      </c>
      <c r="K28" s="66" t="str">
        <f>IF(Data[[#This Row],[Betrag]]&lt;0,"A","E")</f>
        <v>A</v>
      </c>
    </row>
    <row r="29" spans="1:11" x14ac:dyDescent="0.25">
      <c r="A29" s="1">
        <v>42032</v>
      </c>
      <c r="B29" s="66" t="s">
        <v>63</v>
      </c>
      <c r="C29" s="66" t="s">
        <v>64</v>
      </c>
      <c r="D29" t="s">
        <v>65</v>
      </c>
      <c r="E29">
        <v>-60</v>
      </c>
      <c r="F29" s="66" t="s">
        <v>7</v>
      </c>
      <c r="G29" s="66" t="s">
        <v>11</v>
      </c>
      <c r="H29" s="66" t="str">
        <f>TEXT(Data[[#This Row],[Buchung]],"MMM")</f>
        <v>Jan</v>
      </c>
      <c r="I29" s="67">
        <f>YEAR(Data[[#This Row],[Buchung]])</f>
        <v>2015</v>
      </c>
      <c r="J29" s="2">
        <f>ABS(Data[[#This Row],[Betrag]])</f>
        <v>60</v>
      </c>
      <c r="K29" s="66" t="str">
        <f>IF(Data[[#This Row],[Betrag]]&lt;0,"A","E")</f>
        <v>A</v>
      </c>
    </row>
    <row r="30" spans="1:11" x14ac:dyDescent="0.25">
      <c r="A30" s="1">
        <v>42033</v>
      </c>
      <c r="B30" s="66" t="s">
        <v>54</v>
      </c>
      <c r="C30" s="66" t="s">
        <v>55</v>
      </c>
      <c r="D30" t="s">
        <v>66</v>
      </c>
      <c r="E30">
        <v>-80</v>
      </c>
      <c r="F30" s="66" t="s">
        <v>7</v>
      </c>
      <c r="G30" s="66" t="s">
        <v>57</v>
      </c>
      <c r="H30" s="66" t="str">
        <f>TEXT(Data[[#This Row],[Buchung]],"MMM")</f>
        <v>Jan</v>
      </c>
      <c r="I30" s="67">
        <f>YEAR(Data[[#This Row],[Buchung]])</f>
        <v>2015</v>
      </c>
      <c r="J30" s="2">
        <f>ABS(Data[[#This Row],[Betrag]])</f>
        <v>80</v>
      </c>
      <c r="K30" s="66" t="str">
        <f>IF(Data[[#This Row],[Betrag]]&lt;0,"A","E")</f>
        <v>A</v>
      </c>
    </row>
    <row r="31" spans="1:11" x14ac:dyDescent="0.25">
      <c r="A31" s="1">
        <v>42034</v>
      </c>
      <c r="B31" s="66" t="s">
        <v>67</v>
      </c>
      <c r="C31" s="66" t="s">
        <v>59</v>
      </c>
      <c r="D31" t="s">
        <v>68</v>
      </c>
      <c r="E31">
        <v>-30</v>
      </c>
      <c r="F31" s="66" t="s">
        <v>7</v>
      </c>
      <c r="G31" s="66" t="s">
        <v>10</v>
      </c>
      <c r="H31" s="66" t="str">
        <f>TEXT(Data[[#This Row],[Buchung]],"MMM")</f>
        <v>Jan</v>
      </c>
      <c r="I31" s="67">
        <f>YEAR(Data[[#This Row],[Buchung]])</f>
        <v>2015</v>
      </c>
      <c r="J31" s="2">
        <f>ABS(Data[[#This Row],[Betrag]])</f>
        <v>30</v>
      </c>
      <c r="K31" s="66" t="str">
        <f>IF(Data[[#This Row],[Betrag]]&lt;0,"A","E")</f>
        <v>A</v>
      </c>
    </row>
    <row r="32" spans="1:11" x14ac:dyDescent="0.25">
      <c r="A32" s="1">
        <v>42035</v>
      </c>
      <c r="B32" s="66" t="s">
        <v>45</v>
      </c>
      <c r="C32" s="66" t="s">
        <v>46</v>
      </c>
      <c r="D32" t="s">
        <v>47</v>
      </c>
      <c r="E32">
        <v>1000</v>
      </c>
      <c r="F32" s="66" t="s">
        <v>7</v>
      </c>
      <c r="G32" s="66" t="s">
        <v>9</v>
      </c>
      <c r="H32" s="66" t="str">
        <f>TEXT(Data[[#This Row],[Buchung]],"MMM")</f>
        <v>Jan</v>
      </c>
      <c r="I32" s="67">
        <f>YEAR(Data[[#This Row],[Buchung]])</f>
        <v>2015</v>
      </c>
      <c r="J32" s="2">
        <f>ABS(Data[[#This Row],[Betrag]])</f>
        <v>1000</v>
      </c>
      <c r="K32" s="66" t="str">
        <f>IF(Data[[#This Row],[Betrag]]&lt;0,"A","E")</f>
        <v>E</v>
      </c>
    </row>
    <row r="33" spans="1:11" x14ac:dyDescent="0.25">
      <c r="A33" s="1">
        <v>42036</v>
      </c>
      <c r="B33" s="66" t="s">
        <v>48</v>
      </c>
      <c r="C33" s="66" t="s">
        <v>49</v>
      </c>
      <c r="D33" t="s">
        <v>50</v>
      </c>
      <c r="E33">
        <v>-15</v>
      </c>
      <c r="F33" s="66" t="s">
        <v>7</v>
      </c>
      <c r="G33" s="66" t="s">
        <v>8</v>
      </c>
      <c r="H33" s="66" t="str">
        <f>TEXT(Data[[#This Row],[Buchung]],"MMM")</f>
        <v>Feb</v>
      </c>
      <c r="I33" s="67">
        <f>YEAR(Data[[#This Row],[Buchung]])</f>
        <v>2015</v>
      </c>
      <c r="J33" s="2">
        <f>ABS(Data[[#This Row],[Betrag]])</f>
        <v>15</v>
      </c>
      <c r="K33" s="66" t="str">
        <f>IF(Data[[#This Row],[Betrag]]&lt;0,"A","E")</f>
        <v>A</v>
      </c>
    </row>
    <row r="34" spans="1:11" x14ac:dyDescent="0.25">
      <c r="A34" s="1">
        <v>42037</v>
      </c>
      <c r="B34" s="66" t="s">
        <v>51</v>
      </c>
      <c r="C34" s="66" t="s">
        <v>52</v>
      </c>
      <c r="D34" t="s">
        <v>53</v>
      </c>
      <c r="E34">
        <v>-350</v>
      </c>
      <c r="F34" s="66" t="s">
        <v>7</v>
      </c>
      <c r="G34" s="66" t="s">
        <v>11</v>
      </c>
      <c r="H34" s="66" t="str">
        <f>TEXT(Data[[#This Row],[Buchung]],"MMM")</f>
        <v>Feb</v>
      </c>
      <c r="I34" s="67">
        <f>YEAR(Data[[#This Row],[Buchung]])</f>
        <v>2015</v>
      </c>
      <c r="J34" s="2">
        <f>ABS(Data[[#This Row],[Betrag]])</f>
        <v>350</v>
      </c>
      <c r="K34" s="66" t="str">
        <f>IF(Data[[#This Row],[Betrag]]&lt;0,"A","E")</f>
        <v>A</v>
      </c>
    </row>
    <row r="35" spans="1:11" x14ac:dyDescent="0.25">
      <c r="A35" s="1">
        <v>42038</v>
      </c>
      <c r="B35" s="66" t="s">
        <v>54</v>
      </c>
      <c r="C35" s="66" t="s">
        <v>55</v>
      </c>
      <c r="D35" t="s">
        <v>56</v>
      </c>
      <c r="E35">
        <v>-120</v>
      </c>
      <c r="F35" s="66" t="s">
        <v>7</v>
      </c>
      <c r="G35" s="66" t="s">
        <v>57</v>
      </c>
      <c r="H35" s="66" t="str">
        <f>TEXT(Data[[#This Row],[Buchung]],"MMM")</f>
        <v>Feb</v>
      </c>
      <c r="I35" s="67">
        <f>YEAR(Data[[#This Row],[Buchung]])</f>
        <v>2015</v>
      </c>
      <c r="J35" s="2">
        <f>ABS(Data[[#This Row],[Betrag]])</f>
        <v>120</v>
      </c>
      <c r="K35" s="66" t="str">
        <f>IF(Data[[#This Row],[Betrag]]&lt;0,"A","E")</f>
        <v>A</v>
      </c>
    </row>
    <row r="36" spans="1:11" x14ac:dyDescent="0.25">
      <c r="A36" s="1">
        <v>42039</v>
      </c>
      <c r="B36" s="66" t="s">
        <v>58</v>
      </c>
      <c r="C36" s="66" t="s">
        <v>59</v>
      </c>
      <c r="D36" t="s">
        <v>60</v>
      </c>
      <c r="E36">
        <v>-80</v>
      </c>
      <c r="F36" s="66" t="s">
        <v>7</v>
      </c>
      <c r="G36" s="66" t="s">
        <v>10</v>
      </c>
      <c r="H36" s="66" t="str">
        <f>TEXT(Data[[#This Row],[Buchung]],"MMM")</f>
        <v>Feb</v>
      </c>
      <c r="I36" s="67">
        <f>YEAR(Data[[#This Row],[Buchung]])</f>
        <v>2015</v>
      </c>
      <c r="J36" s="2">
        <f>ABS(Data[[#This Row],[Betrag]])</f>
        <v>80</v>
      </c>
      <c r="K36" s="66" t="str">
        <f>IF(Data[[#This Row],[Betrag]]&lt;0,"A","E")</f>
        <v>A</v>
      </c>
    </row>
    <row r="37" spans="1:11" x14ac:dyDescent="0.25">
      <c r="A37" s="1">
        <v>42040</v>
      </c>
      <c r="B37" s="66" t="s">
        <v>45</v>
      </c>
      <c r="C37" s="66" t="s">
        <v>46</v>
      </c>
      <c r="D37" t="s">
        <v>47</v>
      </c>
      <c r="E37">
        <v>1000</v>
      </c>
      <c r="F37" s="66" t="s">
        <v>7</v>
      </c>
      <c r="G37" s="66" t="s">
        <v>9</v>
      </c>
      <c r="H37" s="66" t="str">
        <f>TEXT(Data[[#This Row],[Buchung]],"MMM")</f>
        <v>Feb</v>
      </c>
      <c r="I37" s="67">
        <f>YEAR(Data[[#This Row],[Buchung]])</f>
        <v>2015</v>
      </c>
      <c r="J37" s="2">
        <f>ABS(Data[[#This Row],[Betrag]])</f>
        <v>1000</v>
      </c>
      <c r="K37" s="66" t="str">
        <f>IF(Data[[#This Row],[Betrag]]&lt;0,"A","E")</f>
        <v>E</v>
      </c>
    </row>
    <row r="38" spans="1:11" x14ac:dyDescent="0.25">
      <c r="A38" s="1">
        <v>42041</v>
      </c>
      <c r="B38" s="66" t="s">
        <v>61</v>
      </c>
      <c r="C38" s="66" t="s">
        <v>49</v>
      </c>
      <c r="D38" t="s">
        <v>62</v>
      </c>
      <c r="E38">
        <v>-10</v>
      </c>
      <c r="F38" s="66" t="s">
        <v>7</v>
      </c>
      <c r="G38" s="66" t="s">
        <v>8</v>
      </c>
      <c r="H38" s="66" t="str">
        <f>TEXT(Data[[#This Row],[Buchung]],"MMM")</f>
        <v>Feb</v>
      </c>
      <c r="I38" s="67">
        <f>YEAR(Data[[#This Row],[Buchung]])</f>
        <v>2015</v>
      </c>
      <c r="J38" s="2">
        <f>ABS(Data[[#This Row],[Betrag]])</f>
        <v>10</v>
      </c>
      <c r="K38" s="66" t="str">
        <f>IF(Data[[#This Row],[Betrag]]&lt;0,"A","E")</f>
        <v>A</v>
      </c>
    </row>
    <row r="39" spans="1:11" x14ac:dyDescent="0.25">
      <c r="A39" s="1">
        <v>42042</v>
      </c>
      <c r="B39" s="66" t="s">
        <v>63</v>
      </c>
      <c r="C39" s="66" t="s">
        <v>64</v>
      </c>
      <c r="D39" t="s">
        <v>65</v>
      </c>
      <c r="E39">
        <v>-65</v>
      </c>
      <c r="F39" s="66" t="s">
        <v>7</v>
      </c>
      <c r="G39" s="66" t="s">
        <v>11</v>
      </c>
      <c r="H39" s="66" t="str">
        <f>TEXT(Data[[#This Row],[Buchung]],"MMM")</f>
        <v>Feb</v>
      </c>
      <c r="I39" s="67">
        <f>YEAR(Data[[#This Row],[Buchung]])</f>
        <v>2015</v>
      </c>
      <c r="J39" s="2">
        <f>ABS(Data[[#This Row],[Betrag]])</f>
        <v>65</v>
      </c>
      <c r="K39" s="66" t="str">
        <f>IF(Data[[#This Row],[Betrag]]&lt;0,"A","E")</f>
        <v>A</v>
      </c>
    </row>
    <row r="40" spans="1:11" x14ac:dyDescent="0.25">
      <c r="A40" s="1">
        <v>42043</v>
      </c>
      <c r="B40" s="66" t="s">
        <v>54</v>
      </c>
      <c r="C40" s="66" t="s">
        <v>55</v>
      </c>
      <c r="D40" t="s">
        <v>66</v>
      </c>
      <c r="E40">
        <v>-80</v>
      </c>
      <c r="F40" s="66" t="s">
        <v>7</v>
      </c>
      <c r="G40" s="66" t="s">
        <v>57</v>
      </c>
      <c r="H40" s="66" t="str">
        <f>TEXT(Data[[#This Row],[Buchung]],"MMM")</f>
        <v>Feb</v>
      </c>
      <c r="I40" s="67">
        <f>YEAR(Data[[#This Row],[Buchung]])</f>
        <v>2015</v>
      </c>
      <c r="J40" s="2">
        <f>ABS(Data[[#This Row],[Betrag]])</f>
        <v>80</v>
      </c>
      <c r="K40" s="66" t="str">
        <f>IF(Data[[#This Row],[Betrag]]&lt;0,"A","E")</f>
        <v>A</v>
      </c>
    </row>
    <row r="41" spans="1:11" x14ac:dyDescent="0.25">
      <c r="A41" s="1">
        <v>42044</v>
      </c>
      <c r="B41" s="66" t="s">
        <v>67</v>
      </c>
      <c r="C41" s="66" t="s">
        <v>59</v>
      </c>
      <c r="D41" t="s">
        <v>68</v>
      </c>
      <c r="E41">
        <v>-35</v>
      </c>
      <c r="F41" s="66" t="s">
        <v>7</v>
      </c>
      <c r="G41" s="66" t="s">
        <v>10</v>
      </c>
      <c r="H41" s="66" t="str">
        <f>TEXT(Data[[#This Row],[Buchung]],"MMM")</f>
        <v>Feb</v>
      </c>
      <c r="I41" s="67">
        <f>YEAR(Data[[#This Row],[Buchung]])</f>
        <v>2015</v>
      </c>
      <c r="J41" s="2">
        <f>ABS(Data[[#This Row],[Betrag]])</f>
        <v>35</v>
      </c>
      <c r="K41" s="66" t="str">
        <f>IF(Data[[#This Row],[Betrag]]&lt;0,"A","E")</f>
        <v>A</v>
      </c>
    </row>
    <row r="42" spans="1:11" x14ac:dyDescent="0.25">
      <c r="A42" s="1">
        <v>42045</v>
      </c>
      <c r="B42" s="66" t="s">
        <v>45</v>
      </c>
      <c r="C42" s="66" t="s">
        <v>46</v>
      </c>
      <c r="D42" t="s">
        <v>47</v>
      </c>
      <c r="E42">
        <v>1000</v>
      </c>
      <c r="F42" s="66" t="s">
        <v>7</v>
      </c>
      <c r="G42" s="66" t="s">
        <v>9</v>
      </c>
      <c r="H42" s="66" t="str">
        <f>TEXT(Data[[#This Row],[Buchung]],"MMM")</f>
        <v>Feb</v>
      </c>
      <c r="I42" s="67">
        <f>YEAR(Data[[#This Row],[Buchung]])</f>
        <v>2015</v>
      </c>
      <c r="J42" s="2">
        <f>ABS(Data[[#This Row],[Betrag]])</f>
        <v>1000</v>
      </c>
      <c r="K42" s="66" t="str">
        <f>IF(Data[[#This Row],[Betrag]]&lt;0,"A","E")</f>
        <v>E</v>
      </c>
    </row>
    <row r="43" spans="1:11" x14ac:dyDescent="0.25">
      <c r="A43" s="1">
        <v>42046</v>
      </c>
      <c r="B43" s="66" t="s">
        <v>45</v>
      </c>
      <c r="C43" s="66" t="s">
        <v>46</v>
      </c>
      <c r="D43" t="s">
        <v>47</v>
      </c>
      <c r="E43">
        <v>1000</v>
      </c>
      <c r="F43" s="66" t="s">
        <v>7</v>
      </c>
      <c r="G43" s="66" t="s">
        <v>9</v>
      </c>
      <c r="H43" s="66" t="str">
        <f>TEXT(Data[[#This Row],[Buchung]],"MMM")</f>
        <v>Feb</v>
      </c>
      <c r="I43" s="67">
        <f>YEAR(Data[[#This Row],[Buchung]])</f>
        <v>2015</v>
      </c>
      <c r="J43" s="2">
        <f>ABS(Data[[#This Row],[Betrag]])</f>
        <v>1000</v>
      </c>
      <c r="K43" s="66" t="str">
        <f>IF(Data[[#This Row],[Betrag]]&lt;0,"A","E")</f>
        <v>E</v>
      </c>
    </row>
    <row r="44" spans="1:11" x14ac:dyDescent="0.25">
      <c r="A44" s="1">
        <v>42047</v>
      </c>
      <c r="B44" s="66" t="s">
        <v>48</v>
      </c>
      <c r="C44" s="66" t="s">
        <v>49</v>
      </c>
      <c r="D44" t="s">
        <v>50</v>
      </c>
      <c r="E44">
        <v>-15</v>
      </c>
      <c r="F44" s="66" t="s">
        <v>7</v>
      </c>
      <c r="G44" s="66" t="s">
        <v>8</v>
      </c>
      <c r="H44" s="66" t="str">
        <f>TEXT(Data[[#This Row],[Buchung]],"MMM")</f>
        <v>Feb</v>
      </c>
      <c r="I44" s="67">
        <f>YEAR(Data[[#This Row],[Buchung]])</f>
        <v>2015</v>
      </c>
      <c r="J44" s="2">
        <f>ABS(Data[[#This Row],[Betrag]])</f>
        <v>15</v>
      </c>
      <c r="K44" s="66" t="str">
        <f>IF(Data[[#This Row],[Betrag]]&lt;0,"A","E")</f>
        <v>A</v>
      </c>
    </row>
    <row r="45" spans="1:11" x14ac:dyDescent="0.25">
      <c r="A45" s="1">
        <v>42048</v>
      </c>
      <c r="B45" s="66" t="s">
        <v>51</v>
      </c>
      <c r="C45" s="66" t="s">
        <v>52</v>
      </c>
      <c r="D45" t="s">
        <v>53</v>
      </c>
      <c r="E45">
        <v>-350</v>
      </c>
      <c r="F45" s="66" t="s">
        <v>7</v>
      </c>
      <c r="G45" s="66" t="s">
        <v>11</v>
      </c>
      <c r="H45" s="66" t="str">
        <f>TEXT(Data[[#This Row],[Buchung]],"MMM")</f>
        <v>Feb</v>
      </c>
      <c r="I45" s="67">
        <f>YEAR(Data[[#This Row],[Buchung]])</f>
        <v>2015</v>
      </c>
      <c r="J45" s="2">
        <f>ABS(Data[[#This Row],[Betrag]])</f>
        <v>350</v>
      </c>
      <c r="K45" s="66" t="str">
        <f>IF(Data[[#This Row],[Betrag]]&lt;0,"A","E")</f>
        <v>A</v>
      </c>
    </row>
    <row r="46" spans="1:11" x14ac:dyDescent="0.25">
      <c r="A46" s="1">
        <v>42049</v>
      </c>
      <c r="B46" s="66" t="s">
        <v>54</v>
      </c>
      <c r="C46" s="66" t="s">
        <v>55</v>
      </c>
      <c r="D46" t="s">
        <v>56</v>
      </c>
      <c r="E46">
        <v>-120</v>
      </c>
      <c r="F46" s="66" t="s">
        <v>7</v>
      </c>
      <c r="G46" s="66" t="s">
        <v>57</v>
      </c>
      <c r="H46" s="66" t="str">
        <f>TEXT(Data[[#This Row],[Buchung]],"MMM")</f>
        <v>Feb</v>
      </c>
      <c r="I46" s="67">
        <f>YEAR(Data[[#This Row],[Buchung]])</f>
        <v>2015</v>
      </c>
      <c r="J46" s="2">
        <f>ABS(Data[[#This Row],[Betrag]])</f>
        <v>120</v>
      </c>
      <c r="K46" s="66" t="str">
        <f>IF(Data[[#This Row],[Betrag]]&lt;0,"A","E")</f>
        <v>A</v>
      </c>
    </row>
    <row r="47" spans="1:11" x14ac:dyDescent="0.25">
      <c r="A47" s="1">
        <v>42050</v>
      </c>
      <c r="B47" s="66" t="s">
        <v>58</v>
      </c>
      <c r="C47" s="66" t="s">
        <v>59</v>
      </c>
      <c r="D47" t="s">
        <v>60</v>
      </c>
      <c r="E47">
        <v>-50</v>
      </c>
      <c r="F47" s="66" t="s">
        <v>7</v>
      </c>
      <c r="G47" s="66" t="s">
        <v>10</v>
      </c>
      <c r="H47" s="66" t="str">
        <f>TEXT(Data[[#This Row],[Buchung]],"MMM")</f>
        <v>Feb</v>
      </c>
      <c r="I47" s="67">
        <f>YEAR(Data[[#This Row],[Buchung]])</f>
        <v>2015</v>
      </c>
      <c r="J47" s="2">
        <f>ABS(Data[[#This Row],[Betrag]])</f>
        <v>50</v>
      </c>
      <c r="K47" s="66" t="str">
        <f>IF(Data[[#This Row],[Betrag]]&lt;0,"A","E")</f>
        <v>A</v>
      </c>
    </row>
    <row r="48" spans="1:11" x14ac:dyDescent="0.25">
      <c r="A48" s="1">
        <v>42051</v>
      </c>
      <c r="B48" s="66" t="s">
        <v>45</v>
      </c>
      <c r="C48" s="66" t="s">
        <v>46</v>
      </c>
      <c r="D48" t="s">
        <v>47</v>
      </c>
      <c r="E48">
        <v>1000</v>
      </c>
      <c r="F48" s="66" t="s">
        <v>7</v>
      </c>
      <c r="G48" s="66" t="s">
        <v>9</v>
      </c>
      <c r="H48" s="66" t="str">
        <f>TEXT(Data[[#This Row],[Buchung]],"MMM")</f>
        <v>Feb</v>
      </c>
      <c r="I48" s="67">
        <f>YEAR(Data[[#This Row],[Buchung]])</f>
        <v>2015</v>
      </c>
      <c r="J48" s="2">
        <f>ABS(Data[[#This Row],[Betrag]])</f>
        <v>1000</v>
      </c>
      <c r="K48" s="66" t="str">
        <f>IF(Data[[#This Row],[Betrag]]&lt;0,"A","E")</f>
        <v>E</v>
      </c>
    </row>
    <row r="49" spans="1:11" x14ac:dyDescent="0.25">
      <c r="A49" s="1">
        <v>42052</v>
      </c>
      <c r="B49" s="66" t="s">
        <v>61</v>
      </c>
      <c r="C49" s="66" t="s">
        <v>49</v>
      </c>
      <c r="D49" t="s">
        <v>62</v>
      </c>
      <c r="E49">
        <v>-10</v>
      </c>
      <c r="F49" s="66" t="s">
        <v>7</v>
      </c>
      <c r="G49" s="66" t="s">
        <v>8</v>
      </c>
      <c r="H49" s="66" t="str">
        <f>TEXT(Data[[#This Row],[Buchung]],"MMM")</f>
        <v>Feb</v>
      </c>
      <c r="I49" s="67">
        <f>YEAR(Data[[#This Row],[Buchung]])</f>
        <v>2015</v>
      </c>
      <c r="J49" s="2">
        <f>ABS(Data[[#This Row],[Betrag]])</f>
        <v>10</v>
      </c>
      <c r="K49" s="66" t="str">
        <f>IF(Data[[#This Row],[Betrag]]&lt;0,"A","E")</f>
        <v>A</v>
      </c>
    </row>
    <row r="50" spans="1:11" x14ac:dyDescent="0.25">
      <c r="A50" s="1">
        <v>42053</v>
      </c>
      <c r="B50" s="66" t="s">
        <v>63</v>
      </c>
      <c r="C50" s="66" t="s">
        <v>64</v>
      </c>
      <c r="D50" t="s">
        <v>65</v>
      </c>
      <c r="E50">
        <v>-60</v>
      </c>
      <c r="F50" s="66" t="s">
        <v>7</v>
      </c>
      <c r="G50" s="66" t="s">
        <v>11</v>
      </c>
      <c r="H50" s="66" t="str">
        <f>TEXT(Data[[#This Row],[Buchung]],"MMM")</f>
        <v>Feb</v>
      </c>
      <c r="I50" s="67">
        <f>YEAR(Data[[#This Row],[Buchung]])</f>
        <v>2015</v>
      </c>
      <c r="J50" s="2">
        <f>ABS(Data[[#This Row],[Betrag]])</f>
        <v>60</v>
      </c>
      <c r="K50" s="66" t="str">
        <f>IF(Data[[#This Row],[Betrag]]&lt;0,"A","E")</f>
        <v>A</v>
      </c>
    </row>
    <row r="51" spans="1:11" x14ac:dyDescent="0.25">
      <c r="A51" s="1">
        <v>42054</v>
      </c>
      <c r="B51" s="66" t="s">
        <v>54</v>
      </c>
      <c r="C51" s="66" t="s">
        <v>55</v>
      </c>
      <c r="D51" t="s">
        <v>66</v>
      </c>
      <c r="E51">
        <v>-80</v>
      </c>
      <c r="F51" s="66" t="s">
        <v>7</v>
      </c>
      <c r="G51" s="66" t="s">
        <v>57</v>
      </c>
      <c r="H51" s="66" t="str">
        <f>TEXT(Data[[#This Row],[Buchung]],"MMM")</f>
        <v>Feb</v>
      </c>
      <c r="I51" s="67">
        <f>YEAR(Data[[#This Row],[Buchung]])</f>
        <v>2015</v>
      </c>
      <c r="J51" s="2">
        <f>ABS(Data[[#This Row],[Betrag]])</f>
        <v>80</v>
      </c>
      <c r="K51" s="66" t="str">
        <f>IF(Data[[#This Row],[Betrag]]&lt;0,"A","E")</f>
        <v>A</v>
      </c>
    </row>
    <row r="52" spans="1:11" x14ac:dyDescent="0.25">
      <c r="A52" s="1">
        <v>42055</v>
      </c>
      <c r="B52" s="66" t="s">
        <v>67</v>
      </c>
      <c r="C52" s="66" t="s">
        <v>59</v>
      </c>
      <c r="D52" t="s">
        <v>68</v>
      </c>
      <c r="E52">
        <v>-20</v>
      </c>
      <c r="F52" s="66" t="s">
        <v>7</v>
      </c>
      <c r="G52" s="66" t="s">
        <v>10</v>
      </c>
      <c r="H52" s="66" t="str">
        <f>TEXT(Data[[#This Row],[Buchung]],"MMM")</f>
        <v>Feb</v>
      </c>
      <c r="I52" s="67">
        <f>YEAR(Data[[#This Row],[Buchung]])</f>
        <v>2015</v>
      </c>
      <c r="J52" s="2">
        <f>ABS(Data[[#This Row],[Betrag]])</f>
        <v>20</v>
      </c>
      <c r="K52" s="66" t="str">
        <f>IF(Data[[#This Row],[Betrag]]&lt;0,"A","E")</f>
        <v>A</v>
      </c>
    </row>
    <row r="53" spans="1:11" x14ac:dyDescent="0.25">
      <c r="A53" s="1">
        <v>42056</v>
      </c>
      <c r="B53" s="66" t="s">
        <v>45</v>
      </c>
      <c r="C53" s="66" t="s">
        <v>46</v>
      </c>
      <c r="D53" t="s">
        <v>47</v>
      </c>
      <c r="E53">
        <v>1000</v>
      </c>
      <c r="F53" s="66" t="s">
        <v>7</v>
      </c>
      <c r="G53" s="66" t="s">
        <v>9</v>
      </c>
      <c r="H53" s="66" t="str">
        <f>TEXT(Data[[#This Row],[Buchung]],"MMM")</f>
        <v>Feb</v>
      </c>
      <c r="I53" s="67">
        <f>YEAR(Data[[#This Row],[Buchung]])</f>
        <v>2015</v>
      </c>
      <c r="J53" s="2">
        <f>ABS(Data[[#This Row],[Betrag]])</f>
        <v>1000</v>
      </c>
      <c r="K53" s="66" t="str">
        <f>IF(Data[[#This Row],[Betrag]]&lt;0,"A","E")</f>
        <v>E</v>
      </c>
    </row>
    <row r="54" spans="1:11" x14ac:dyDescent="0.25">
      <c r="A54" s="1">
        <v>42057</v>
      </c>
      <c r="B54" s="66" t="s">
        <v>48</v>
      </c>
      <c r="C54" s="66" t="s">
        <v>49</v>
      </c>
      <c r="D54" t="s">
        <v>50</v>
      </c>
      <c r="E54">
        <v>-15</v>
      </c>
      <c r="F54" s="66" t="s">
        <v>7</v>
      </c>
      <c r="G54" s="66" t="s">
        <v>8</v>
      </c>
      <c r="H54" s="66" t="str">
        <f>TEXT(Data[[#This Row],[Buchung]],"MMM")</f>
        <v>Feb</v>
      </c>
      <c r="I54" s="67">
        <f>YEAR(Data[[#This Row],[Buchung]])</f>
        <v>2015</v>
      </c>
      <c r="J54" s="2">
        <f>ABS(Data[[#This Row],[Betrag]])</f>
        <v>15</v>
      </c>
      <c r="K54" s="66" t="str">
        <f>IF(Data[[#This Row],[Betrag]]&lt;0,"A","E")</f>
        <v>A</v>
      </c>
    </row>
    <row r="55" spans="1:11" x14ac:dyDescent="0.25">
      <c r="A55" s="1">
        <v>42058</v>
      </c>
      <c r="B55" s="66" t="s">
        <v>51</v>
      </c>
      <c r="C55" s="66" t="s">
        <v>52</v>
      </c>
      <c r="D55" t="s">
        <v>53</v>
      </c>
      <c r="E55">
        <v>-350</v>
      </c>
      <c r="F55" s="66" t="s">
        <v>7</v>
      </c>
      <c r="G55" s="66" t="s">
        <v>11</v>
      </c>
      <c r="H55" s="66" t="str">
        <f>TEXT(Data[[#This Row],[Buchung]],"MMM")</f>
        <v>Feb</v>
      </c>
      <c r="I55" s="67">
        <f>YEAR(Data[[#This Row],[Buchung]])</f>
        <v>2015</v>
      </c>
      <c r="J55" s="2">
        <f>ABS(Data[[#This Row],[Betrag]])</f>
        <v>350</v>
      </c>
      <c r="K55" s="66" t="str">
        <f>IF(Data[[#This Row],[Betrag]]&lt;0,"A","E")</f>
        <v>A</v>
      </c>
    </row>
    <row r="56" spans="1:11" x14ac:dyDescent="0.25">
      <c r="A56" s="1">
        <v>42059</v>
      </c>
      <c r="B56" s="66" t="s">
        <v>54</v>
      </c>
      <c r="C56" s="66" t="s">
        <v>55</v>
      </c>
      <c r="D56" t="s">
        <v>56</v>
      </c>
      <c r="E56">
        <v>-120</v>
      </c>
      <c r="F56" s="66" t="s">
        <v>7</v>
      </c>
      <c r="G56" s="66" t="s">
        <v>57</v>
      </c>
      <c r="H56" s="66" t="str">
        <f>TEXT(Data[[#This Row],[Buchung]],"MMM")</f>
        <v>Feb</v>
      </c>
      <c r="I56" s="67">
        <f>YEAR(Data[[#This Row],[Buchung]])</f>
        <v>2015</v>
      </c>
      <c r="J56" s="2">
        <f>ABS(Data[[#This Row],[Betrag]])</f>
        <v>120</v>
      </c>
      <c r="K56" s="66" t="str">
        <f>IF(Data[[#This Row],[Betrag]]&lt;0,"A","E")</f>
        <v>A</v>
      </c>
    </row>
    <row r="57" spans="1:11" x14ac:dyDescent="0.25">
      <c r="A57" s="1">
        <v>42060</v>
      </c>
      <c r="B57" s="66" t="s">
        <v>58</v>
      </c>
      <c r="C57" s="66" t="s">
        <v>59</v>
      </c>
      <c r="D57" t="s">
        <v>60</v>
      </c>
      <c r="E57">
        <v>-60</v>
      </c>
      <c r="F57" s="66" t="s">
        <v>7</v>
      </c>
      <c r="G57" s="66" t="s">
        <v>10</v>
      </c>
      <c r="H57" s="66" t="str">
        <f>TEXT(Data[[#This Row],[Buchung]],"MMM")</f>
        <v>Feb</v>
      </c>
      <c r="I57" s="67">
        <f>YEAR(Data[[#This Row],[Buchung]])</f>
        <v>2015</v>
      </c>
      <c r="J57" s="2">
        <f>ABS(Data[[#This Row],[Betrag]])</f>
        <v>60</v>
      </c>
      <c r="K57" s="66" t="str">
        <f>IF(Data[[#This Row],[Betrag]]&lt;0,"A","E")</f>
        <v>A</v>
      </c>
    </row>
    <row r="58" spans="1:11" x14ac:dyDescent="0.25">
      <c r="A58" s="1">
        <v>42061</v>
      </c>
      <c r="B58" s="66" t="s">
        <v>45</v>
      </c>
      <c r="C58" s="66" t="s">
        <v>46</v>
      </c>
      <c r="D58" t="s">
        <v>47</v>
      </c>
      <c r="E58">
        <v>1000</v>
      </c>
      <c r="F58" s="66" t="s">
        <v>7</v>
      </c>
      <c r="G58" s="66" t="s">
        <v>9</v>
      </c>
      <c r="H58" s="66" t="str">
        <f>TEXT(Data[[#This Row],[Buchung]],"MMM")</f>
        <v>Feb</v>
      </c>
      <c r="I58" s="67">
        <f>YEAR(Data[[#This Row],[Buchung]])</f>
        <v>2015</v>
      </c>
      <c r="J58" s="2">
        <f>ABS(Data[[#This Row],[Betrag]])</f>
        <v>1000</v>
      </c>
      <c r="K58" s="66" t="str">
        <f>IF(Data[[#This Row],[Betrag]]&lt;0,"A","E")</f>
        <v>E</v>
      </c>
    </row>
    <row r="59" spans="1:11" x14ac:dyDescent="0.25">
      <c r="A59" s="1">
        <v>42062</v>
      </c>
      <c r="B59" s="66" t="s">
        <v>61</v>
      </c>
      <c r="C59" s="66" t="s">
        <v>49</v>
      </c>
      <c r="D59" t="s">
        <v>62</v>
      </c>
      <c r="E59">
        <v>-10</v>
      </c>
      <c r="F59" s="66" t="s">
        <v>7</v>
      </c>
      <c r="G59" s="66" t="s">
        <v>8</v>
      </c>
      <c r="H59" s="66" t="str">
        <f>TEXT(Data[[#This Row],[Buchung]],"MMM")</f>
        <v>Feb</v>
      </c>
      <c r="I59" s="67">
        <f>YEAR(Data[[#This Row],[Buchung]])</f>
        <v>2015</v>
      </c>
      <c r="J59" s="2">
        <f>ABS(Data[[#This Row],[Betrag]])</f>
        <v>10</v>
      </c>
      <c r="K59" s="66" t="str">
        <f>IF(Data[[#This Row],[Betrag]]&lt;0,"A","E")</f>
        <v>A</v>
      </c>
    </row>
    <row r="60" spans="1:11" x14ac:dyDescent="0.25">
      <c r="A60" s="1">
        <v>42063</v>
      </c>
      <c r="B60" s="66" t="s">
        <v>63</v>
      </c>
      <c r="C60" s="66" t="s">
        <v>64</v>
      </c>
      <c r="D60" t="s">
        <v>65</v>
      </c>
      <c r="E60">
        <v>-70</v>
      </c>
      <c r="F60" s="66" t="s">
        <v>7</v>
      </c>
      <c r="G60" s="66" t="s">
        <v>11</v>
      </c>
      <c r="H60" s="66" t="str">
        <f>TEXT(Data[[#This Row],[Buchung]],"MMM")</f>
        <v>Feb</v>
      </c>
      <c r="I60" s="67">
        <f>YEAR(Data[[#This Row],[Buchung]])</f>
        <v>2015</v>
      </c>
      <c r="J60" s="2">
        <f>ABS(Data[[#This Row],[Betrag]])</f>
        <v>70</v>
      </c>
      <c r="K60" s="66" t="str">
        <f>IF(Data[[#This Row],[Betrag]]&lt;0,"A","E")</f>
        <v>A</v>
      </c>
    </row>
    <row r="61" spans="1:11" x14ac:dyDescent="0.25">
      <c r="A61" s="1">
        <v>42064</v>
      </c>
      <c r="B61" s="66" t="s">
        <v>54</v>
      </c>
      <c r="C61" s="66" t="s">
        <v>55</v>
      </c>
      <c r="D61" t="s">
        <v>66</v>
      </c>
      <c r="E61">
        <v>-80</v>
      </c>
      <c r="F61" s="66" t="s">
        <v>7</v>
      </c>
      <c r="G61" s="66" t="s">
        <v>57</v>
      </c>
      <c r="H61" s="66" t="str">
        <f>TEXT(Data[[#This Row],[Buchung]],"MMM")</f>
        <v>Mrz</v>
      </c>
      <c r="I61" s="67">
        <f>YEAR(Data[[#This Row],[Buchung]])</f>
        <v>2015</v>
      </c>
      <c r="J61" s="2">
        <f>ABS(Data[[#This Row],[Betrag]])</f>
        <v>80</v>
      </c>
      <c r="K61" s="66" t="str">
        <f>IF(Data[[#This Row],[Betrag]]&lt;0,"A","E")</f>
        <v>A</v>
      </c>
    </row>
    <row r="62" spans="1:11" x14ac:dyDescent="0.25">
      <c r="A62" s="1">
        <v>42065</v>
      </c>
      <c r="B62" s="66" t="s">
        <v>67</v>
      </c>
      <c r="C62" s="66" t="s">
        <v>59</v>
      </c>
      <c r="D62" t="s">
        <v>68</v>
      </c>
      <c r="E62">
        <v>-25</v>
      </c>
      <c r="F62" s="66" t="s">
        <v>7</v>
      </c>
      <c r="G62" s="66" t="s">
        <v>10</v>
      </c>
      <c r="H62" s="66" t="str">
        <f>TEXT(Data[[#This Row],[Buchung]],"MMM")</f>
        <v>Mrz</v>
      </c>
      <c r="I62" s="67">
        <f>YEAR(Data[[#This Row],[Buchung]])</f>
        <v>2015</v>
      </c>
      <c r="J62" s="2">
        <f>ABS(Data[[#This Row],[Betrag]])</f>
        <v>25</v>
      </c>
      <c r="K62" s="66" t="str">
        <f>IF(Data[[#This Row],[Betrag]]&lt;0,"A","E")</f>
        <v>A</v>
      </c>
    </row>
    <row r="63" spans="1:11" x14ac:dyDescent="0.25">
      <c r="A63" s="1">
        <v>42066</v>
      </c>
      <c r="B63" s="66" t="s">
        <v>45</v>
      </c>
      <c r="C63" s="66" t="s">
        <v>46</v>
      </c>
      <c r="D63" t="s">
        <v>47</v>
      </c>
      <c r="E63">
        <v>1000</v>
      </c>
      <c r="F63" s="66" t="s">
        <v>7</v>
      </c>
      <c r="G63" s="66" t="s">
        <v>9</v>
      </c>
      <c r="H63" s="66" t="str">
        <f>TEXT(Data[[#This Row],[Buchung]],"MMM")</f>
        <v>Mrz</v>
      </c>
      <c r="I63" s="67">
        <f>YEAR(Data[[#This Row],[Buchung]])</f>
        <v>2015</v>
      </c>
      <c r="J63" s="2">
        <f>ABS(Data[[#This Row],[Betrag]])</f>
        <v>1000</v>
      </c>
      <c r="K63" s="66" t="str">
        <f>IF(Data[[#This Row],[Betrag]]&lt;0,"A","E")</f>
        <v>E</v>
      </c>
    </row>
    <row r="64" spans="1:11" x14ac:dyDescent="0.25">
      <c r="A64" s="1">
        <v>42067</v>
      </c>
      <c r="B64" s="66" t="s">
        <v>48</v>
      </c>
      <c r="C64" s="66" t="s">
        <v>49</v>
      </c>
      <c r="D64" t="s">
        <v>50</v>
      </c>
      <c r="E64">
        <v>-15</v>
      </c>
      <c r="F64" s="66" t="s">
        <v>7</v>
      </c>
      <c r="G64" s="66" t="s">
        <v>8</v>
      </c>
      <c r="H64" s="66" t="str">
        <f>TEXT(Data[[#This Row],[Buchung]],"MMM")</f>
        <v>Mrz</v>
      </c>
      <c r="I64" s="67">
        <f>YEAR(Data[[#This Row],[Buchung]])</f>
        <v>2015</v>
      </c>
      <c r="J64" s="2">
        <f>ABS(Data[[#This Row],[Betrag]])</f>
        <v>15</v>
      </c>
      <c r="K64" s="66" t="str">
        <f>IF(Data[[#This Row],[Betrag]]&lt;0,"A","E")</f>
        <v>A</v>
      </c>
    </row>
    <row r="65" spans="1:11" x14ac:dyDescent="0.25">
      <c r="A65" s="1">
        <v>42068</v>
      </c>
      <c r="B65" s="66" t="s">
        <v>51</v>
      </c>
      <c r="C65" s="66" t="s">
        <v>52</v>
      </c>
      <c r="D65" t="s">
        <v>53</v>
      </c>
      <c r="E65">
        <v>-350</v>
      </c>
      <c r="F65" s="66" t="s">
        <v>7</v>
      </c>
      <c r="G65" s="66" t="s">
        <v>11</v>
      </c>
      <c r="H65" s="66" t="str">
        <f>TEXT(Data[[#This Row],[Buchung]],"MMM")</f>
        <v>Mrz</v>
      </c>
      <c r="I65" s="67">
        <f>YEAR(Data[[#This Row],[Buchung]])</f>
        <v>2015</v>
      </c>
      <c r="J65" s="2">
        <f>ABS(Data[[#This Row],[Betrag]])</f>
        <v>350</v>
      </c>
      <c r="K65" s="66" t="str">
        <f>IF(Data[[#This Row],[Betrag]]&lt;0,"A","E")</f>
        <v>A</v>
      </c>
    </row>
    <row r="66" spans="1:11" x14ac:dyDescent="0.25">
      <c r="A66" s="1">
        <v>42069</v>
      </c>
      <c r="B66" s="66" t="s">
        <v>54</v>
      </c>
      <c r="C66" s="66" t="s">
        <v>55</v>
      </c>
      <c r="D66" t="s">
        <v>56</v>
      </c>
      <c r="E66">
        <v>-120</v>
      </c>
      <c r="F66" s="66" t="s">
        <v>7</v>
      </c>
      <c r="G66" s="66" t="s">
        <v>57</v>
      </c>
      <c r="H66" s="66" t="str">
        <f>TEXT(Data[[#This Row],[Buchung]],"MMM")</f>
        <v>Mrz</v>
      </c>
      <c r="I66" s="67">
        <f>YEAR(Data[[#This Row],[Buchung]])</f>
        <v>2015</v>
      </c>
      <c r="J66" s="2">
        <f>ABS(Data[[#This Row],[Betrag]])</f>
        <v>120</v>
      </c>
      <c r="K66" s="66" t="str">
        <f>IF(Data[[#This Row],[Betrag]]&lt;0,"A","E")</f>
        <v>A</v>
      </c>
    </row>
    <row r="67" spans="1:11" x14ac:dyDescent="0.25">
      <c r="A67" s="1">
        <v>42070</v>
      </c>
      <c r="B67" s="66" t="s">
        <v>58</v>
      </c>
      <c r="C67" s="66" t="s">
        <v>59</v>
      </c>
      <c r="D67" t="s">
        <v>60</v>
      </c>
      <c r="E67">
        <v>-70</v>
      </c>
      <c r="F67" s="66" t="s">
        <v>7</v>
      </c>
      <c r="G67" s="66" t="s">
        <v>10</v>
      </c>
      <c r="H67" s="66" t="str">
        <f>TEXT(Data[[#This Row],[Buchung]],"MMM")</f>
        <v>Mrz</v>
      </c>
      <c r="I67" s="67">
        <f>YEAR(Data[[#This Row],[Buchung]])</f>
        <v>2015</v>
      </c>
      <c r="J67" s="2">
        <f>ABS(Data[[#This Row],[Betrag]])</f>
        <v>70</v>
      </c>
      <c r="K67" s="66" t="str">
        <f>IF(Data[[#This Row],[Betrag]]&lt;0,"A","E")</f>
        <v>A</v>
      </c>
    </row>
    <row r="68" spans="1:11" x14ac:dyDescent="0.25">
      <c r="A68" s="1">
        <v>42071</v>
      </c>
      <c r="B68" s="66" t="s">
        <v>45</v>
      </c>
      <c r="C68" s="66" t="s">
        <v>46</v>
      </c>
      <c r="D68" t="s">
        <v>47</v>
      </c>
      <c r="E68">
        <v>1000</v>
      </c>
      <c r="F68" s="66" t="s">
        <v>7</v>
      </c>
      <c r="G68" s="66" t="s">
        <v>9</v>
      </c>
      <c r="H68" s="66" t="str">
        <f>TEXT(Data[[#This Row],[Buchung]],"MMM")</f>
        <v>Mrz</v>
      </c>
      <c r="I68" s="67">
        <f>YEAR(Data[[#This Row],[Buchung]])</f>
        <v>2015</v>
      </c>
      <c r="J68" s="2">
        <f>ABS(Data[[#This Row],[Betrag]])</f>
        <v>1000</v>
      </c>
      <c r="K68" s="66" t="str">
        <f>IF(Data[[#This Row],[Betrag]]&lt;0,"A","E")</f>
        <v>E</v>
      </c>
    </row>
    <row r="69" spans="1:11" x14ac:dyDescent="0.25">
      <c r="A69" s="1">
        <v>42072</v>
      </c>
      <c r="B69" s="66" t="s">
        <v>61</v>
      </c>
      <c r="C69" s="66" t="s">
        <v>49</v>
      </c>
      <c r="D69" t="s">
        <v>62</v>
      </c>
      <c r="E69">
        <v>-10</v>
      </c>
      <c r="F69" s="66" t="s">
        <v>7</v>
      </c>
      <c r="G69" s="66" t="s">
        <v>8</v>
      </c>
      <c r="H69" s="66" t="str">
        <f>TEXT(Data[[#This Row],[Buchung]],"MMM")</f>
        <v>Mrz</v>
      </c>
      <c r="I69" s="67">
        <f>YEAR(Data[[#This Row],[Buchung]])</f>
        <v>2015</v>
      </c>
      <c r="J69" s="2">
        <f>ABS(Data[[#This Row],[Betrag]])</f>
        <v>10</v>
      </c>
      <c r="K69" s="66" t="str">
        <f>IF(Data[[#This Row],[Betrag]]&lt;0,"A","E")</f>
        <v>A</v>
      </c>
    </row>
    <row r="70" spans="1:11" x14ac:dyDescent="0.25">
      <c r="A70" s="1">
        <v>42073</v>
      </c>
      <c r="B70" s="66" t="s">
        <v>63</v>
      </c>
      <c r="C70" s="66" t="s">
        <v>64</v>
      </c>
      <c r="D70" t="s">
        <v>65</v>
      </c>
      <c r="E70">
        <v>-60</v>
      </c>
      <c r="F70" s="66" t="s">
        <v>7</v>
      </c>
      <c r="G70" s="66" t="s">
        <v>11</v>
      </c>
      <c r="H70" s="66" t="str">
        <f>TEXT(Data[[#This Row],[Buchung]],"MMM")</f>
        <v>Mrz</v>
      </c>
      <c r="I70" s="67">
        <f>YEAR(Data[[#This Row],[Buchung]])</f>
        <v>2015</v>
      </c>
      <c r="J70" s="2">
        <f>ABS(Data[[#This Row],[Betrag]])</f>
        <v>60</v>
      </c>
      <c r="K70" s="66" t="str">
        <f>IF(Data[[#This Row],[Betrag]]&lt;0,"A","E")</f>
        <v>A</v>
      </c>
    </row>
    <row r="71" spans="1:11" x14ac:dyDescent="0.25">
      <c r="A71" s="1">
        <v>42074</v>
      </c>
      <c r="B71" s="66" t="s">
        <v>54</v>
      </c>
      <c r="C71" s="66" t="s">
        <v>55</v>
      </c>
      <c r="D71" t="s">
        <v>66</v>
      </c>
      <c r="E71">
        <v>-80</v>
      </c>
      <c r="F71" s="66" t="s">
        <v>7</v>
      </c>
      <c r="G71" s="66" t="s">
        <v>57</v>
      </c>
      <c r="H71" s="66" t="str">
        <f>TEXT(Data[[#This Row],[Buchung]],"MMM")</f>
        <v>Mrz</v>
      </c>
      <c r="I71" s="67">
        <f>YEAR(Data[[#This Row],[Buchung]])</f>
        <v>2015</v>
      </c>
      <c r="J71" s="2">
        <f>ABS(Data[[#This Row],[Betrag]])</f>
        <v>80</v>
      </c>
      <c r="K71" s="66" t="str">
        <f>IF(Data[[#This Row],[Betrag]]&lt;0,"A","E")</f>
        <v>A</v>
      </c>
    </row>
    <row r="72" spans="1:11" x14ac:dyDescent="0.25">
      <c r="A72" s="1">
        <v>42075</v>
      </c>
      <c r="B72" s="66" t="s">
        <v>67</v>
      </c>
      <c r="C72" s="66" t="s">
        <v>59</v>
      </c>
      <c r="D72" t="s">
        <v>68</v>
      </c>
      <c r="E72">
        <v>-30</v>
      </c>
      <c r="F72" s="66" t="s">
        <v>7</v>
      </c>
      <c r="G72" s="66" t="s">
        <v>10</v>
      </c>
      <c r="H72" s="66" t="str">
        <f>TEXT(Data[[#This Row],[Buchung]],"MMM")</f>
        <v>Mrz</v>
      </c>
      <c r="I72" s="67">
        <f>YEAR(Data[[#This Row],[Buchung]])</f>
        <v>2015</v>
      </c>
      <c r="J72" s="2">
        <f>ABS(Data[[#This Row],[Betrag]])</f>
        <v>30</v>
      </c>
      <c r="K72" s="66" t="str">
        <f>IF(Data[[#This Row],[Betrag]]&lt;0,"A","E")</f>
        <v>A</v>
      </c>
    </row>
    <row r="73" spans="1:11" x14ac:dyDescent="0.25">
      <c r="A73" s="1">
        <v>42076</v>
      </c>
      <c r="B73" s="66" t="s">
        <v>45</v>
      </c>
      <c r="C73" s="66" t="s">
        <v>46</v>
      </c>
      <c r="D73" t="s">
        <v>47</v>
      </c>
      <c r="E73">
        <v>1000</v>
      </c>
      <c r="F73" s="66" t="s">
        <v>7</v>
      </c>
      <c r="G73" s="66" t="s">
        <v>9</v>
      </c>
      <c r="H73" s="66" t="str">
        <f>TEXT(Data[[#This Row],[Buchung]],"MMM")</f>
        <v>Mrz</v>
      </c>
      <c r="I73" s="67">
        <f>YEAR(Data[[#This Row],[Buchung]])</f>
        <v>2015</v>
      </c>
      <c r="J73" s="2">
        <f>ABS(Data[[#This Row],[Betrag]])</f>
        <v>1000</v>
      </c>
      <c r="K73" s="66" t="str">
        <f>IF(Data[[#This Row],[Betrag]]&lt;0,"A","E")</f>
        <v>E</v>
      </c>
    </row>
    <row r="74" spans="1:11" x14ac:dyDescent="0.25">
      <c r="A74" s="1">
        <v>42077</v>
      </c>
      <c r="B74" s="66" t="s">
        <v>48</v>
      </c>
      <c r="C74" s="66" t="s">
        <v>49</v>
      </c>
      <c r="D74" t="s">
        <v>50</v>
      </c>
      <c r="E74">
        <v>-15</v>
      </c>
      <c r="F74" s="66" t="s">
        <v>7</v>
      </c>
      <c r="G74" s="66" t="s">
        <v>8</v>
      </c>
      <c r="H74" s="66" t="str">
        <f>TEXT(Data[[#This Row],[Buchung]],"MMM")</f>
        <v>Mrz</v>
      </c>
      <c r="I74" s="67">
        <f>YEAR(Data[[#This Row],[Buchung]])</f>
        <v>2015</v>
      </c>
      <c r="J74" s="2">
        <f>ABS(Data[[#This Row],[Betrag]])</f>
        <v>15</v>
      </c>
      <c r="K74" s="66" t="str">
        <f>IF(Data[[#This Row],[Betrag]]&lt;0,"A","E")</f>
        <v>A</v>
      </c>
    </row>
    <row r="75" spans="1:11" x14ac:dyDescent="0.25">
      <c r="A75" s="1">
        <v>42078</v>
      </c>
      <c r="B75" s="66" t="s">
        <v>51</v>
      </c>
      <c r="C75" s="66" t="s">
        <v>52</v>
      </c>
      <c r="D75" t="s">
        <v>53</v>
      </c>
      <c r="E75">
        <v>-350</v>
      </c>
      <c r="F75" s="66" t="s">
        <v>7</v>
      </c>
      <c r="G75" s="66" t="s">
        <v>11</v>
      </c>
      <c r="H75" s="66" t="str">
        <f>TEXT(Data[[#This Row],[Buchung]],"MMM")</f>
        <v>Mrz</v>
      </c>
      <c r="I75" s="67">
        <f>YEAR(Data[[#This Row],[Buchung]])</f>
        <v>2015</v>
      </c>
      <c r="J75" s="2">
        <f>ABS(Data[[#This Row],[Betrag]])</f>
        <v>350</v>
      </c>
      <c r="K75" s="66" t="str">
        <f>IF(Data[[#This Row],[Betrag]]&lt;0,"A","E")</f>
        <v>A</v>
      </c>
    </row>
    <row r="76" spans="1:11" x14ac:dyDescent="0.25">
      <c r="A76" s="1">
        <v>42079</v>
      </c>
      <c r="B76" s="66" t="s">
        <v>54</v>
      </c>
      <c r="C76" s="66" t="s">
        <v>55</v>
      </c>
      <c r="D76" t="s">
        <v>56</v>
      </c>
      <c r="E76">
        <v>-120</v>
      </c>
      <c r="F76" s="66" t="s">
        <v>7</v>
      </c>
      <c r="G76" s="66" t="s">
        <v>57</v>
      </c>
      <c r="H76" s="66" t="str">
        <f>TEXT(Data[[#This Row],[Buchung]],"MMM")</f>
        <v>Mrz</v>
      </c>
      <c r="I76" s="67">
        <f>YEAR(Data[[#This Row],[Buchung]])</f>
        <v>2015</v>
      </c>
      <c r="J76" s="2">
        <f>ABS(Data[[#This Row],[Betrag]])</f>
        <v>120</v>
      </c>
      <c r="K76" s="66" t="str">
        <f>IF(Data[[#This Row],[Betrag]]&lt;0,"A","E")</f>
        <v>A</v>
      </c>
    </row>
    <row r="77" spans="1:11" x14ac:dyDescent="0.25">
      <c r="A77" s="1">
        <v>42080</v>
      </c>
      <c r="B77" s="66" t="s">
        <v>58</v>
      </c>
      <c r="C77" s="66" t="s">
        <v>59</v>
      </c>
      <c r="D77" t="s">
        <v>60</v>
      </c>
      <c r="E77">
        <v>-80</v>
      </c>
      <c r="F77" s="66" t="s">
        <v>7</v>
      </c>
      <c r="G77" s="66" t="s">
        <v>10</v>
      </c>
      <c r="H77" s="66" t="str">
        <f>TEXT(Data[[#This Row],[Buchung]],"MMM")</f>
        <v>Mrz</v>
      </c>
      <c r="I77" s="67">
        <f>YEAR(Data[[#This Row],[Buchung]])</f>
        <v>2015</v>
      </c>
      <c r="J77" s="2">
        <f>ABS(Data[[#This Row],[Betrag]])</f>
        <v>80</v>
      </c>
      <c r="K77" s="66" t="str">
        <f>IF(Data[[#This Row],[Betrag]]&lt;0,"A","E")</f>
        <v>A</v>
      </c>
    </row>
    <row r="78" spans="1:11" x14ac:dyDescent="0.25">
      <c r="A78" s="1">
        <v>42081</v>
      </c>
      <c r="B78" s="66" t="s">
        <v>45</v>
      </c>
      <c r="C78" s="66" t="s">
        <v>46</v>
      </c>
      <c r="D78" t="s">
        <v>47</v>
      </c>
      <c r="E78">
        <v>1000</v>
      </c>
      <c r="F78" s="66" t="s">
        <v>7</v>
      </c>
      <c r="G78" s="66" t="s">
        <v>9</v>
      </c>
      <c r="H78" s="66" t="str">
        <f>TEXT(Data[[#This Row],[Buchung]],"MMM")</f>
        <v>Mrz</v>
      </c>
      <c r="I78" s="67">
        <f>YEAR(Data[[#This Row],[Buchung]])</f>
        <v>2015</v>
      </c>
      <c r="J78" s="2">
        <f>ABS(Data[[#This Row],[Betrag]])</f>
        <v>1000</v>
      </c>
      <c r="K78" s="66" t="str">
        <f>IF(Data[[#This Row],[Betrag]]&lt;0,"A","E")</f>
        <v>E</v>
      </c>
    </row>
    <row r="79" spans="1:11" x14ac:dyDescent="0.25">
      <c r="A79" s="1">
        <v>42082</v>
      </c>
      <c r="B79" s="66" t="s">
        <v>61</v>
      </c>
      <c r="C79" s="66" t="s">
        <v>49</v>
      </c>
      <c r="D79" t="s">
        <v>62</v>
      </c>
      <c r="E79">
        <v>-10</v>
      </c>
      <c r="F79" s="66" t="s">
        <v>7</v>
      </c>
      <c r="G79" s="66" t="s">
        <v>8</v>
      </c>
      <c r="H79" s="66" t="str">
        <f>TEXT(Data[[#This Row],[Buchung]],"MMM")</f>
        <v>Mrz</v>
      </c>
      <c r="I79" s="67">
        <f>YEAR(Data[[#This Row],[Buchung]])</f>
        <v>2015</v>
      </c>
      <c r="J79" s="2">
        <f>ABS(Data[[#This Row],[Betrag]])</f>
        <v>10</v>
      </c>
      <c r="K79" s="66" t="str">
        <f>IF(Data[[#This Row],[Betrag]]&lt;0,"A","E")</f>
        <v>A</v>
      </c>
    </row>
    <row r="80" spans="1:11" x14ac:dyDescent="0.25">
      <c r="A80" s="1">
        <v>42083</v>
      </c>
      <c r="B80" s="66" t="s">
        <v>63</v>
      </c>
      <c r="C80" s="66" t="s">
        <v>64</v>
      </c>
      <c r="D80" t="s">
        <v>65</v>
      </c>
      <c r="E80">
        <v>-65</v>
      </c>
      <c r="F80" s="66" t="s">
        <v>7</v>
      </c>
      <c r="G80" s="66" t="s">
        <v>11</v>
      </c>
      <c r="H80" s="66" t="str">
        <f>TEXT(Data[[#This Row],[Buchung]],"MMM")</f>
        <v>Mrz</v>
      </c>
      <c r="I80" s="67">
        <f>YEAR(Data[[#This Row],[Buchung]])</f>
        <v>2015</v>
      </c>
      <c r="J80" s="2">
        <f>ABS(Data[[#This Row],[Betrag]])</f>
        <v>65</v>
      </c>
      <c r="K80" s="66" t="str">
        <f>IF(Data[[#This Row],[Betrag]]&lt;0,"A","E")</f>
        <v>A</v>
      </c>
    </row>
    <row r="81" spans="1:11" x14ac:dyDescent="0.25">
      <c r="A81" s="1">
        <v>42084</v>
      </c>
      <c r="B81" s="66" t="s">
        <v>54</v>
      </c>
      <c r="C81" s="66" t="s">
        <v>55</v>
      </c>
      <c r="D81" t="s">
        <v>66</v>
      </c>
      <c r="E81">
        <v>-80</v>
      </c>
      <c r="F81" s="66" t="s">
        <v>7</v>
      </c>
      <c r="G81" s="66" t="s">
        <v>57</v>
      </c>
      <c r="H81" s="66" t="str">
        <f>TEXT(Data[[#This Row],[Buchung]],"MMM")</f>
        <v>Mrz</v>
      </c>
      <c r="I81" s="67">
        <f>YEAR(Data[[#This Row],[Buchung]])</f>
        <v>2015</v>
      </c>
      <c r="J81" s="2">
        <f>ABS(Data[[#This Row],[Betrag]])</f>
        <v>80</v>
      </c>
      <c r="K81" s="66" t="str">
        <f>IF(Data[[#This Row],[Betrag]]&lt;0,"A","E")</f>
        <v>A</v>
      </c>
    </row>
    <row r="82" spans="1:11" x14ac:dyDescent="0.25">
      <c r="A82" s="1">
        <v>42085</v>
      </c>
      <c r="B82" s="66" t="s">
        <v>67</v>
      </c>
      <c r="C82" s="66" t="s">
        <v>59</v>
      </c>
      <c r="D82" t="s">
        <v>68</v>
      </c>
      <c r="E82">
        <v>-35</v>
      </c>
      <c r="F82" s="66" t="s">
        <v>7</v>
      </c>
      <c r="G82" s="66" t="s">
        <v>10</v>
      </c>
      <c r="H82" s="66" t="str">
        <f>TEXT(Data[[#This Row],[Buchung]],"MMM")</f>
        <v>Mrz</v>
      </c>
      <c r="I82" s="67">
        <f>YEAR(Data[[#This Row],[Buchung]])</f>
        <v>2015</v>
      </c>
      <c r="J82" s="2">
        <f>ABS(Data[[#This Row],[Betrag]])</f>
        <v>35</v>
      </c>
      <c r="K82" s="66" t="str">
        <f>IF(Data[[#This Row],[Betrag]]&lt;0,"A","E")</f>
        <v>A</v>
      </c>
    </row>
    <row r="83" spans="1:11" x14ac:dyDescent="0.25">
      <c r="A83" s="1">
        <v>42086</v>
      </c>
      <c r="B83" s="66" t="s">
        <v>45</v>
      </c>
      <c r="C83" s="66" t="s">
        <v>46</v>
      </c>
      <c r="D83" t="s">
        <v>47</v>
      </c>
      <c r="E83">
        <v>1000</v>
      </c>
      <c r="F83" s="66" t="s">
        <v>7</v>
      </c>
      <c r="G83" s="66" t="s">
        <v>9</v>
      </c>
      <c r="H83" s="66" t="str">
        <f>TEXT(Data[[#This Row],[Buchung]],"MMM")</f>
        <v>Mrz</v>
      </c>
      <c r="I83" s="67">
        <f>YEAR(Data[[#This Row],[Buchung]])</f>
        <v>2015</v>
      </c>
      <c r="J83" s="2">
        <f>ABS(Data[[#This Row],[Betrag]])</f>
        <v>1000</v>
      </c>
      <c r="K83" s="66" t="str">
        <f>IF(Data[[#This Row],[Betrag]]&lt;0,"A","E")</f>
        <v>E</v>
      </c>
    </row>
    <row r="84" spans="1:11" x14ac:dyDescent="0.25">
      <c r="A84" s="1">
        <v>42087</v>
      </c>
      <c r="B84" s="66" t="s">
        <v>45</v>
      </c>
      <c r="C84" s="66" t="s">
        <v>46</v>
      </c>
      <c r="D84" t="s">
        <v>47</v>
      </c>
      <c r="E84">
        <v>1000</v>
      </c>
      <c r="F84" s="66" t="s">
        <v>7</v>
      </c>
      <c r="G84" s="66" t="s">
        <v>9</v>
      </c>
      <c r="H84" s="66" t="str">
        <f>TEXT(Data[[#This Row],[Buchung]],"MMM")</f>
        <v>Mrz</v>
      </c>
      <c r="I84" s="67">
        <f>YEAR(Data[[#This Row],[Buchung]])</f>
        <v>2015</v>
      </c>
      <c r="J84" s="2">
        <f>ABS(Data[[#This Row],[Betrag]])</f>
        <v>1000</v>
      </c>
      <c r="K84" s="66" t="str">
        <f>IF(Data[[#This Row],[Betrag]]&lt;0,"A","E")</f>
        <v>E</v>
      </c>
    </row>
    <row r="85" spans="1:11" x14ac:dyDescent="0.25">
      <c r="A85" s="1">
        <v>42088</v>
      </c>
      <c r="B85" s="66" t="s">
        <v>48</v>
      </c>
      <c r="C85" s="66" t="s">
        <v>49</v>
      </c>
      <c r="D85" t="s">
        <v>50</v>
      </c>
      <c r="E85">
        <v>-15</v>
      </c>
      <c r="F85" s="66" t="s">
        <v>7</v>
      </c>
      <c r="G85" s="66" t="s">
        <v>8</v>
      </c>
      <c r="H85" s="66" t="str">
        <f>TEXT(Data[[#This Row],[Buchung]],"MMM")</f>
        <v>Mrz</v>
      </c>
      <c r="I85" s="67">
        <f>YEAR(Data[[#This Row],[Buchung]])</f>
        <v>2015</v>
      </c>
      <c r="J85" s="2">
        <f>ABS(Data[[#This Row],[Betrag]])</f>
        <v>15</v>
      </c>
      <c r="K85" s="66" t="str">
        <f>IF(Data[[#This Row],[Betrag]]&lt;0,"A","E")</f>
        <v>A</v>
      </c>
    </row>
    <row r="86" spans="1:11" x14ac:dyDescent="0.25">
      <c r="A86" s="1">
        <v>42089</v>
      </c>
      <c r="B86" s="66" t="s">
        <v>51</v>
      </c>
      <c r="C86" s="66" t="s">
        <v>52</v>
      </c>
      <c r="D86" t="s">
        <v>53</v>
      </c>
      <c r="E86">
        <v>-350</v>
      </c>
      <c r="F86" s="66" t="s">
        <v>7</v>
      </c>
      <c r="G86" s="66" t="s">
        <v>11</v>
      </c>
      <c r="H86" s="66" t="str">
        <f>TEXT(Data[[#This Row],[Buchung]],"MMM")</f>
        <v>Mrz</v>
      </c>
      <c r="I86" s="67">
        <f>YEAR(Data[[#This Row],[Buchung]])</f>
        <v>2015</v>
      </c>
      <c r="J86" s="2">
        <f>ABS(Data[[#This Row],[Betrag]])</f>
        <v>350</v>
      </c>
      <c r="K86" s="66" t="str">
        <f>IF(Data[[#This Row],[Betrag]]&lt;0,"A","E")</f>
        <v>A</v>
      </c>
    </row>
    <row r="87" spans="1:11" x14ac:dyDescent="0.25">
      <c r="A87" s="1">
        <v>42090</v>
      </c>
      <c r="B87" s="66" t="s">
        <v>54</v>
      </c>
      <c r="C87" s="66" t="s">
        <v>55</v>
      </c>
      <c r="D87" t="s">
        <v>56</v>
      </c>
      <c r="E87">
        <v>-120</v>
      </c>
      <c r="F87" s="66" t="s">
        <v>7</v>
      </c>
      <c r="G87" s="66" t="s">
        <v>57</v>
      </c>
      <c r="H87" s="66" t="str">
        <f>TEXT(Data[[#This Row],[Buchung]],"MMM")</f>
        <v>Mrz</v>
      </c>
      <c r="I87" s="67">
        <f>YEAR(Data[[#This Row],[Buchung]])</f>
        <v>2015</v>
      </c>
      <c r="J87" s="2">
        <f>ABS(Data[[#This Row],[Betrag]])</f>
        <v>120</v>
      </c>
      <c r="K87" s="66" t="str">
        <f>IF(Data[[#This Row],[Betrag]]&lt;0,"A","E")</f>
        <v>A</v>
      </c>
    </row>
    <row r="88" spans="1:11" x14ac:dyDescent="0.25">
      <c r="A88" s="1">
        <v>42091</v>
      </c>
      <c r="B88" s="66" t="s">
        <v>58</v>
      </c>
      <c r="C88" s="66" t="s">
        <v>59</v>
      </c>
      <c r="D88" t="s">
        <v>60</v>
      </c>
      <c r="E88">
        <v>-50</v>
      </c>
      <c r="F88" s="66" t="s">
        <v>7</v>
      </c>
      <c r="G88" s="66" t="s">
        <v>10</v>
      </c>
      <c r="H88" s="66" t="str">
        <f>TEXT(Data[[#This Row],[Buchung]],"MMM")</f>
        <v>Mrz</v>
      </c>
      <c r="I88" s="67">
        <f>YEAR(Data[[#This Row],[Buchung]])</f>
        <v>2015</v>
      </c>
      <c r="J88" s="2">
        <f>ABS(Data[[#This Row],[Betrag]])</f>
        <v>50</v>
      </c>
      <c r="K88" s="66" t="str">
        <f>IF(Data[[#This Row],[Betrag]]&lt;0,"A","E")</f>
        <v>A</v>
      </c>
    </row>
    <row r="89" spans="1:11" x14ac:dyDescent="0.25">
      <c r="A89" s="1">
        <v>42092</v>
      </c>
      <c r="B89" s="66" t="s">
        <v>45</v>
      </c>
      <c r="C89" s="66" t="s">
        <v>46</v>
      </c>
      <c r="D89" t="s">
        <v>47</v>
      </c>
      <c r="E89">
        <v>1000</v>
      </c>
      <c r="F89" s="66" t="s">
        <v>7</v>
      </c>
      <c r="G89" s="66" t="s">
        <v>9</v>
      </c>
      <c r="H89" s="66" t="str">
        <f>TEXT(Data[[#This Row],[Buchung]],"MMM")</f>
        <v>Mrz</v>
      </c>
      <c r="I89" s="67">
        <f>YEAR(Data[[#This Row],[Buchung]])</f>
        <v>2015</v>
      </c>
      <c r="J89" s="2">
        <f>ABS(Data[[#This Row],[Betrag]])</f>
        <v>1000</v>
      </c>
      <c r="K89" s="66" t="str">
        <f>IF(Data[[#This Row],[Betrag]]&lt;0,"A","E")</f>
        <v>E</v>
      </c>
    </row>
    <row r="90" spans="1:11" x14ac:dyDescent="0.25">
      <c r="A90" s="1">
        <v>42093</v>
      </c>
      <c r="B90" s="66" t="s">
        <v>61</v>
      </c>
      <c r="C90" s="66" t="s">
        <v>49</v>
      </c>
      <c r="D90" t="s">
        <v>62</v>
      </c>
      <c r="E90">
        <v>-10</v>
      </c>
      <c r="F90" s="66" t="s">
        <v>7</v>
      </c>
      <c r="G90" s="66" t="s">
        <v>8</v>
      </c>
      <c r="H90" s="66" t="str">
        <f>TEXT(Data[[#This Row],[Buchung]],"MMM")</f>
        <v>Mrz</v>
      </c>
      <c r="I90" s="67">
        <f>YEAR(Data[[#This Row],[Buchung]])</f>
        <v>2015</v>
      </c>
      <c r="J90" s="2">
        <f>ABS(Data[[#This Row],[Betrag]])</f>
        <v>10</v>
      </c>
      <c r="K90" s="66" t="str">
        <f>IF(Data[[#This Row],[Betrag]]&lt;0,"A","E")</f>
        <v>A</v>
      </c>
    </row>
    <row r="91" spans="1:11" x14ac:dyDescent="0.25">
      <c r="A91" s="1">
        <v>42094</v>
      </c>
      <c r="B91" s="66" t="s">
        <v>63</v>
      </c>
      <c r="C91" s="66" t="s">
        <v>64</v>
      </c>
      <c r="D91" t="s">
        <v>65</v>
      </c>
      <c r="E91">
        <v>-60</v>
      </c>
      <c r="F91" s="66" t="s">
        <v>7</v>
      </c>
      <c r="G91" s="66" t="s">
        <v>11</v>
      </c>
      <c r="H91" s="66" t="str">
        <f>TEXT(Data[[#This Row],[Buchung]],"MMM")</f>
        <v>Mrz</v>
      </c>
      <c r="I91" s="67">
        <f>YEAR(Data[[#This Row],[Buchung]])</f>
        <v>2015</v>
      </c>
      <c r="J91" s="2">
        <f>ABS(Data[[#This Row],[Betrag]])</f>
        <v>60</v>
      </c>
      <c r="K91" s="66" t="str">
        <f>IF(Data[[#This Row],[Betrag]]&lt;0,"A","E")</f>
        <v>A</v>
      </c>
    </row>
    <row r="92" spans="1:11" x14ac:dyDescent="0.25">
      <c r="A92" s="1">
        <v>42095</v>
      </c>
      <c r="B92" s="66" t="s">
        <v>54</v>
      </c>
      <c r="C92" s="66" t="s">
        <v>55</v>
      </c>
      <c r="D92" t="s">
        <v>66</v>
      </c>
      <c r="E92">
        <v>-80</v>
      </c>
      <c r="F92" s="66" t="s">
        <v>7</v>
      </c>
      <c r="G92" s="66" t="s">
        <v>57</v>
      </c>
      <c r="H92" s="66" t="str">
        <f>TEXT(Data[[#This Row],[Buchung]],"MMM")</f>
        <v>Apr</v>
      </c>
      <c r="I92" s="67">
        <f>YEAR(Data[[#This Row],[Buchung]])</f>
        <v>2015</v>
      </c>
      <c r="J92" s="2">
        <f>ABS(Data[[#This Row],[Betrag]])</f>
        <v>80</v>
      </c>
      <c r="K92" s="66" t="str">
        <f>IF(Data[[#This Row],[Betrag]]&lt;0,"A","E")</f>
        <v>A</v>
      </c>
    </row>
    <row r="93" spans="1:11" x14ac:dyDescent="0.25">
      <c r="A93" s="1">
        <v>42096</v>
      </c>
      <c r="B93" s="66" t="s">
        <v>67</v>
      </c>
      <c r="C93" s="66" t="s">
        <v>59</v>
      </c>
      <c r="D93" t="s">
        <v>68</v>
      </c>
      <c r="E93">
        <v>-20</v>
      </c>
      <c r="F93" s="66" t="s">
        <v>7</v>
      </c>
      <c r="G93" s="66" t="s">
        <v>10</v>
      </c>
      <c r="H93" s="66" t="str">
        <f>TEXT(Data[[#This Row],[Buchung]],"MMM")</f>
        <v>Apr</v>
      </c>
      <c r="I93" s="67">
        <f>YEAR(Data[[#This Row],[Buchung]])</f>
        <v>2015</v>
      </c>
      <c r="J93" s="2">
        <f>ABS(Data[[#This Row],[Betrag]])</f>
        <v>20</v>
      </c>
      <c r="K93" s="66" t="str">
        <f>IF(Data[[#This Row],[Betrag]]&lt;0,"A","E")</f>
        <v>A</v>
      </c>
    </row>
    <row r="94" spans="1:11" x14ac:dyDescent="0.25">
      <c r="A94" s="1">
        <v>42097</v>
      </c>
      <c r="B94" s="66" t="s">
        <v>45</v>
      </c>
      <c r="C94" s="66" t="s">
        <v>46</v>
      </c>
      <c r="D94" t="s">
        <v>47</v>
      </c>
      <c r="E94">
        <v>1000</v>
      </c>
      <c r="F94" s="66" t="s">
        <v>7</v>
      </c>
      <c r="G94" s="66" t="s">
        <v>9</v>
      </c>
      <c r="H94" s="66" t="str">
        <f>TEXT(Data[[#This Row],[Buchung]],"MMM")</f>
        <v>Apr</v>
      </c>
      <c r="I94" s="67">
        <f>YEAR(Data[[#This Row],[Buchung]])</f>
        <v>2015</v>
      </c>
      <c r="J94" s="2">
        <f>ABS(Data[[#This Row],[Betrag]])</f>
        <v>1000</v>
      </c>
      <c r="K94" s="66" t="str">
        <f>IF(Data[[#This Row],[Betrag]]&lt;0,"A","E")</f>
        <v>E</v>
      </c>
    </row>
    <row r="95" spans="1:11" x14ac:dyDescent="0.25">
      <c r="A95" s="1">
        <v>42098</v>
      </c>
      <c r="B95" s="66" t="s">
        <v>48</v>
      </c>
      <c r="C95" s="66" t="s">
        <v>49</v>
      </c>
      <c r="D95" t="s">
        <v>50</v>
      </c>
      <c r="E95">
        <v>-15</v>
      </c>
      <c r="F95" s="66" t="s">
        <v>7</v>
      </c>
      <c r="G95" s="66" t="s">
        <v>8</v>
      </c>
      <c r="H95" s="66" t="str">
        <f>TEXT(Data[[#This Row],[Buchung]],"MMM")</f>
        <v>Apr</v>
      </c>
      <c r="I95" s="67">
        <f>YEAR(Data[[#This Row],[Buchung]])</f>
        <v>2015</v>
      </c>
      <c r="J95" s="2">
        <f>ABS(Data[[#This Row],[Betrag]])</f>
        <v>15</v>
      </c>
      <c r="K95" s="66" t="str">
        <f>IF(Data[[#This Row],[Betrag]]&lt;0,"A","E")</f>
        <v>A</v>
      </c>
    </row>
    <row r="96" spans="1:11" x14ac:dyDescent="0.25">
      <c r="A96" s="1">
        <v>42099</v>
      </c>
      <c r="B96" s="66" t="s">
        <v>51</v>
      </c>
      <c r="C96" s="66" t="s">
        <v>52</v>
      </c>
      <c r="D96" t="s">
        <v>53</v>
      </c>
      <c r="E96">
        <v>-350</v>
      </c>
      <c r="F96" s="66" t="s">
        <v>7</v>
      </c>
      <c r="G96" s="66" t="s">
        <v>11</v>
      </c>
      <c r="H96" s="66" t="str">
        <f>TEXT(Data[[#This Row],[Buchung]],"MMM")</f>
        <v>Apr</v>
      </c>
      <c r="I96" s="67">
        <f>YEAR(Data[[#This Row],[Buchung]])</f>
        <v>2015</v>
      </c>
      <c r="J96" s="2">
        <f>ABS(Data[[#This Row],[Betrag]])</f>
        <v>350</v>
      </c>
      <c r="K96" s="66" t="str">
        <f>IF(Data[[#This Row],[Betrag]]&lt;0,"A","E")</f>
        <v>A</v>
      </c>
    </row>
    <row r="97" spans="1:11" x14ac:dyDescent="0.25">
      <c r="A97" s="1">
        <v>42100</v>
      </c>
      <c r="B97" s="66" t="s">
        <v>54</v>
      </c>
      <c r="C97" s="66" t="s">
        <v>55</v>
      </c>
      <c r="D97" t="s">
        <v>56</v>
      </c>
      <c r="E97">
        <v>-120</v>
      </c>
      <c r="F97" s="66" t="s">
        <v>7</v>
      </c>
      <c r="G97" s="66" t="s">
        <v>57</v>
      </c>
      <c r="H97" s="66" t="str">
        <f>TEXT(Data[[#This Row],[Buchung]],"MMM")</f>
        <v>Apr</v>
      </c>
      <c r="I97" s="67">
        <f>YEAR(Data[[#This Row],[Buchung]])</f>
        <v>2015</v>
      </c>
      <c r="J97" s="2">
        <f>ABS(Data[[#This Row],[Betrag]])</f>
        <v>120</v>
      </c>
      <c r="K97" s="66" t="str">
        <f>IF(Data[[#This Row],[Betrag]]&lt;0,"A","E")</f>
        <v>A</v>
      </c>
    </row>
    <row r="98" spans="1:11" x14ac:dyDescent="0.25">
      <c r="A98" s="1">
        <v>42101</v>
      </c>
      <c r="B98" s="66" t="s">
        <v>58</v>
      </c>
      <c r="C98" s="66" t="s">
        <v>59</v>
      </c>
      <c r="D98" t="s">
        <v>60</v>
      </c>
      <c r="E98">
        <v>-60</v>
      </c>
      <c r="F98" s="66" t="s">
        <v>7</v>
      </c>
      <c r="G98" s="66" t="s">
        <v>10</v>
      </c>
      <c r="H98" s="66" t="str">
        <f>TEXT(Data[[#This Row],[Buchung]],"MMM")</f>
        <v>Apr</v>
      </c>
      <c r="I98" s="67">
        <f>YEAR(Data[[#This Row],[Buchung]])</f>
        <v>2015</v>
      </c>
      <c r="J98" s="2">
        <f>ABS(Data[[#This Row],[Betrag]])</f>
        <v>60</v>
      </c>
      <c r="K98" s="66" t="str">
        <f>IF(Data[[#This Row],[Betrag]]&lt;0,"A","E")</f>
        <v>A</v>
      </c>
    </row>
    <row r="99" spans="1:11" x14ac:dyDescent="0.25">
      <c r="A99" s="1">
        <v>42102</v>
      </c>
      <c r="B99" s="66" t="s">
        <v>45</v>
      </c>
      <c r="C99" s="66" t="s">
        <v>46</v>
      </c>
      <c r="D99" t="s">
        <v>47</v>
      </c>
      <c r="E99">
        <v>1000</v>
      </c>
      <c r="F99" s="66" t="s">
        <v>7</v>
      </c>
      <c r="G99" s="66" t="s">
        <v>9</v>
      </c>
      <c r="H99" s="66" t="str">
        <f>TEXT(Data[[#This Row],[Buchung]],"MMM")</f>
        <v>Apr</v>
      </c>
      <c r="I99" s="67">
        <f>YEAR(Data[[#This Row],[Buchung]])</f>
        <v>2015</v>
      </c>
      <c r="J99" s="2">
        <f>ABS(Data[[#This Row],[Betrag]])</f>
        <v>1000</v>
      </c>
      <c r="K99" s="66" t="str">
        <f>IF(Data[[#This Row],[Betrag]]&lt;0,"A","E")</f>
        <v>E</v>
      </c>
    </row>
    <row r="100" spans="1:11" x14ac:dyDescent="0.25">
      <c r="A100" s="1">
        <v>42103</v>
      </c>
      <c r="B100" s="66" t="s">
        <v>61</v>
      </c>
      <c r="C100" s="66" t="s">
        <v>49</v>
      </c>
      <c r="D100" t="s">
        <v>62</v>
      </c>
      <c r="E100">
        <v>-10</v>
      </c>
      <c r="F100" s="66" t="s">
        <v>7</v>
      </c>
      <c r="G100" s="66" t="s">
        <v>8</v>
      </c>
      <c r="H100" s="66" t="str">
        <f>TEXT(Data[[#This Row],[Buchung]],"MMM")</f>
        <v>Apr</v>
      </c>
      <c r="I100" s="67">
        <f>YEAR(Data[[#This Row],[Buchung]])</f>
        <v>2015</v>
      </c>
      <c r="J100" s="2">
        <f>ABS(Data[[#This Row],[Betrag]])</f>
        <v>10</v>
      </c>
      <c r="K100" s="66" t="str">
        <f>IF(Data[[#This Row],[Betrag]]&lt;0,"A","E")</f>
        <v>A</v>
      </c>
    </row>
    <row r="101" spans="1:11" x14ac:dyDescent="0.25">
      <c r="A101" s="1">
        <v>42104</v>
      </c>
      <c r="B101" s="66" t="s">
        <v>63</v>
      </c>
      <c r="C101" s="66" t="s">
        <v>64</v>
      </c>
      <c r="D101" t="s">
        <v>65</v>
      </c>
      <c r="E101">
        <v>-70</v>
      </c>
      <c r="F101" s="66" t="s">
        <v>7</v>
      </c>
      <c r="G101" s="66" t="s">
        <v>11</v>
      </c>
      <c r="H101" s="66" t="str">
        <f>TEXT(Data[[#This Row],[Buchung]],"MMM")</f>
        <v>Apr</v>
      </c>
      <c r="I101" s="67">
        <f>YEAR(Data[[#This Row],[Buchung]])</f>
        <v>2015</v>
      </c>
      <c r="J101" s="2">
        <f>ABS(Data[[#This Row],[Betrag]])</f>
        <v>70</v>
      </c>
      <c r="K101" s="66" t="str">
        <f>IF(Data[[#This Row],[Betrag]]&lt;0,"A","E")</f>
        <v>A</v>
      </c>
    </row>
    <row r="102" spans="1:11" x14ac:dyDescent="0.25">
      <c r="A102" s="1">
        <v>42105</v>
      </c>
      <c r="B102" s="66" t="s">
        <v>54</v>
      </c>
      <c r="C102" s="66" t="s">
        <v>55</v>
      </c>
      <c r="D102" t="s">
        <v>66</v>
      </c>
      <c r="E102">
        <v>-80</v>
      </c>
      <c r="F102" s="66" t="s">
        <v>7</v>
      </c>
      <c r="G102" s="66" t="s">
        <v>57</v>
      </c>
      <c r="H102" s="66" t="str">
        <f>TEXT(Data[[#This Row],[Buchung]],"MMM")</f>
        <v>Apr</v>
      </c>
      <c r="I102" s="67">
        <f>YEAR(Data[[#This Row],[Buchung]])</f>
        <v>2015</v>
      </c>
      <c r="J102" s="2">
        <f>ABS(Data[[#This Row],[Betrag]])</f>
        <v>80</v>
      </c>
      <c r="K102" s="66" t="str">
        <f>IF(Data[[#This Row],[Betrag]]&lt;0,"A","E")</f>
        <v>A</v>
      </c>
    </row>
    <row r="103" spans="1:11" x14ac:dyDescent="0.25">
      <c r="A103" s="1">
        <v>42106</v>
      </c>
      <c r="B103" s="66" t="s">
        <v>67</v>
      </c>
      <c r="C103" s="66" t="s">
        <v>59</v>
      </c>
      <c r="D103" t="s">
        <v>68</v>
      </c>
      <c r="E103">
        <v>-25</v>
      </c>
      <c r="F103" s="66" t="s">
        <v>7</v>
      </c>
      <c r="G103" s="66" t="s">
        <v>10</v>
      </c>
      <c r="H103" s="66" t="str">
        <f>TEXT(Data[[#This Row],[Buchung]],"MMM")</f>
        <v>Apr</v>
      </c>
      <c r="I103" s="67">
        <f>YEAR(Data[[#This Row],[Buchung]])</f>
        <v>2015</v>
      </c>
      <c r="J103" s="2">
        <f>ABS(Data[[#This Row],[Betrag]])</f>
        <v>25</v>
      </c>
      <c r="K103" s="66" t="str">
        <f>IF(Data[[#This Row],[Betrag]]&lt;0,"A","E")</f>
        <v>A</v>
      </c>
    </row>
    <row r="104" spans="1:11" x14ac:dyDescent="0.25">
      <c r="A104" s="1">
        <v>42107</v>
      </c>
      <c r="B104" s="66" t="s">
        <v>45</v>
      </c>
      <c r="C104" s="66" t="s">
        <v>46</v>
      </c>
      <c r="D104" t="s">
        <v>47</v>
      </c>
      <c r="E104">
        <v>1000</v>
      </c>
      <c r="F104" s="66" t="s">
        <v>7</v>
      </c>
      <c r="G104" s="66" t="s">
        <v>9</v>
      </c>
      <c r="H104" s="66" t="str">
        <f>TEXT(Data[[#This Row],[Buchung]],"MMM")</f>
        <v>Apr</v>
      </c>
      <c r="I104" s="67">
        <f>YEAR(Data[[#This Row],[Buchung]])</f>
        <v>2015</v>
      </c>
      <c r="J104" s="2">
        <f>ABS(Data[[#This Row],[Betrag]])</f>
        <v>1000</v>
      </c>
      <c r="K104" s="66" t="str">
        <f>IF(Data[[#This Row],[Betrag]]&lt;0,"A","E")</f>
        <v>E</v>
      </c>
    </row>
    <row r="105" spans="1:11" x14ac:dyDescent="0.25">
      <c r="A105" s="1">
        <v>42108</v>
      </c>
      <c r="B105" s="66" t="s">
        <v>48</v>
      </c>
      <c r="C105" s="66" t="s">
        <v>49</v>
      </c>
      <c r="D105" t="s">
        <v>50</v>
      </c>
      <c r="E105">
        <v>-15</v>
      </c>
      <c r="F105" s="66" t="s">
        <v>7</v>
      </c>
      <c r="G105" s="66" t="s">
        <v>8</v>
      </c>
      <c r="H105" s="66" t="str">
        <f>TEXT(Data[[#This Row],[Buchung]],"MMM")</f>
        <v>Apr</v>
      </c>
      <c r="I105" s="67">
        <f>YEAR(Data[[#This Row],[Buchung]])</f>
        <v>2015</v>
      </c>
      <c r="J105" s="2">
        <f>ABS(Data[[#This Row],[Betrag]])</f>
        <v>15</v>
      </c>
      <c r="K105" s="66" t="str">
        <f>IF(Data[[#This Row],[Betrag]]&lt;0,"A","E")</f>
        <v>A</v>
      </c>
    </row>
    <row r="106" spans="1:11" x14ac:dyDescent="0.25">
      <c r="A106" s="1">
        <v>42109</v>
      </c>
      <c r="B106" s="66" t="s">
        <v>51</v>
      </c>
      <c r="C106" s="66" t="s">
        <v>52</v>
      </c>
      <c r="D106" t="s">
        <v>53</v>
      </c>
      <c r="E106">
        <v>-350</v>
      </c>
      <c r="F106" s="66" t="s">
        <v>7</v>
      </c>
      <c r="G106" s="66" t="s">
        <v>11</v>
      </c>
      <c r="H106" s="66" t="str">
        <f>TEXT(Data[[#This Row],[Buchung]],"MMM")</f>
        <v>Apr</v>
      </c>
      <c r="I106" s="67">
        <f>YEAR(Data[[#This Row],[Buchung]])</f>
        <v>2015</v>
      </c>
      <c r="J106" s="2">
        <f>ABS(Data[[#This Row],[Betrag]])</f>
        <v>350</v>
      </c>
      <c r="K106" s="66" t="str">
        <f>IF(Data[[#This Row],[Betrag]]&lt;0,"A","E")</f>
        <v>A</v>
      </c>
    </row>
    <row r="107" spans="1:11" x14ac:dyDescent="0.25">
      <c r="A107" s="1">
        <v>42110</v>
      </c>
      <c r="B107" s="66" t="s">
        <v>54</v>
      </c>
      <c r="C107" s="66" t="s">
        <v>55</v>
      </c>
      <c r="D107" t="s">
        <v>56</v>
      </c>
      <c r="E107">
        <v>-120</v>
      </c>
      <c r="F107" s="66" t="s">
        <v>7</v>
      </c>
      <c r="G107" s="66" t="s">
        <v>57</v>
      </c>
      <c r="H107" s="66" t="str">
        <f>TEXT(Data[[#This Row],[Buchung]],"MMM")</f>
        <v>Apr</v>
      </c>
      <c r="I107" s="67">
        <f>YEAR(Data[[#This Row],[Buchung]])</f>
        <v>2015</v>
      </c>
      <c r="J107" s="2">
        <f>ABS(Data[[#This Row],[Betrag]])</f>
        <v>120</v>
      </c>
      <c r="K107" s="66" t="str">
        <f>IF(Data[[#This Row],[Betrag]]&lt;0,"A","E")</f>
        <v>A</v>
      </c>
    </row>
    <row r="108" spans="1:11" x14ac:dyDescent="0.25">
      <c r="A108" s="1">
        <v>42111</v>
      </c>
      <c r="B108" s="66" t="s">
        <v>58</v>
      </c>
      <c r="C108" s="66" t="s">
        <v>59</v>
      </c>
      <c r="D108" t="s">
        <v>60</v>
      </c>
      <c r="E108">
        <v>-70</v>
      </c>
      <c r="F108" s="66" t="s">
        <v>7</v>
      </c>
      <c r="G108" s="66" t="s">
        <v>10</v>
      </c>
      <c r="H108" s="66" t="str">
        <f>TEXT(Data[[#This Row],[Buchung]],"MMM")</f>
        <v>Apr</v>
      </c>
      <c r="I108" s="67">
        <f>YEAR(Data[[#This Row],[Buchung]])</f>
        <v>2015</v>
      </c>
      <c r="J108" s="2">
        <f>ABS(Data[[#This Row],[Betrag]])</f>
        <v>70</v>
      </c>
      <c r="K108" s="66" t="str">
        <f>IF(Data[[#This Row],[Betrag]]&lt;0,"A","E")</f>
        <v>A</v>
      </c>
    </row>
    <row r="109" spans="1:11" x14ac:dyDescent="0.25">
      <c r="A109" s="1">
        <v>42112</v>
      </c>
      <c r="B109" s="66" t="s">
        <v>45</v>
      </c>
      <c r="C109" s="66" t="s">
        <v>46</v>
      </c>
      <c r="D109" t="s">
        <v>47</v>
      </c>
      <c r="E109">
        <v>1000</v>
      </c>
      <c r="F109" s="66" t="s">
        <v>7</v>
      </c>
      <c r="G109" s="66" t="s">
        <v>9</v>
      </c>
      <c r="H109" s="66" t="str">
        <f>TEXT(Data[[#This Row],[Buchung]],"MMM")</f>
        <v>Apr</v>
      </c>
      <c r="I109" s="67">
        <f>YEAR(Data[[#This Row],[Buchung]])</f>
        <v>2015</v>
      </c>
      <c r="J109" s="2">
        <f>ABS(Data[[#This Row],[Betrag]])</f>
        <v>1000</v>
      </c>
      <c r="K109" s="66" t="str">
        <f>IF(Data[[#This Row],[Betrag]]&lt;0,"A","E")</f>
        <v>E</v>
      </c>
    </row>
    <row r="110" spans="1:11" x14ac:dyDescent="0.25">
      <c r="A110" s="1">
        <v>42113</v>
      </c>
      <c r="B110" s="66" t="s">
        <v>61</v>
      </c>
      <c r="C110" s="66" t="s">
        <v>49</v>
      </c>
      <c r="D110" t="s">
        <v>62</v>
      </c>
      <c r="E110">
        <v>-10</v>
      </c>
      <c r="F110" s="66" t="s">
        <v>7</v>
      </c>
      <c r="G110" s="66" t="s">
        <v>8</v>
      </c>
      <c r="H110" s="66" t="str">
        <f>TEXT(Data[[#This Row],[Buchung]],"MMM")</f>
        <v>Apr</v>
      </c>
      <c r="I110" s="67">
        <f>YEAR(Data[[#This Row],[Buchung]])</f>
        <v>2015</v>
      </c>
      <c r="J110" s="2">
        <f>ABS(Data[[#This Row],[Betrag]])</f>
        <v>10</v>
      </c>
      <c r="K110" s="66" t="str">
        <f>IF(Data[[#This Row],[Betrag]]&lt;0,"A","E")</f>
        <v>A</v>
      </c>
    </row>
    <row r="111" spans="1:11" x14ac:dyDescent="0.25">
      <c r="A111" s="1">
        <v>42114</v>
      </c>
      <c r="B111" s="66" t="s">
        <v>63</v>
      </c>
      <c r="C111" s="66" t="s">
        <v>64</v>
      </c>
      <c r="D111" t="s">
        <v>65</v>
      </c>
      <c r="E111">
        <v>-60</v>
      </c>
      <c r="F111" s="66" t="s">
        <v>7</v>
      </c>
      <c r="G111" s="66" t="s">
        <v>11</v>
      </c>
      <c r="H111" s="66" t="str">
        <f>TEXT(Data[[#This Row],[Buchung]],"MMM")</f>
        <v>Apr</v>
      </c>
      <c r="I111" s="67">
        <f>YEAR(Data[[#This Row],[Buchung]])</f>
        <v>2015</v>
      </c>
      <c r="J111" s="2">
        <f>ABS(Data[[#This Row],[Betrag]])</f>
        <v>60</v>
      </c>
      <c r="K111" s="66" t="str">
        <f>IF(Data[[#This Row],[Betrag]]&lt;0,"A","E")</f>
        <v>A</v>
      </c>
    </row>
    <row r="112" spans="1:11" x14ac:dyDescent="0.25">
      <c r="A112" s="1">
        <v>42115</v>
      </c>
      <c r="B112" s="66" t="s">
        <v>54</v>
      </c>
      <c r="C112" s="66" t="s">
        <v>55</v>
      </c>
      <c r="D112" t="s">
        <v>66</v>
      </c>
      <c r="E112">
        <v>-80</v>
      </c>
      <c r="F112" s="66" t="s">
        <v>7</v>
      </c>
      <c r="G112" s="66" t="s">
        <v>57</v>
      </c>
      <c r="H112" s="66" t="str">
        <f>TEXT(Data[[#This Row],[Buchung]],"MMM")</f>
        <v>Apr</v>
      </c>
      <c r="I112" s="67">
        <f>YEAR(Data[[#This Row],[Buchung]])</f>
        <v>2015</v>
      </c>
      <c r="J112" s="2">
        <f>ABS(Data[[#This Row],[Betrag]])</f>
        <v>80</v>
      </c>
      <c r="K112" s="66" t="str">
        <f>IF(Data[[#This Row],[Betrag]]&lt;0,"A","E")</f>
        <v>A</v>
      </c>
    </row>
    <row r="113" spans="1:11" x14ac:dyDescent="0.25">
      <c r="A113" s="1">
        <v>42116</v>
      </c>
      <c r="B113" s="66" t="s">
        <v>67</v>
      </c>
      <c r="C113" s="66" t="s">
        <v>59</v>
      </c>
      <c r="D113" t="s">
        <v>68</v>
      </c>
      <c r="E113">
        <v>-30</v>
      </c>
      <c r="F113" s="66" t="s">
        <v>7</v>
      </c>
      <c r="G113" s="66" t="s">
        <v>10</v>
      </c>
      <c r="H113" s="66" t="str">
        <f>TEXT(Data[[#This Row],[Buchung]],"MMM")</f>
        <v>Apr</v>
      </c>
      <c r="I113" s="67">
        <f>YEAR(Data[[#This Row],[Buchung]])</f>
        <v>2015</v>
      </c>
      <c r="J113" s="2">
        <f>ABS(Data[[#This Row],[Betrag]])</f>
        <v>30</v>
      </c>
      <c r="K113" s="66" t="str">
        <f>IF(Data[[#This Row],[Betrag]]&lt;0,"A","E")</f>
        <v>A</v>
      </c>
    </row>
    <row r="114" spans="1:11" x14ac:dyDescent="0.25">
      <c r="A114" s="1">
        <v>42117</v>
      </c>
      <c r="B114" s="66" t="s">
        <v>45</v>
      </c>
      <c r="C114" s="66" t="s">
        <v>46</v>
      </c>
      <c r="D114" t="s">
        <v>47</v>
      </c>
      <c r="E114">
        <v>1000</v>
      </c>
      <c r="F114" s="66" t="s">
        <v>7</v>
      </c>
      <c r="G114" s="66" t="s">
        <v>9</v>
      </c>
      <c r="H114" s="66" t="str">
        <f>TEXT(Data[[#This Row],[Buchung]],"MMM")</f>
        <v>Apr</v>
      </c>
      <c r="I114" s="67">
        <f>YEAR(Data[[#This Row],[Buchung]])</f>
        <v>2015</v>
      </c>
      <c r="J114" s="2">
        <f>ABS(Data[[#This Row],[Betrag]])</f>
        <v>1000</v>
      </c>
      <c r="K114" s="66" t="str">
        <f>IF(Data[[#This Row],[Betrag]]&lt;0,"A","E")</f>
        <v>E</v>
      </c>
    </row>
    <row r="115" spans="1:11" x14ac:dyDescent="0.25">
      <c r="A115" s="1">
        <v>42118</v>
      </c>
      <c r="B115" s="66" t="s">
        <v>48</v>
      </c>
      <c r="C115" s="66" t="s">
        <v>49</v>
      </c>
      <c r="D115" t="s">
        <v>50</v>
      </c>
      <c r="E115">
        <v>-15</v>
      </c>
      <c r="F115" s="66" t="s">
        <v>7</v>
      </c>
      <c r="G115" s="66" t="s">
        <v>8</v>
      </c>
      <c r="H115" s="66" t="str">
        <f>TEXT(Data[[#This Row],[Buchung]],"MMM")</f>
        <v>Apr</v>
      </c>
      <c r="I115" s="67">
        <f>YEAR(Data[[#This Row],[Buchung]])</f>
        <v>2015</v>
      </c>
      <c r="J115" s="2">
        <f>ABS(Data[[#This Row],[Betrag]])</f>
        <v>15</v>
      </c>
      <c r="K115" s="66" t="str">
        <f>IF(Data[[#This Row],[Betrag]]&lt;0,"A","E")</f>
        <v>A</v>
      </c>
    </row>
    <row r="116" spans="1:11" x14ac:dyDescent="0.25">
      <c r="A116" s="1">
        <v>42119</v>
      </c>
      <c r="B116" s="66" t="s">
        <v>51</v>
      </c>
      <c r="C116" s="66" t="s">
        <v>52</v>
      </c>
      <c r="D116" t="s">
        <v>53</v>
      </c>
      <c r="E116">
        <v>-350</v>
      </c>
      <c r="F116" s="66" t="s">
        <v>7</v>
      </c>
      <c r="G116" s="66" t="s">
        <v>11</v>
      </c>
      <c r="H116" s="66" t="str">
        <f>TEXT(Data[[#This Row],[Buchung]],"MMM")</f>
        <v>Apr</v>
      </c>
      <c r="I116" s="67">
        <f>YEAR(Data[[#This Row],[Buchung]])</f>
        <v>2015</v>
      </c>
      <c r="J116" s="2">
        <f>ABS(Data[[#This Row],[Betrag]])</f>
        <v>350</v>
      </c>
      <c r="K116" s="66" t="str">
        <f>IF(Data[[#This Row],[Betrag]]&lt;0,"A","E")</f>
        <v>A</v>
      </c>
    </row>
    <row r="117" spans="1:11" x14ac:dyDescent="0.25">
      <c r="A117" s="1">
        <v>42120</v>
      </c>
      <c r="B117" s="66" t="s">
        <v>54</v>
      </c>
      <c r="C117" s="66" t="s">
        <v>55</v>
      </c>
      <c r="D117" t="s">
        <v>56</v>
      </c>
      <c r="E117">
        <v>-120</v>
      </c>
      <c r="F117" s="66" t="s">
        <v>7</v>
      </c>
      <c r="G117" s="66" t="s">
        <v>57</v>
      </c>
      <c r="H117" s="66" t="str">
        <f>TEXT(Data[[#This Row],[Buchung]],"MMM")</f>
        <v>Apr</v>
      </c>
      <c r="I117" s="67">
        <f>YEAR(Data[[#This Row],[Buchung]])</f>
        <v>2015</v>
      </c>
      <c r="J117" s="2">
        <f>ABS(Data[[#This Row],[Betrag]])</f>
        <v>120</v>
      </c>
      <c r="K117" s="66" t="str">
        <f>IF(Data[[#This Row],[Betrag]]&lt;0,"A","E")</f>
        <v>A</v>
      </c>
    </row>
    <row r="118" spans="1:11" x14ac:dyDescent="0.25">
      <c r="A118" s="1">
        <v>42121</v>
      </c>
      <c r="B118" s="66" t="s">
        <v>58</v>
      </c>
      <c r="C118" s="66" t="s">
        <v>59</v>
      </c>
      <c r="D118" t="s">
        <v>60</v>
      </c>
      <c r="E118">
        <v>-80</v>
      </c>
      <c r="F118" s="66" t="s">
        <v>7</v>
      </c>
      <c r="G118" s="66" t="s">
        <v>10</v>
      </c>
      <c r="H118" s="66" t="str">
        <f>TEXT(Data[[#This Row],[Buchung]],"MMM")</f>
        <v>Apr</v>
      </c>
      <c r="I118" s="67">
        <f>YEAR(Data[[#This Row],[Buchung]])</f>
        <v>2015</v>
      </c>
      <c r="J118" s="2">
        <f>ABS(Data[[#This Row],[Betrag]])</f>
        <v>80</v>
      </c>
      <c r="K118" s="66" t="str">
        <f>IF(Data[[#This Row],[Betrag]]&lt;0,"A","E")</f>
        <v>A</v>
      </c>
    </row>
    <row r="119" spans="1:11" x14ac:dyDescent="0.25">
      <c r="A119" s="1">
        <v>42122</v>
      </c>
      <c r="B119" s="66" t="s">
        <v>45</v>
      </c>
      <c r="C119" s="66" t="s">
        <v>46</v>
      </c>
      <c r="D119" t="s">
        <v>47</v>
      </c>
      <c r="E119">
        <v>1000</v>
      </c>
      <c r="F119" s="66" t="s">
        <v>7</v>
      </c>
      <c r="G119" s="66" t="s">
        <v>9</v>
      </c>
      <c r="H119" s="66" t="str">
        <f>TEXT(Data[[#This Row],[Buchung]],"MMM")</f>
        <v>Apr</v>
      </c>
      <c r="I119" s="67">
        <f>YEAR(Data[[#This Row],[Buchung]])</f>
        <v>2015</v>
      </c>
      <c r="J119" s="2">
        <f>ABS(Data[[#This Row],[Betrag]])</f>
        <v>1000</v>
      </c>
      <c r="K119" s="66" t="str">
        <f>IF(Data[[#This Row],[Betrag]]&lt;0,"A","E")</f>
        <v>E</v>
      </c>
    </row>
    <row r="120" spans="1:11" x14ac:dyDescent="0.25">
      <c r="A120" s="1">
        <v>42123</v>
      </c>
      <c r="B120" s="66" t="s">
        <v>61</v>
      </c>
      <c r="C120" s="66" t="s">
        <v>49</v>
      </c>
      <c r="D120" t="s">
        <v>62</v>
      </c>
      <c r="E120">
        <v>-10</v>
      </c>
      <c r="F120" s="66" t="s">
        <v>7</v>
      </c>
      <c r="G120" s="66" t="s">
        <v>8</v>
      </c>
      <c r="H120" s="66" t="str">
        <f>TEXT(Data[[#This Row],[Buchung]],"MMM")</f>
        <v>Apr</v>
      </c>
      <c r="I120" s="67">
        <f>YEAR(Data[[#This Row],[Buchung]])</f>
        <v>2015</v>
      </c>
      <c r="J120" s="2">
        <f>ABS(Data[[#This Row],[Betrag]])</f>
        <v>10</v>
      </c>
      <c r="K120" s="66" t="str">
        <f>IF(Data[[#This Row],[Betrag]]&lt;0,"A","E")</f>
        <v>A</v>
      </c>
    </row>
    <row r="121" spans="1:11" x14ac:dyDescent="0.25">
      <c r="A121" s="1">
        <v>42124</v>
      </c>
      <c r="B121" s="66" t="s">
        <v>63</v>
      </c>
      <c r="C121" s="66" t="s">
        <v>64</v>
      </c>
      <c r="D121" t="s">
        <v>65</v>
      </c>
      <c r="E121">
        <v>-65</v>
      </c>
      <c r="F121" s="66" t="s">
        <v>7</v>
      </c>
      <c r="G121" s="66" t="s">
        <v>11</v>
      </c>
      <c r="H121" s="66" t="str">
        <f>TEXT(Data[[#This Row],[Buchung]],"MMM")</f>
        <v>Apr</v>
      </c>
      <c r="I121" s="67">
        <f>YEAR(Data[[#This Row],[Buchung]])</f>
        <v>2015</v>
      </c>
      <c r="J121" s="2">
        <f>ABS(Data[[#This Row],[Betrag]])</f>
        <v>65</v>
      </c>
      <c r="K121" s="66" t="str">
        <f>IF(Data[[#This Row],[Betrag]]&lt;0,"A","E")</f>
        <v>A</v>
      </c>
    </row>
    <row r="122" spans="1:11" x14ac:dyDescent="0.25">
      <c r="A122" s="1">
        <v>42125</v>
      </c>
      <c r="B122" s="66" t="s">
        <v>54</v>
      </c>
      <c r="C122" s="66" t="s">
        <v>55</v>
      </c>
      <c r="D122" t="s">
        <v>66</v>
      </c>
      <c r="E122">
        <v>-80</v>
      </c>
      <c r="F122" s="66" t="s">
        <v>7</v>
      </c>
      <c r="G122" s="66" t="s">
        <v>57</v>
      </c>
      <c r="H122" s="66" t="str">
        <f>TEXT(Data[[#This Row],[Buchung]],"MMM")</f>
        <v>Mai</v>
      </c>
      <c r="I122" s="67">
        <f>YEAR(Data[[#This Row],[Buchung]])</f>
        <v>2015</v>
      </c>
      <c r="J122" s="2">
        <f>ABS(Data[[#This Row],[Betrag]])</f>
        <v>80</v>
      </c>
      <c r="K122" s="66" t="str">
        <f>IF(Data[[#This Row],[Betrag]]&lt;0,"A","E")</f>
        <v>A</v>
      </c>
    </row>
    <row r="123" spans="1:11" x14ac:dyDescent="0.25">
      <c r="A123" s="1">
        <v>42126</v>
      </c>
      <c r="B123" s="66" t="s">
        <v>67</v>
      </c>
      <c r="C123" s="66" t="s">
        <v>59</v>
      </c>
      <c r="D123" t="s">
        <v>68</v>
      </c>
      <c r="E123">
        <v>-35</v>
      </c>
      <c r="F123" s="66" t="s">
        <v>7</v>
      </c>
      <c r="G123" s="66" t="s">
        <v>10</v>
      </c>
      <c r="H123" s="66" t="str">
        <f>TEXT(Data[[#This Row],[Buchung]],"MMM")</f>
        <v>Mai</v>
      </c>
      <c r="I123" s="67">
        <f>YEAR(Data[[#This Row],[Buchung]])</f>
        <v>2015</v>
      </c>
      <c r="J123" s="2">
        <f>ABS(Data[[#This Row],[Betrag]])</f>
        <v>35</v>
      </c>
      <c r="K123" s="66" t="str">
        <f>IF(Data[[#This Row],[Betrag]]&lt;0,"A","E")</f>
        <v>A</v>
      </c>
    </row>
    <row r="124" spans="1:11" x14ac:dyDescent="0.25">
      <c r="A124" s="1">
        <v>42127</v>
      </c>
      <c r="B124" s="66" t="s">
        <v>45</v>
      </c>
      <c r="C124" s="66" t="s">
        <v>46</v>
      </c>
      <c r="D124" t="s">
        <v>47</v>
      </c>
      <c r="E124">
        <v>1000</v>
      </c>
      <c r="F124" s="66" t="s">
        <v>7</v>
      </c>
      <c r="G124" s="66" t="s">
        <v>9</v>
      </c>
      <c r="H124" s="66" t="str">
        <f>TEXT(Data[[#This Row],[Buchung]],"MMM")</f>
        <v>Mai</v>
      </c>
      <c r="I124" s="67">
        <f>YEAR(Data[[#This Row],[Buchung]])</f>
        <v>2015</v>
      </c>
      <c r="J124" s="2">
        <f>ABS(Data[[#This Row],[Betrag]])</f>
        <v>1000</v>
      </c>
      <c r="K124" s="66" t="str">
        <f>IF(Data[[#This Row],[Betrag]]&lt;0,"A","E")</f>
        <v>E</v>
      </c>
    </row>
    <row r="125" spans="1:11" x14ac:dyDescent="0.25">
      <c r="A125" s="1">
        <v>42128</v>
      </c>
      <c r="B125" s="66" t="s">
        <v>45</v>
      </c>
      <c r="C125" s="66" t="s">
        <v>46</v>
      </c>
      <c r="D125" t="s">
        <v>47</v>
      </c>
      <c r="E125">
        <v>1000</v>
      </c>
      <c r="F125" s="66" t="s">
        <v>7</v>
      </c>
      <c r="G125" s="66" t="s">
        <v>9</v>
      </c>
      <c r="H125" s="66" t="str">
        <f>TEXT(Data[[#This Row],[Buchung]],"MMM")</f>
        <v>Mai</v>
      </c>
      <c r="I125" s="67">
        <f>YEAR(Data[[#This Row],[Buchung]])</f>
        <v>2015</v>
      </c>
      <c r="J125" s="2">
        <f>ABS(Data[[#This Row],[Betrag]])</f>
        <v>1000</v>
      </c>
      <c r="K125" s="66" t="str">
        <f>IF(Data[[#This Row],[Betrag]]&lt;0,"A","E")</f>
        <v>E</v>
      </c>
    </row>
    <row r="126" spans="1:11" x14ac:dyDescent="0.25">
      <c r="A126" s="1">
        <v>42129</v>
      </c>
      <c r="B126" s="66" t="s">
        <v>48</v>
      </c>
      <c r="C126" s="66" t="s">
        <v>49</v>
      </c>
      <c r="D126" t="s">
        <v>50</v>
      </c>
      <c r="E126">
        <v>-15</v>
      </c>
      <c r="F126" s="66" t="s">
        <v>7</v>
      </c>
      <c r="G126" s="66" t="s">
        <v>8</v>
      </c>
      <c r="H126" s="66" t="str">
        <f>TEXT(Data[[#This Row],[Buchung]],"MMM")</f>
        <v>Mai</v>
      </c>
      <c r="I126" s="67">
        <f>YEAR(Data[[#This Row],[Buchung]])</f>
        <v>2015</v>
      </c>
      <c r="J126" s="2">
        <f>ABS(Data[[#This Row],[Betrag]])</f>
        <v>15</v>
      </c>
      <c r="K126" s="66" t="str">
        <f>IF(Data[[#This Row],[Betrag]]&lt;0,"A","E")</f>
        <v>A</v>
      </c>
    </row>
    <row r="127" spans="1:11" x14ac:dyDescent="0.25">
      <c r="A127" s="1">
        <v>42130</v>
      </c>
      <c r="B127" s="66" t="s">
        <v>51</v>
      </c>
      <c r="C127" s="66" t="s">
        <v>52</v>
      </c>
      <c r="D127" t="s">
        <v>53</v>
      </c>
      <c r="E127">
        <v>-350</v>
      </c>
      <c r="F127" s="66" t="s">
        <v>7</v>
      </c>
      <c r="G127" s="66" t="s">
        <v>11</v>
      </c>
      <c r="H127" s="66" t="str">
        <f>TEXT(Data[[#This Row],[Buchung]],"MMM")</f>
        <v>Mai</v>
      </c>
      <c r="I127" s="67">
        <f>YEAR(Data[[#This Row],[Buchung]])</f>
        <v>2015</v>
      </c>
      <c r="J127" s="2">
        <f>ABS(Data[[#This Row],[Betrag]])</f>
        <v>350</v>
      </c>
      <c r="K127" s="66" t="str">
        <f>IF(Data[[#This Row],[Betrag]]&lt;0,"A","E")</f>
        <v>A</v>
      </c>
    </row>
    <row r="128" spans="1:11" x14ac:dyDescent="0.25">
      <c r="A128" s="1">
        <v>42131</v>
      </c>
      <c r="B128" s="66" t="s">
        <v>54</v>
      </c>
      <c r="C128" s="66" t="s">
        <v>55</v>
      </c>
      <c r="D128" t="s">
        <v>56</v>
      </c>
      <c r="E128">
        <v>-120</v>
      </c>
      <c r="F128" s="66" t="s">
        <v>7</v>
      </c>
      <c r="G128" s="66" t="s">
        <v>57</v>
      </c>
      <c r="H128" s="66" t="str">
        <f>TEXT(Data[[#This Row],[Buchung]],"MMM")</f>
        <v>Mai</v>
      </c>
      <c r="I128" s="67">
        <f>YEAR(Data[[#This Row],[Buchung]])</f>
        <v>2015</v>
      </c>
      <c r="J128" s="2">
        <f>ABS(Data[[#This Row],[Betrag]])</f>
        <v>120</v>
      </c>
      <c r="K128" s="66" t="str">
        <f>IF(Data[[#This Row],[Betrag]]&lt;0,"A","E")</f>
        <v>A</v>
      </c>
    </row>
    <row r="129" spans="1:11" x14ac:dyDescent="0.25">
      <c r="A129" s="1">
        <v>42132</v>
      </c>
      <c r="B129" s="66" t="s">
        <v>58</v>
      </c>
      <c r="C129" s="66" t="s">
        <v>59</v>
      </c>
      <c r="D129" t="s">
        <v>60</v>
      </c>
      <c r="E129">
        <v>-50</v>
      </c>
      <c r="F129" s="66" t="s">
        <v>7</v>
      </c>
      <c r="G129" s="66" t="s">
        <v>10</v>
      </c>
      <c r="H129" s="66" t="str">
        <f>TEXT(Data[[#This Row],[Buchung]],"MMM")</f>
        <v>Mai</v>
      </c>
      <c r="I129" s="67">
        <f>YEAR(Data[[#This Row],[Buchung]])</f>
        <v>2015</v>
      </c>
      <c r="J129" s="2">
        <f>ABS(Data[[#This Row],[Betrag]])</f>
        <v>50</v>
      </c>
      <c r="K129" s="66" t="str">
        <f>IF(Data[[#This Row],[Betrag]]&lt;0,"A","E")</f>
        <v>A</v>
      </c>
    </row>
    <row r="130" spans="1:11" x14ac:dyDescent="0.25">
      <c r="A130" s="1">
        <v>42133</v>
      </c>
      <c r="B130" s="66" t="s">
        <v>45</v>
      </c>
      <c r="C130" s="66" t="s">
        <v>46</v>
      </c>
      <c r="D130" t="s">
        <v>47</v>
      </c>
      <c r="E130">
        <v>1000</v>
      </c>
      <c r="F130" s="66" t="s">
        <v>7</v>
      </c>
      <c r="G130" s="66" t="s">
        <v>9</v>
      </c>
      <c r="H130" s="66" t="str">
        <f>TEXT(Data[[#This Row],[Buchung]],"MMM")</f>
        <v>Mai</v>
      </c>
      <c r="I130" s="67">
        <f>YEAR(Data[[#This Row],[Buchung]])</f>
        <v>2015</v>
      </c>
      <c r="J130" s="2">
        <f>ABS(Data[[#This Row],[Betrag]])</f>
        <v>1000</v>
      </c>
      <c r="K130" s="66" t="str">
        <f>IF(Data[[#This Row],[Betrag]]&lt;0,"A","E")</f>
        <v>E</v>
      </c>
    </row>
    <row r="131" spans="1:11" x14ac:dyDescent="0.25">
      <c r="A131" s="1">
        <v>42134</v>
      </c>
      <c r="B131" s="66" t="s">
        <v>61</v>
      </c>
      <c r="C131" s="66" t="s">
        <v>49</v>
      </c>
      <c r="D131" t="s">
        <v>62</v>
      </c>
      <c r="E131">
        <v>-10</v>
      </c>
      <c r="F131" s="66" t="s">
        <v>7</v>
      </c>
      <c r="G131" s="66" t="s">
        <v>8</v>
      </c>
      <c r="H131" s="66" t="str">
        <f>TEXT(Data[[#This Row],[Buchung]],"MMM")</f>
        <v>Mai</v>
      </c>
      <c r="I131" s="67">
        <f>YEAR(Data[[#This Row],[Buchung]])</f>
        <v>2015</v>
      </c>
      <c r="J131" s="2">
        <f>ABS(Data[[#This Row],[Betrag]])</f>
        <v>10</v>
      </c>
      <c r="K131" s="66" t="str">
        <f>IF(Data[[#This Row],[Betrag]]&lt;0,"A","E")</f>
        <v>A</v>
      </c>
    </row>
    <row r="132" spans="1:11" x14ac:dyDescent="0.25">
      <c r="A132" s="1">
        <v>42135</v>
      </c>
      <c r="B132" s="66" t="s">
        <v>63</v>
      </c>
      <c r="C132" s="66" t="s">
        <v>64</v>
      </c>
      <c r="D132" t="s">
        <v>65</v>
      </c>
      <c r="E132">
        <v>-60</v>
      </c>
      <c r="F132" s="66" t="s">
        <v>7</v>
      </c>
      <c r="G132" s="66" t="s">
        <v>11</v>
      </c>
      <c r="H132" s="66" t="str">
        <f>TEXT(Data[[#This Row],[Buchung]],"MMM")</f>
        <v>Mai</v>
      </c>
      <c r="I132" s="67">
        <f>YEAR(Data[[#This Row],[Buchung]])</f>
        <v>2015</v>
      </c>
      <c r="J132" s="2">
        <f>ABS(Data[[#This Row],[Betrag]])</f>
        <v>60</v>
      </c>
      <c r="K132" s="66" t="str">
        <f>IF(Data[[#This Row],[Betrag]]&lt;0,"A","E")</f>
        <v>A</v>
      </c>
    </row>
    <row r="133" spans="1:11" x14ac:dyDescent="0.25">
      <c r="A133" s="1">
        <v>42136</v>
      </c>
      <c r="B133" s="66" t="s">
        <v>54</v>
      </c>
      <c r="C133" s="66" t="s">
        <v>55</v>
      </c>
      <c r="D133" t="s">
        <v>66</v>
      </c>
      <c r="E133">
        <v>-80</v>
      </c>
      <c r="F133" s="66" t="s">
        <v>7</v>
      </c>
      <c r="G133" s="66" t="s">
        <v>57</v>
      </c>
      <c r="H133" s="66" t="str">
        <f>TEXT(Data[[#This Row],[Buchung]],"MMM")</f>
        <v>Mai</v>
      </c>
      <c r="I133" s="67">
        <f>YEAR(Data[[#This Row],[Buchung]])</f>
        <v>2015</v>
      </c>
      <c r="J133" s="2">
        <f>ABS(Data[[#This Row],[Betrag]])</f>
        <v>80</v>
      </c>
      <c r="K133" s="66" t="str">
        <f>IF(Data[[#This Row],[Betrag]]&lt;0,"A","E")</f>
        <v>A</v>
      </c>
    </row>
    <row r="134" spans="1:11" x14ac:dyDescent="0.25">
      <c r="A134" s="1">
        <v>42137</v>
      </c>
      <c r="B134" s="66" t="s">
        <v>67</v>
      </c>
      <c r="C134" s="66" t="s">
        <v>59</v>
      </c>
      <c r="D134" t="s">
        <v>68</v>
      </c>
      <c r="E134">
        <v>-20</v>
      </c>
      <c r="F134" s="66" t="s">
        <v>7</v>
      </c>
      <c r="G134" s="66" t="s">
        <v>10</v>
      </c>
      <c r="H134" s="66" t="str">
        <f>TEXT(Data[[#This Row],[Buchung]],"MMM")</f>
        <v>Mai</v>
      </c>
      <c r="I134" s="67">
        <f>YEAR(Data[[#This Row],[Buchung]])</f>
        <v>2015</v>
      </c>
      <c r="J134" s="2">
        <f>ABS(Data[[#This Row],[Betrag]])</f>
        <v>20</v>
      </c>
      <c r="K134" s="66" t="str">
        <f>IF(Data[[#This Row],[Betrag]]&lt;0,"A","E")</f>
        <v>A</v>
      </c>
    </row>
    <row r="135" spans="1:11" x14ac:dyDescent="0.25">
      <c r="A135" s="1">
        <v>42138</v>
      </c>
      <c r="B135" s="66" t="s">
        <v>45</v>
      </c>
      <c r="C135" s="66" t="s">
        <v>46</v>
      </c>
      <c r="D135" t="s">
        <v>47</v>
      </c>
      <c r="E135">
        <v>1000</v>
      </c>
      <c r="F135" s="66" t="s">
        <v>7</v>
      </c>
      <c r="G135" s="66" t="s">
        <v>9</v>
      </c>
      <c r="H135" s="66" t="str">
        <f>TEXT(Data[[#This Row],[Buchung]],"MMM")</f>
        <v>Mai</v>
      </c>
      <c r="I135" s="67">
        <f>YEAR(Data[[#This Row],[Buchung]])</f>
        <v>2015</v>
      </c>
      <c r="J135" s="2">
        <f>ABS(Data[[#This Row],[Betrag]])</f>
        <v>1000</v>
      </c>
      <c r="K135" s="66" t="str">
        <f>IF(Data[[#This Row],[Betrag]]&lt;0,"A","E")</f>
        <v>E</v>
      </c>
    </row>
    <row r="136" spans="1:11" x14ac:dyDescent="0.25">
      <c r="A136" s="1">
        <v>42139</v>
      </c>
      <c r="B136" s="66" t="s">
        <v>48</v>
      </c>
      <c r="C136" s="66" t="s">
        <v>49</v>
      </c>
      <c r="D136" t="s">
        <v>50</v>
      </c>
      <c r="E136">
        <v>-15</v>
      </c>
      <c r="F136" s="66" t="s">
        <v>7</v>
      </c>
      <c r="G136" s="66" t="s">
        <v>8</v>
      </c>
      <c r="H136" s="66" t="str">
        <f>TEXT(Data[[#This Row],[Buchung]],"MMM")</f>
        <v>Mai</v>
      </c>
      <c r="I136" s="67">
        <f>YEAR(Data[[#This Row],[Buchung]])</f>
        <v>2015</v>
      </c>
      <c r="J136" s="2">
        <f>ABS(Data[[#This Row],[Betrag]])</f>
        <v>15</v>
      </c>
      <c r="K136" s="66" t="str">
        <f>IF(Data[[#This Row],[Betrag]]&lt;0,"A","E")</f>
        <v>A</v>
      </c>
    </row>
    <row r="137" spans="1:11" x14ac:dyDescent="0.25">
      <c r="A137" s="1">
        <v>42140</v>
      </c>
      <c r="B137" s="66" t="s">
        <v>51</v>
      </c>
      <c r="C137" s="66" t="s">
        <v>52</v>
      </c>
      <c r="D137" t="s">
        <v>53</v>
      </c>
      <c r="E137">
        <v>-350</v>
      </c>
      <c r="F137" s="66" t="s">
        <v>7</v>
      </c>
      <c r="G137" s="66" t="s">
        <v>11</v>
      </c>
      <c r="H137" s="66" t="str">
        <f>TEXT(Data[[#This Row],[Buchung]],"MMM")</f>
        <v>Mai</v>
      </c>
      <c r="I137" s="67">
        <f>YEAR(Data[[#This Row],[Buchung]])</f>
        <v>2015</v>
      </c>
      <c r="J137" s="2">
        <f>ABS(Data[[#This Row],[Betrag]])</f>
        <v>350</v>
      </c>
      <c r="K137" s="66" t="str">
        <f>IF(Data[[#This Row],[Betrag]]&lt;0,"A","E")</f>
        <v>A</v>
      </c>
    </row>
    <row r="138" spans="1:11" x14ac:dyDescent="0.25">
      <c r="A138" s="1">
        <v>42141</v>
      </c>
      <c r="B138" s="66" t="s">
        <v>54</v>
      </c>
      <c r="C138" s="66" t="s">
        <v>55</v>
      </c>
      <c r="D138" t="s">
        <v>56</v>
      </c>
      <c r="E138">
        <v>-120</v>
      </c>
      <c r="F138" s="66" t="s">
        <v>7</v>
      </c>
      <c r="G138" s="66" t="s">
        <v>57</v>
      </c>
      <c r="H138" s="66" t="str">
        <f>TEXT(Data[[#This Row],[Buchung]],"MMM")</f>
        <v>Mai</v>
      </c>
      <c r="I138" s="67">
        <f>YEAR(Data[[#This Row],[Buchung]])</f>
        <v>2015</v>
      </c>
      <c r="J138" s="2">
        <f>ABS(Data[[#This Row],[Betrag]])</f>
        <v>120</v>
      </c>
      <c r="K138" s="66" t="str">
        <f>IF(Data[[#This Row],[Betrag]]&lt;0,"A","E")</f>
        <v>A</v>
      </c>
    </row>
    <row r="139" spans="1:11" x14ac:dyDescent="0.25">
      <c r="A139" s="1">
        <v>42142</v>
      </c>
      <c r="B139" s="66" t="s">
        <v>58</v>
      </c>
      <c r="C139" s="66" t="s">
        <v>59</v>
      </c>
      <c r="D139" t="s">
        <v>60</v>
      </c>
      <c r="E139">
        <v>-60</v>
      </c>
      <c r="F139" s="66" t="s">
        <v>7</v>
      </c>
      <c r="G139" s="66" t="s">
        <v>10</v>
      </c>
      <c r="H139" s="66" t="str">
        <f>TEXT(Data[[#This Row],[Buchung]],"MMM")</f>
        <v>Mai</v>
      </c>
      <c r="I139" s="67">
        <f>YEAR(Data[[#This Row],[Buchung]])</f>
        <v>2015</v>
      </c>
      <c r="J139" s="2">
        <f>ABS(Data[[#This Row],[Betrag]])</f>
        <v>60</v>
      </c>
      <c r="K139" s="66" t="str">
        <f>IF(Data[[#This Row],[Betrag]]&lt;0,"A","E")</f>
        <v>A</v>
      </c>
    </row>
    <row r="140" spans="1:11" x14ac:dyDescent="0.25">
      <c r="A140" s="1">
        <v>42143</v>
      </c>
      <c r="B140" s="66" t="s">
        <v>45</v>
      </c>
      <c r="C140" s="66" t="s">
        <v>46</v>
      </c>
      <c r="D140" t="s">
        <v>47</v>
      </c>
      <c r="E140">
        <v>1000</v>
      </c>
      <c r="F140" s="66" t="s">
        <v>7</v>
      </c>
      <c r="G140" s="66" t="s">
        <v>9</v>
      </c>
      <c r="H140" s="66" t="str">
        <f>TEXT(Data[[#This Row],[Buchung]],"MMM")</f>
        <v>Mai</v>
      </c>
      <c r="I140" s="67">
        <f>YEAR(Data[[#This Row],[Buchung]])</f>
        <v>2015</v>
      </c>
      <c r="J140" s="2">
        <f>ABS(Data[[#This Row],[Betrag]])</f>
        <v>1000</v>
      </c>
      <c r="K140" s="66" t="str">
        <f>IF(Data[[#This Row],[Betrag]]&lt;0,"A","E")</f>
        <v>E</v>
      </c>
    </row>
    <row r="141" spans="1:11" x14ac:dyDescent="0.25">
      <c r="A141" s="1">
        <v>42144</v>
      </c>
      <c r="B141" s="66" t="s">
        <v>61</v>
      </c>
      <c r="C141" s="66" t="s">
        <v>49</v>
      </c>
      <c r="D141" t="s">
        <v>62</v>
      </c>
      <c r="E141">
        <v>-10</v>
      </c>
      <c r="F141" s="66" t="s">
        <v>7</v>
      </c>
      <c r="G141" s="66" t="s">
        <v>8</v>
      </c>
      <c r="H141" s="66" t="str">
        <f>TEXT(Data[[#This Row],[Buchung]],"MMM")</f>
        <v>Mai</v>
      </c>
      <c r="I141" s="67">
        <f>YEAR(Data[[#This Row],[Buchung]])</f>
        <v>2015</v>
      </c>
      <c r="J141" s="2">
        <f>ABS(Data[[#This Row],[Betrag]])</f>
        <v>10</v>
      </c>
      <c r="K141" s="66" t="str">
        <f>IF(Data[[#This Row],[Betrag]]&lt;0,"A","E")</f>
        <v>A</v>
      </c>
    </row>
    <row r="142" spans="1:11" x14ac:dyDescent="0.25">
      <c r="A142" s="1">
        <v>42145</v>
      </c>
      <c r="B142" s="66" t="s">
        <v>63</v>
      </c>
      <c r="C142" s="66" t="s">
        <v>64</v>
      </c>
      <c r="D142" t="s">
        <v>65</v>
      </c>
      <c r="E142">
        <v>-70</v>
      </c>
      <c r="F142" s="66" t="s">
        <v>7</v>
      </c>
      <c r="G142" s="66" t="s">
        <v>11</v>
      </c>
      <c r="H142" s="66" t="str">
        <f>TEXT(Data[[#This Row],[Buchung]],"MMM")</f>
        <v>Mai</v>
      </c>
      <c r="I142" s="67">
        <f>YEAR(Data[[#This Row],[Buchung]])</f>
        <v>2015</v>
      </c>
      <c r="J142" s="2">
        <f>ABS(Data[[#This Row],[Betrag]])</f>
        <v>70</v>
      </c>
      <c r="K142" s="66" t="str">
        <f>IF(Data[[#This Row],[Betrag]]&lt;0,"A","E")</f>
        <v>A</v>
      </c>
    </row>
    <row r="143" spans="1:11" x14ac:dyDescent="0.25">
      <c r="A143" s="1">
        <v>42146</v>
      </c>
      <c r="B143" s="66" t="s">
        <v>54</v>
      </c>
      <c r="C143" s="66" t="s">
        <v>55</v>
      </c>
      <c r="D143" t="s">
        <v>66</v>
      </c>
      <c r="E143">
        <v>-80</v>
      </c>
      <c r="F143" s="66" t="s">
        <v>7</v>
      </c>
      <c r="G143" s="66" t="s">
        <v>57</v>
      </c>
      <c r="H143" s="66" t="str">
        <f>TEXT(Data[[#This Row],[Buchung]],"MMM")</f>
        <v>Mai</v>
      </c>
      <c r="I143" s="67">
        <f>YEAR(Data[[#This Row],[Buchung]])</f>
        <v>2015</v>
      </c>
      <c r="J143" s="2">
        <f>ABS(Data[[#This Row],[Betrag]])</f>
        <v>80</v>
      </c>
      <c r="K143" s="66" t="str">
        <f>IF(Data[[#This Row],[Betrag]]&lt;0,"A","E")</f>
        <v>A</v>
      </c>
    </row>
    <row r="144" spans="1:11" x14ac:dyDescent="0.25">
      <c r="A144" s="1">
        <v>42147</v>
      </c>
      <c r="B144" s="66" t="s">
        <v>67</v>
      </c>
      <c r="C144" s="66" t="s">
        <v>59</v>
      </c>
      <c r="D144" t="s">
        <v>68</v>
      </c>
      <c r="E144">
        <v>-25</v>
      </c>
      <c r="F144" s="66" t="s">
        <v>7</v>
      </c>
      <c r="G144" s="66" t="s">
        <v>10</v>
      </c>
      <c r="H144" s="66" t="str">
        <f>TEXT(Data[[#This Row],[Buchung]],"MMM")</f>
        <v>Mai</v>
      </c>
      <c r="I144" s="67">
        <f>YEAR(Data[[#This Row],[Buchung]])</f>
        <v>2015</v>
      </c>
      <c r="J144" s="2">
        <f>ABS(Data[[#This Row],[Betrag]])</f>
        <v>25</v>
      </c>
      <c r="K144" s="66" t="str">
        <f>IF(Data[[#This Row],[Betrag]]&lt;0,"A","E")</f>
        <v>A</v>
      </c>
    </row>
    <row r="145" spans="1:11" x14ac:dyDescent="0.25">
      <c r="A145" s="1">
        <v>42148</v>
      </c>
      <c r="B145" s="66" t="s">
        <v>45</v>
      </c>
      <c r="C145" s="66" t="s">
        <v>46</v>
      </c>
      <c r="D145" t="s">
        <v>47</v>
      </c>
      <c r="E145">
        <v>1000</v>
      </c>
      <c r="F145" s="66" t="s">
        <v>7</v>
      </c>
      <c r="G145" s="66" t="s">
        <v>9</v>
      </c>
      <c r="H145" s="66" t="str">
        <f>TEXT(Data[[#This Row],[Buchung]],"MMM")</f>
        <v>Mai</v>
      </c>
      <c r="I145" s="67">
        <f>YEAR(Data[[#This Row],[Buchung]])</f>
        <v>2015</v>
      </c>
      <c r="J145" s="2">
        <f>ABS(Data[[#This Row],[Betrag]])</f>
        <v>1000</v>
      </c>
      <c r="K145" s="66" t="str">
        <f>IF(Data[[#This Row],[Betrag]]&lt;0,"A","E")</f>
        <v>E</v>
      </c>
    </row>
    <row r="146" spans="1:11" x14ac:dyDescent="0.25">
      <c r="A146" s="1">
        <v>42149</v>
      </c>
      <c r="B146" s="66" t="s">
        <v>48</v>
      </c>
      <c r="C146" s="66" t="s">
        <v>49</v>
      </c>
      <c r="D146" t="s">
        <v>50</v>
      </c>
      <c r="E146">
        <v>-15</v>
      </c>
      <c r="F146" s="66" t="s">
        <v>7</v>
      </c>
      <c r="G146" s="66" t="s">
        <v>8</v>
      </c>
      <c r="H146" s="66" t="str">
        <f>TEXT(Data[[#This Row],[Buchung]],"MMM")</f>
        <v>Mai</v>
      </c>
      <c r="I146" s="67">
        <f>YEAR(Data[[#This Row],[Buchung]])</f>
        <v>2015</v>
      </c>
      <c r="J146" s="2">
        <f>ABS(Data[[#This Row],[Betrag]])</f>
        <v>15</v>
      </c>
      <c r="K146" s="66" t="str">
        <f>IF(Data[[#This Row],[Betrag]]&lt;0,"A","E")</f>
        <v>A</v>
      </c>
    </row>
    <row r="147" spans="1:11" x14ac:dyDescent="0.25">
      <c r="A147" s="1">
        <v>42150</v>
      </c>
      <c r="B147" s="66" t="s">
        <v>51</v>
      </c>
      <c r="C147" s="66" t="s">
        <v>52</v>
      </c>
      <c r="D147" t="s">
        <v>53</v>
      </c>
      <c r="E147">
        <v>-350</v>
      </c>
      <c r="F147" s="66" t="s">
        <v>7</v>
      </c>
      <c r="G147" s="66" t="s">
        <v>11</v>
      </c>
      <c r="H147" s="66" t="str">
        <f>TEXT(Data[[#This Row],[Buchung]],"MMM")</f>
        <v>Mai</v>
      </c>
      <c r="I147" s="67">
        <f>YEAR(Data[[#This Row],[Buchung]])</f>
        <v>2015</v>
      </c>
      <c r="J147" s="2">
        <f>ABS(Data[[#This Row],[Betrag]])</f>
        <v>350</v>
      </c>
      <c r="K147" s="66" t="str">
        <f>IF(Data[[#This Row],[Betrag]]&lt;0,"A","E")</f>
        <v>A</v>
      </c>
    </row>
    <row r="148" spans="1:11" x14ac:dyDescent="0.25">
      <c r="A148" s="1">
        <v>42151</v>
      </c>
      <c r="B148" s="66" t="s">
        <v>54</v>
      </c>
      <c r="C148" s="66" t="s">
        <v>55</v>
      </c>
      <c r="D148" t="s">
        <v>56</v>
      </c>
      <c r="E148">
        <v>-120</v>
      </c>
      <c r="F148" s="66" t="s">
        <v>7</v>
      </c>
      <c r="G148" s="66" t="s">
        <v>57</v>
      </c>
      <c r="H148" s="66" t="str">
        <f>TEXT(Data[[#This Row],[Buchung]],"MMM")</f>
        <v>Mai</v>
      </c>
      <c r="I148" s="67">
        <f>YEAR(Data[[#This Row],[Buchung]])</f>
        <v>2015</v>
      </c>
      <c r="J148" s="2">
        <f>ABS(Data[[#This Row],[Betrag]])</f>
        <v>120</v>
      </c>
      <c r="K148" s="66" t="str">
        <f>IF(Data[[#This Row],[Betrag]]&lt;0,"A","E")</f>
        <v>A</v>
      </c>
    </row>
    <row r="149" spans="1:11" x14ac:dyDescent="0.25">
      <c r="A149" s="1">
        <v>42152</v>
      </c>
      <c r="B149" s="66" t="s">
        <v>58</v>
      </c>
      <c r="C149" s="66" t="s">
        <v>59</v>
      </c>
      <c r="D149" t="s">
        <v>60</v>
      </c>
      <c r="E149">
        <v>-70</v>
      </c>
      <c r="F149" s="66" t="s">
        <v>7</v>
      </c>
      <c r="G149" s="66" t="s">
        <v>10</v>
      </c>
      <c r="H149" s="66" t="str">
        <f>TEXT(Data[[#This Row],[Buchung]],"MMM")</f>
        <v>Mai</v>
      </c>
      <c r="I149" s="67">
        <f>YEAR(Data[[#This Row],[Buchung]])</f>
        <v>2015</v>
      </c>
      <c r="J149" s="2">
        <f>ABS(Data[[#This Row],[Betrag]])</f>
        <v>70</v>
      </c>
      <c r="K149" s="66" t="str">
        <f>IF(Data[[#This Row],[Betrag]]&lt;0,"A","E")</f>
        <v>A</v>
      </c>
    </row>
    <row r="150" spans="1:11" x14ac:dyDescent="0.25">
      <c r="A150" s="1">
        <v>42153</v>
      </c>
      <c r="B150" s="66" t="s">
        <v>45</v>
      </c>
      <c r="C150" s="66" t="s">
        <v>46</v>
      </c>
      <c r="D150" t="s">
        <v>47</v>
      </c>
      <c r="E150">
        <v>1000</v>
      </c>
      <c r="F150" s="66" t="s">
        <v>7</v>
      </c>
      <c r="G150" s="66" t="s">
        <v>9</v>
      </c>
      <c r="H150" s="66" t="str">
        <f>TEXT(Data[[#This Row],[Buchung]],"MMM")</f>
        <v>Mai</v>
      </c>
      <c r="I150" s="67">
        <f>YEAR(Data[[#This Row],[Buchung]])</f>
        <v>2015</v>
      </c>
      <c r="J150" s="2">
        <f>ABS(Data[[#This Row],[Betrag]])</f>
        <v>1000</v>
      </c>
      <c r="K150" s="66" t="str">
        <f>IF(Data[[#This Row],[Betrag]]&lt;0,"A","E")</f>
        <v>E</v>
      </c>
    </row>
    <row r="151" spans="1:11" x14ac:dyDescent="0.25">
      <c r="A151" s="1">
        <v>42154</v>
      </c>
      <c r="B151" s="66" t="s">
        <v>61</v>
      </c>
      <c r="C151" s="66" t="s">
        <v>49</v>
      </c>
      <c r="D151" t="s">
        <v>62</v>
      </c>
      <c r="E151">
        <v>-10</v>
      </c>
      <c r="F151" s="66" t="s">
        <v>7</v>
      </c>
      <c r="G151" s="66" t="s">
        <v>8</v>
      </c>
      <c r="H151" s="66" t="str">
        <f>TEXT(Data[[#This Row],[Buchung]],"MMM")</f>
        <v>Mai</v>
      </c>
      <c r="I151" s="67">
        <f>YEAR(Data[[#This Row],[Buchung]])</f>
        <v>2015</v>
      </c>
      <c r="J151" s="2">
        <f>ABS(Data[[#This Row],[Betrag]])</f>
        <v>10</v>
      </c>
      <c r="K151" s="66" t="str">
        <f>IF(Data[[#This Row],[Betrag]]&lt;0,"A","E")</f>
        <v>A</v>
      </c>
    </row>
    <row r="152" spans="1:11" x14ac:dyDescent="0.25">
      <c r="A152" s="1">
        <v>42155</v>
      </c>
      <c r="B152" s="66" t="s">
        <v>63</v>
      </c>
      <c r="C152" s="66" t="s">
        <v>64</v>
      </c>
      <c r="D152" t="s">
        <v>65</v>
      </c>
      <c r="E152">
        <v>-60</v>
      </c>
      <c r="F152" s="66" t="s">
        <v>7</v>
      </c>
      <c r="G152" s="66" t="s">
        <v>11</v>
      </c>
      <c r="H152" s="66" t="str">
        <f>TEXT(Data[[#This Row],[Buchung]],"MMM")</f>
        <v>Mai</v>
      </c>
      <c r="I152" s="67">
        <f>YEAR(Data[[#This Row],[Buchung]])</f>
        <v>2015</v>
      </c>
      <c r="J152" s="2">
        <f>ABS(Data[[#This Row],[Betrag]])</f>
        <v>60</v>
      </c>
      <c r="K152" s="66" t="str">
        <f>IF(Data[[#This Row],[Betrag]]&lt;0,"A","E")</f>
        <v>A</v>
      </c>
    </row>
    <row r="153" spans="1:11" x14ac:dyDescent="0.25">
      <c r="A153" s="1">
        <v>42156</v>
      </c>
      <c r="B153" s="66" t="s">
        <v>54</v>
      </c>
      <c r="C153" s="66" t="s">
        <v>55</v>
      </c>
      <c r="D153" t="s">
        <v>66</v>
      </c>
      <c r="E153">
        <v>-80</v>
      </c>
      <c r="F153" s="66" t="s">
        <v>7</v>
      </c>
      <c r="G153" s="66" t="s">
        <v>57</v>
      </c>
      <c r="H153" s="66" t="str">
        <f>TEXT(Data[[#This Row],[Buchung]],"MMM")</f>
        <v>Jun</v>
      </c>
      <c r="I153" s="67">
        <f>YEAR(Data[[#This Row],[Buchung]])</f>
        <v>2015</v>
      </c>
      <c r="J153" s="2">
        <f>ABS(Data[[#This Row],[Betrag]])</f>
        <v>80</v>
      </c>
      <c r="K153" s="66" t="str">
        <f>IF(Data[[#This Row],[Betrag]]&lt;0,"A","E")</f>
        <v>A</v>
      </c>
    </row>
    <row r="154" spans="1:11" x14ac:dyDescent="0.25">
      <c r="A154" s="1">
        <v>42157</v>
      </c>
      <c r="B154" s="66" t="s">
        <v>67</v>
      </c>
      <c r="C154" s="66" t="s">
        <v>59</v>
      </c>
      <c r="D154" t="s">
        <v>68</v>
      </c>
      <c r="E154">
        <v>-30</v>
      </c>
      <c r="F154" s="66" t="s">
        <v>7</v>
      </c>
      <c r="G154" s="66" t="s">
        <v>10</v>
      </c>
      <c r="H154" s="66" t="str">
        <f>TEXT(Data[[#This Row],[Buchung]],"MMM")</f>
        <v>Jun</v>
      </c>
      <c r="I154" s="67">
        <f>YEAR(Data[[#This Row],[Buchung]])</f>
        <v>2015</v>
      </c>
      <c r="J154" s="2">
        <f>ABS(Data[[#This Row],[Betrag]])</f>
        <v>30</v>
      </c>
      <c r="K154" s="66" t="str">
        <f>IF(Data[[#This Row],[Betrag]]&lt;0,"A","E")</f>
        <v>A</v>
      </c>
    </row>
    <row r="155" spans="1:11" x14ac:dyDescent="0.25">
      <c r="A155" s="1">
        <v>42158</v>
      </c>
      <c r="B155" s="66" t="s">
        <v>45</v>
      </c>
      <c r="C155" s="66" t="s">
        <v>46</v>
      </c>
      <c r="D155" t="s">
        <v>47</v>
      </c>
      <c r="E155">
        <v>1000</v>
      </c>
      <c r="F155" s="66" t="s">
        <v>7</v>
      </c>
      <c r="G155" s="66" t="s">
        <v>9</v>
      </c>
      <c r="H155" s="66" t="str">
        <f>TEXT(Data[[#This Row],[Buchung]],"MMM")</f>
        <v>Jun</v>
      </c>
      <c r="I155" s="67">
        <f>YEAR(Data[[#This Row],[Buchung]])</f>
        <v>2015</v>
      </c>
      <c r="J155" s="2">
        <f>ABS(Data[[#This Row],[Betrag]])</f>
        <v>1000</v>
      </c>
      <c r="K155" s="66" t="str">
        <f>IF(Data[[#This Row],[Betrag]]&lt;0,"A","E")</f>
        <v>E</v>
      </c>
    </row>
    <row r="156" spans="1:11" x14ac:dyDescent="0.25">
      <c r="A156" s="1">
        <v>42159</v>
      </c>
      <c r="B156" s="66" t="s">
        <v>48</v>
      </c>
      <c r="C156" s="66" t="s">
        <v>49</v>
      </c>
      <c r="D156" t="s">
        <v>50</v>
      </c>
      <c r="E156">
        <v>-15</v>
      </c>
      <c r="F156" s="66" t="s">
        <v>7</v>
      </c>
      <c r="G156" s="66" t="s">
        <v>8</v>
      </c>
      <c r="H156" s="66" t="str">
        <f>TEXT(Data[[#This Row],[Buchung]],"MMM")</f>
        <v>Jun</v>
      </c>
      <c r="I156" s="67">
        <f>YEAR(Data[[#This Row],[Buchung]])</f>
        <v>2015</v>
      </c>
      <c r="J156" s="2">
        <f>ABS(Data[[#This Row],[Betrag]])</f>
        <v>15</v>
      </c>
      <c r="K156" s="66" t="str">
        <f>IF(Data[[#This Row],[Betrag]]&lt;0,"A","E")</f>
        <v>A</v>
      </c>
    </row>
    <row r="157" spans="1:11" x14ac:dyDescent="0.25">
      <c r="A157" s="1">
        <v>42160</v>
      </c>
      <c r="B157" s="66" t="s">
        <v>51</v>
      </c>
      <c r="C157" s="66" t="s">
        <v>52</v>
      </c>
      <c r="D157" t="s">
        <v>53</v>
      </c>
      <c r="E157">
        <v>-350</v>
      </c>
      <c r="F157" s="66" t="s">
        <v>7</v>
      </c>
      <c r="G157" s="66" t="s">
        <v>11</v>
      </c>
      <c r="H157" s="66" t="str">
        <f>TEXT(Data[[#This Row],[Buchung]],"MMM")</f>
        <v>Jun</v>
      </c>
      <c r="I157" s="67">
        <f>YEAR(Data[[#This Row],[Buchung]])</f>
        <v>2015</v>
      </c>
      <c r="J157" s="2">
        <f>ABS(Data[[#This Row],[Betrag]])</f>
        <v>350</v>
      </c>
      <c r="K157" s="66" t="str">
        <f>IF(Data[[#This Row],[Betrag]]&lt;0,"A","E")</f>
        <v>A</v>
      </c>
    </row>
    <row r="158" spans="1:11" x14ac:dyDescent="0.25">
      <c r="A158" s="1">
        <v>42161</v>
      </c>
      <c r="B158" s="66" t="s">
        <v>54</v>
      </c>
      <c r="C158" s="66" t="s">
        <v>55</v>
      </c>
      <c r="D158" t="s">
        <v>56</v>
      </c>
      <c r="E158">
        <v>-120</v>
      </c>
      <c r="F158" s="66" t="s">
        <v>7</v>
      </c>
      <c r="G158" s="66" t="s">
        <v>57</v>
      </c>
      <c r="H158" s="66" t="str">
        <f>TEXT(Data[[#This Row],[Buchung]],"MMM")</f>
        <v>Jun</v>
      </c>
      <c r="I158" s="67">
        <f>YEAR(Data[[#This Row],[Buchung]])</f>
        <v>2015</v>
      </c>
      <c r="J158" s="2">
        <f>ABS(Data[[#This Row],[Betrag]])</f>
        <v>120</v>
      </c>
      <c r="K158" s="66" t="str">
        <f>IF(Data[[#This Row],[Betrag]]&lt;0,"A","E")</f>
        <v>A</v>
      </c>
    </row>
    <row r="159" spans="1:11" x14ac:dyDescent="0.25">
      <c r="A159" s="1">
        <v>42162</v>
      </c>
      <c r="B159" s="66" t="s">
        <v>58</v>
      </c>
      <c r="C159" s="66" t="s">
        <v>59</v>
      </c>
      <c r="D159" t="s">
        <v>60</v>
      </c>
      <c r="E159">
        <v>-80</v>
      </c>
      <c r="F159" s="66" t="s">
        <v>7</v>
      </c>
      <c r="G159" s="66" t="s">
        <v>10</v>
      </c>
      <c r="H159" s="66" t="str">
        <f>TEXT(Data[[#This Row],[Buchung]],"MMM")</f>
        <v>Jun</v>
      </c>
      <c r="I159" s="67">
        <f>YEAR(Data[[#This Row],[Buchung]])</f>
        <v>2015</v>
      </c>
      <c r="J159" s="2">
        <f>ABS(Data[[#This Row],[Betrag]])</f>
        <v>80</v>
      </c>
      <c r="K159" s="66" t="str">
        <f>IF(Data[[#This Row],[Betrag]]&lt;0,"A","E")</f>
        <v>A</v>
      </c>
    </row>
    <row r="160" spans="1:11" x14ac:dyDescent="0.25">
      <c r="A160" s="1">
        <v>42163</v>
      </c>
      <c r="B160" s="66" t="s">
        <v>45</v>
      </c>
      <c r="C160" s="66" t="s">
        <v>46</v>
      </c>
      <c r="D160" t="s">
        <v>47</v>
      </c>
      <c r="E160">
        <v>1000</v>
      </c>
      <c r="F160" s="66" t="s">
        <v>7</v>
      </c>
      <c r="G160" s="66" t="s">
        <v>9</v>
      </c>
      <c r="H160" s="66" t="str">
        <f>TEXT(Data[[#This Row],[Buchung]],"MMM")</f>
        <v>Jun</v>
      </c>
      <c r="I160" s="67">
        <f>YEAR(Data[[#This Row],[Buchung]])</f>
        <v>2015</v>
      </c>
      <c r="J160" s="2">
        <f>ABS(Data[[#This Row],[Betrag]])</f>
        <v>1000</v>
      </c>
      <c r="K160" s="66" t="str">
        <f>IF(Data[[#This Row],[Betrag]]&lt;0,"A","E")</f>
        <v>E</v>
      </c>
    </row>
    <row r="161" spans="1:11" x14ac:dyDescent="0.25">
      <c r="A161" s="1">
        <v>42164</v>
      </c>
      <c r="B161" s="66" t="s">
        <v>61</v>
      </c>
      <c r="C161" s="66" t="s">
        <v>49</v>
      </c>
      <c r="D161" t="s">
        <v>62</v>
      </c>
      <c r="E161">
        <v>-10</v>
      </c>
      <c r="F161" s="66" t="s">
        <v>7</v>
      </c>
      <c r="G161" s="66" t="s">
        <v>8</v>
      </c>
      <c r="H161" s="66" t="str">
        <f>TEXT(Data[[#This Row],[Buchung]],"MMM")</f>
        <v>Jun</v>
      </c>
      <c r="I161" s="67">
        <f>YEAR(Data[[#This Row],[Buchung]])</f>
        <v>2015</v>
      </c>
      <c r="J161" s="2">
        <f>ABS(Data[[#This Row],[Betrag]])</f>
        <v>10</v>
      </c>
      <c r="K161" s="66" t="str">
        <f>IF(Data[[#This Row],[Betrag]]&lt;0,"A","E")</f>
        <v>A</v>
      </c>
    </row>
    <row r="162" spans="1:11" x14ac:dyDescent="0.25">
      <c r="A162" s="1">
        <v>42165</v>
      </c>
      <c r="B162" s="66" t="s">
        <v>63</v>
      </c>
      <c r="C162" s="66" t="s">
        <v>64</v>
      </c>
      <c r="D162" t="s">
        <v>65</v>
      </c>
      <c r="E162">
        <v>-65</v>
      </c>
      <c r="F162" s="66" t="s">
        <v>7</v>
      </c>
      <c r="G162" s="66" t="s">
        <v>11</v>
      </c>
      <c r="H162" s="66" t="str">
        <f>TEXT(Data[[#This Row],[Buchung]],"MMM")</f>
        <v>Jun</v>
      </c>
      <c r="I162" s="67">
        <f>YEAR(Data[[#This Row],[Buchung]])</f>
        <v>2015</v>
      </c>
      <c r="J162" s="2">
        <f>ABS(Data[[#This Row],[Betrag]])</f>
        <v>65</v>
      </c>
      <c r="K162" s="66" t="str">
        <f>IF(Data[[#This Row],[Betrag]]&lt;0,"A","E")</f>
        <v>A</v>
      </c>
    </row>
    <row r="163" spans="1:11" x14ac:dyDescent="0.25">
      <c r="A163" s="1">
        <v>42166</v>
      </c>
      <c r="B163" s="66" t="s">
        <v>54</v>
      </c>
      <c r="C163" s="66" t="s">
        <v>55</v>
      </c>
      <c r="D163" t="s">
        <v>66</v>
      </c>
      <c r="E163">
        <v>-80</v>
      </c>
      <c r="F163" s="66" t="s">
        <v>7</v>
      </c>
      <c r="G163" s="66" t="s">
        <v>57</v>
      </c>
      <c r="H163" s="66" t="str">
        <f>TEXT(Data[[#This Row],[Buchung]],"MMM")</f>
        <v>Jun</v>
      </c>
      <c r="I163" s="67">
        <f>YEAR(Data[[#This Row],[Buchung]])</f>
        <v>2015</v>
      </c>
      <c r="J163" s="2">
        <f>ABS(Data[[#This Row],[Betrag]])</f>
        <v>80</v>
      </c>
      <c r="K163" s="66" t="str">
        <f>IF(Data[[#This Row],[Betrag]]&lt;0,"A","E")</f>
        <v>A</v>
      </c>
    </row>
    <row r="164" spans="1:11" x14ac:dyDescent="0.25">
      <c r="A164" s="1">
        <v>42167</v>
      </c>
      <c r="B164" s="66" t="s">
        <v>67</v>
      </c>
      <c r="C164" s="66" t="s">
        <v>59</v>
      </c>
      <c r="D164" t="s">
        <v>68</v>
      </c>
      <c r="E164">
        <v>-35</v>
      </c>
      <c r="F164" s="66" t="s">
        <v>7</v>
      </c>
      <c r="G164" s="66" t="s">
        <v>10</v>
      </c>
      <c r="H164" s="66" t="str">
        <f>TEXT(Data[[#This Row],[Buchung]],"MMM")</f>
        <v>Jun</v>
      </c>
      <c r="I164" s="67">
        <f>YEAR(Data[[#This Row],[Buchung]])</f>
        <v>2015</v>
      </c>
      <c r="J164" s="2">
        <f>ABS(Data[[#This Row],[Betrag]])</f>
        <v>35</v>
      </c>
      <c r="K164" s="66" t="str">
        <f>IF(Data[[#This Row],[Betrag]]&lt;0,"A","E")</f>
        <v>A</v>
      </c>
    </row>
    <row r="165" spans="1:11" x14ac:dyDescent="0.25">
      <c r="A165" s="1">
        <v>42168</v>
      </c>
      <c r="B165" s="66" t="s">
        <v>45</v>
      </c>
      <c r="C165" s="66" t="s">
        <v>46</v>
      </c>
      <c r="D165" t="s">
        <v>47</v>
      </c>
      <c r="E165">
        <v>1000</v>
      </c>
      <c r="F165" s="66" t="s">
        <v>7</v>
      </c>
      <c r="G165" s="66" t="s">
        <v>9</v>
      </c>
      <c r="H165" s="66" t="str">
        <f>TEXT(Data[[#This Row],[Buchung]],"MMM")</f>
        <v>Jun</v>
      </c>
      <c r="I165" s="67">
        <f>YEAR(Data[[#This Row],[Buchung]])</f>
        <v>2015</v>
      </c>
      <c r="J165" s="2">
        <f>ABS(Data[[#This Row],[Betrag]])</f>
        <v>1000</v>
      </c>
      <c r="K165" s="66" t="str">
        <f>IF(Data[[#This Row],[Betrag]]&lt;0,"A","E")</f>
        <v>E</v>
      </c>
    </row>
    <row r="166" spans="1:11" x14ac:dyDescent="0.25">
      <c r="A166" s="1">
        <v>42169</v>
      </c>
      <c r="B166" s="66" t="s">
        <v>45</v>
      </c>
      <c r="C166" s="66" t="s">
        <v>46</v>
      </c>
      <c r="D166" t="s">
        <v>47</v>
      </c>
      <c r="E166">
        <v>1000</v>
      </c>
      <c r="F166" s="66" t="s">
        <v>7</v>
      </c>
      <c r="G166" s="66" t="s">
        <v>9</v>
      </c>
      <c r="H166" s="66" t="str">
        <f>TEXT(Data[[#This Row],[Buchung]],"MMM")</f>
        <v>Jun</v>
      </c>
      <c r="I166" s="67">
        <f>YEAR(Data[[#This Row],[Buchung]])</f>
        <v>2015</v>
      </c>
      <c r="J166" s="2">
        <f>ABS(Data[[#This Row],[Betrag]])</f>
        <v>1000</v>
      </c>
      <c r="K166" s="66" t="str">
        <f>IF(Data[[#This Row],[Betrag]]&lt;0,"A","E")</f>
        <v>E</v>
      </c>
    </row>
    <row r="167" spans="1:11" x14ac:dyDescent="0.25">
      <c r="A167" s="1">
        <v>42170</v>
      </c>
      <c r="B167" s="66" t="s">
        <v>48</v>
      </c>
      <c r="C167" s="66" t="s">
        <v>49</v>
      </c>
      <c r="D167" t="s">
        <v>50</v>
      </c>
      <c r="E167">
        <v>-15</v>
      </c>
      <c r="F167" s="66" t="s">
        <v>7</v>
      </c>
      <c r="G167" s="66" t="s">
        <v>8</v>
      </c>
      <c r="H167" s="66" t="str">
        <f>TEXT(Data[[#This Row],[Buchung]],"MMM")</f>
        <v>Jun</v>
      </c>
      <c r="I167" s="67">
        <f>YEAR(Data[[#This Row],[Buchung]])</f>
        <v>2015</v>
      </c>
      <c r="J167" s="2">
        <f>ABS(Data[[#This Row],[Betrag]])</f>
        <v>15</v>
      </c>
      <c r="K167" s="66" t="str">
        <f>IF(Data[[#This Row],[Betrag]]&lt;0,"A","E")</f>
        <v>A</v>
      </c>
    </row>
    <row r="168" spans="1:11" x14ac:dyDescent="0.25">
      <c r="A168" s="1">
        <v>42171</v>
      </c>
      <c r="B168" s="66" t="s">
        <v>51</v>
      </c>
      <c r="C168" s="66" t="s">
        <v>52</v>
      </c>
      <c r="D168" t="s">
        <v>53</v>
      </c>
      <c r="E168">
        <v>-350</v>
      </c>
      <c r="F168" s="66" t="s">
        <v>7</v>
      </c>
      <c r="G168" s="66" t="s">
        <v>11</v>
      </c>
      <c r="H168" s="66" t="str">
        <f>TEXT(Data[[#This Row],[Buchung]],"MMM")</f>
        <v>Jun</v>
      </c>
      <c r="I168" s="67">
        <f>YEAR(Data[[#This Row],[Buchung]])</f>
        <v>2015</v>
      </c>
      <c r="J168" s="2">
        <f>ABS(Data[[#This Row],[Betrag]])</f>
        <v>350</v>
      </c>
      <c r="K168" s="66" t="str">
        <f>IF(Data[[#This Row],[Betrag]]&lt;0,"A","E")</f>
        <v>A</v>
      </c>
    </row>
    <row r="169" spans="1:11" x14ac:dyDescent="0.25">
      <c r="A169" s="1">
        <v>42172</v>
      </c>
      <c r="B169" s="66" t="s">
        <v>54</v>
      </c>
      <c r="C169" s="66" t="s">
        <v>55</v>
      </c>
      <c r="D169" t="s">
        <v>56</v>
      </c>
      <c r="E169">
        <v>-120</v>
      </c>
      <c r="F169" s="66" t="s">
        <v>7</v>
      </c>
      <c r="G169" s="66" t="s">
        <v>57</v>
      </c>
      <c r="H169" s="66" t="str">
        <f>TEXT(Data[[#This Row],[Buchung]],"MMM")</f>
        <v>Jun</v>
      </c>
      <c r="I169" s="67">
        <f>YEAR(Data[[#This Row],[Buchung]])</f>
        <v>2015</v>
      </c>
      <c r="J169" s="2">
        <f>ABS(Data[[#This Row],[Betrag]])</f>
        <v>120</v>
      </c>
      <c r="K169" s="66" t="str">
        <f>IF(Data[[#This Row],[Betrag]]&lt;0,"A","E")</f>
        <v>A</v>
      </c>
    </row>
    <row r="170" spans="1:11" x14ac:dyDescent="0.25">
      <c r="A170" s="1">
        <v>42173</v>
      </c>
      <c r="B170" s="66" t="s">
        <v>58</v>
      </c>
      <c r="C170" s="66" t="s">
        <v>59</v>
      </c>
      <c r="D170" t="s">
        <v>60</v>
      </c>
      <c r="E170">
        <v>-50</v>
      </c>
      <c r="F170" s="66" t="s">
        <v>7</v>
      </c>
      <c r="G170" s="66" t="s">
        <v>10</v>
      </c>
      <c r="H170" s="66" t="str">
        <f>TEXT(Data[[#This Row],[Buchung]],"MMM")</f>
        <v>Jun</v>
      </c>
      <c r="I170" s="67">
        <f>YEAR(Data[[#This Row],[Buchung]])</f>
        <v>2015</v>
      </c>
      <c r="J170" s="2">
        <f>ABS(Data[[#This Row],[Betrag]])</f>
        <v>50</v>
      </c>
      <c r="K170" s="66" t="str">
        <f>IF(Data[[#This Row],[Betrag]]&lt;0,"A","E")</f>
        <v>A</v>
      </c>
    </row>
    <row r="171" spans="1:11" x14ac:dyDescent="0.25">
      <c r="A171" s="1">
        <v>42174</v>
      </c>
      <c r="B171" s="66" t="s">
        <v>45</v>
      </c>
      <c r="C171" s="66" t="s">
        <v>46</v>
      </c>
      <c r="D171" t="s">
        <v>47</v>
      </c>
      <c r="E171">
        <v>1000</v>
      </c>
      <c r="F171" s="66" t="s">
        <v>7</v>
      </c>
      <c r="G171" s="66" t="s">
        <v>9</v>
      </c>
      <c r="H171" s="66" t="str">
        <f>TEXT(Data[[#This Row],[Buchung]],"MMM")</f>
        <v>Jun</v>
      </c>
      <c r="I171" s="67">
        <f>YEAR(Data[[#This Row],[Buchung]])</f>
        <v>2015</v>
      </c>
      <c r="J171" s="2">
        <f>ABS(Data[[#This Row],[Betrag]])</f>
        <v>1000</v>
      </c>
      <c r="K171" s="66" t="str">
        <f>IF(Data[[#This Row],[Betrag]]&lt;0,"A","E")</f>
        <v>E</v>
      </c>
    </row>
    <row r="172" spans="1:11" x14ac:dyDescent="0.25">
      <c r="A172" s="1">
        <v>42175</v>
      </c>
      <c r="B172" s="66" t="s">
        <v>61</v>
      </c>
      <c r="C172" s="66" t="s">
        <v>49</v>
      </c>
      <c r="D172" t="s">
        <v>62</v>
      </c>
      <c r="E172">
        <v>-10</v>
      </c>
      <c r="F172" s="66" t="s">
        <v>7</v>
      </c>
      <c r="G172" s="66" t="s">
        <v>8</v>
      </c>
      <c r="H172" s="66" t="str">
        <f>TEXT(Data[[#This Row],[Buchung]],"MMM")</f>
        <v>Jun</v>
      </c>
      <c r="I172" s="67">
        <f>YEAR(Data[[#This Row],[Buchung]])</f>
        <v>2015</v>
      </c>
      <c r="J172" s="2">
        <f>ABS(Data[[#This Row],[Betrag]])</f>
        <v>10</v>
      </c>
      <c r="K172" s="66" t="str">
        <f>IF(Data[[#This Row],[Betrag]]&lt;0,"A","E")</f>
        <v>A</v>
      </c>
    </row>
    <row r="173" spans="1:11" x14ac:dyDescent="0.25">
      <c r="A173" s="1">
        <v>42176</v>
      </c>
      <c r="B173" s="66" t="s">
        <v>63</v>
      </c>
      <c r="C173" s="66" t="s">
        <v>64</v>
      </c>
      <c r="D173" t="s">
        <v>65</v>
      </c>
      <c r="E173">
        <v>-60</v>
      </c>
      <c r="F173" s="66" t="s">
        <v>7</v>
      </c>
      <c r="G173" s="66" t="s">
        <v>11</v>
      </c>
      <c r="H173" s="66" t="str">
        <f>TEXT(Data[[#This Row],[Buchung]],"MMM")</f>
        <v>Jun</v>
      </c>
      <c r="I173" s="67">
        <f>YEAR(Data[[#This Row],[Buchung]])</f>
        <v>2015</v>
      </c>
      <c r="J173" s="2">
        <f>ABS(Data[[#This Row],[Betrag]])</f>
        <v>60</v>
      </c>
      <c r="K173" s="66" t="str">
        <f>IF(Data[[#This Row],[Betrag]]&lt;0,"A","E")</f>
        <v>A</v>
      </c>
    </row>
    <row r="174" spans="1:11" x14ac:dyDescent="0.25">
      <c r="A174" s="1">
        <v>42177</v>
      </c>
      <c r="B174" s="66" t="s">
        <v>54</v>
      </c>
      <c r="C174" s="66" t="s">
        <v>55</v>
      </c>
      <c r="D174" t="s">
        <v>66</v>
      </c>
      <c r="E174">
        <v>-80</v>
      </c>
      <c r="F174" s="66" t="s">
        <v>7</v>
      </c>
      <c r="G174" s="66" t="s">
        <v>57</v>
      </c>
      <c r="H174" s="66" t="str">
        <f>TEXT(Data[[#This Row],[Buchung]],"MMM")</f>
        <v>Jun</v>
      </c>
      <c r="I174" s="67">
        <f>YEAR(Data[[#This Row],[Buchung]])</f>
        <v>2015</v>
      </c>
      <c r="J174" s="2">
        <f>ABS(Data[[#This Row],[Betrag]])</f>
        <v>80</v>
      </c>
      <c r="K174" s="66" t="str">
        <f>IF(Data[[#This Row],[Betrag]]&lt;0,"A","E")</f>
        <v>A</v>
      </c>
    </row>
    <row r="175" spans="1:11" x14ac:dyDescent="0.25">
      <c r="A175" s="1">
        <v>42178</v>
      </c>
      <c r="B175" s="66" t="s">
        <v>67</v>
      </c>
      <c r="C175" s="66" t="s">
        <v>59</v>
      </c>
      <c r="D175" t="s">
        <v>68</v>
      </c>
      <c r="E175">
        <v>-20</v>
      </c>
      <c r="F175" s="66" t="s">
        <v>7</v>
      </c>
      <c r="G175" s="66" t="s">
        <v>10</v>
      </c>
      <c r="H175" s="66" t="str">
        <f>TEXT(Data[[#This Row],[Buchung]],"MMM")</f>
        <v>Jun</v>
      </c>
      <c r="I175" s="67">
        <f>YEAR(Data[[#This Row],[Buchung]])</f>
        <v>2015</v>
      </c>
      <c r="J175" s="2">
        <f>ABS(Data[[#This Row],[Betrag]])</f>
        <v>20</v>
      </c>
      <c r="K175" s="66" t="str">
        <f>IF(Data[[#This Row],[Betrag]]&lt;0,"A","E")</f>
        <v>A</v>
      </c>
    </row>
    <row r="176" spans="1:11" x14ac:dyDescent="0.25">
      <c r="A176" s="1">
        <v>42179</v>
      </c>
      <c r="B176" s="66" t="s">
        <v>45</v>
      </c>
      <c r="C176" s="66" t="s">
        <v>46</v>
      </c>
      <c r="D176" t="s">
        <v>47</v>
      </c>
      <c r="E176">
        <v>1000</v>
      </c>
      <c r="F176" s="66" t="s">
        <v>7</v>
      </c>
      <c r="G176" s="66" t="s">
        <v>9</v>
      </c>
      <c r="H176" s="66" t="str">
        <f>TEXT(Data[[#This Row],[Buchung]],"MMM")</f>
        <v>Jun</v>
      </c>
      <c r="I176" s="67">
        <f>YEAR(Data[[#This Row],[Buchung]])</f>
        <v>2015</v>
      </c>
      <c r="J176" s="2">
        <f>ABS(Data[[#This Row],[Betrag]])</f>
        <v>1000</v>
      </c>
      <c r="K176" s="66" t="str">
        <f>IF(Data[[#This Row],[Betrag]]&lt;0,"A","E")</f>
        <v>E</v>
      </c>
    </row>
    <row r="177" spans="1:11" x14ac:dyDescent="0.25">
      <c r="A177" s="1">
        <v>42180</v>
      </c>
      <c r="B177" s="66" t="s">
        <v>48</v>
      </c>
      <c r="C177" s="66" t="s">
        <v>49</v>
      </c>
      <c r="D177" t="s">
        <v>50</v>
      </c>
      <c r="E177">
        <v>-15</v>
      </c>
      <c r="F177" s="66" t="s">
        <v>7</v>
      </c>
      <c r="G177" s="66" t="s">
        <v>8</v>
      </c>
      <c r="H177" s="66" t="str">
        <f>TEXT(Data[[#This Row],[Buchung]],"MMM")</f>
        <v>Jun</v>
      </c>
      <c r="I177" s="67">
        <f>YEAR(Data[[#This Row],[Buchung]])</f>
        <v>2015</v>
      </c>
      <c r="J177" s="2">
        <f>ABS(Data[[#This Row],[Betrag]])</f>
        <v>15</v>
      </c>
      <c r="K177" s="66" t="str">
        <f>IF(Data[[#This Row],[Betrag]]&lt;0,"A","E")</f>
        <v>A</v>
      </c>
    </row>
    <row r="178" spans="1:11" x14ac:dyDescent="0.25">
      <c r="A178" s="1">
        <v>42181</v>
      </c>
      <c r="B178" s="66" t="s">
        <v>51</v>
      </c>
      <c r="C178" s="66" t="s">
        <v>52</v>
      </c>
      <c r="D178" t="s">
        <v>53</v>
      </c>
      <c r="E178">
        <v>-350</v>
      </c>
      <c r="F178" s="66" t="s">
        <v>7</v>
      </c>
      <c r="G178" s="66" t="s">
        <v>11</v>
      </c>
      <c r="H178" s="66" t="str">
        <f>TEXT(Data[[#This Row],[Buchung]],"MMM")</f>
        <v>Jun</v>
      </c>
      <c r="I178" s="67">
        <f>YEAR(Data[[#This Row],[Buchung]])</f>
        <v>2015</v>
      </c>
      <c r="J178" s="2">
        <f>ABS(Data[[#This Row],[Betrag]])</f>
        <v>350</v>
      </c>
      <c r="K178" s="66" t="str">
        <f>IF(Data[[#This Row],[Betrag]]&lt;0,"A","E")</f>
        <v>A</v>
      </c>
    </row>
    <row r="179" spans="1:11" x14ac:dyDescent="0.25">
      <c r="A179" s="1">
        <v>42182</v>
      </c>
      <c r="B179" s="66" t="s">
        <v>54</v>
      </c>
      <c r="C179" s="66" t="s">
        <v>55</v>
      </c>
      <c r="D179" t="s">
        <v>56</v>
      </c>
      <c r="E179">
        <v>-120</v>
      </c>
      <c r="F179" s="66" t="s">
        <v>7</v>
      </c>
      <c r="G179" s="66" t="s">
        <v>57</v>
      </c>
      <c r="H179" s="66" t="str">
        <f>TEXT(Data[[#This Row],[Buchung]],"MMM")</f>
        <v>Jun</v>
      </c>
      <c r="I179" s="67">
        <f>YEAR(Data[[#This Row],[Buchung]])</f>
        <v>2015</v>
      </c>
      <c r="J179" s="2">
        <f>ABS(Data[[#This Row],[Betrag]])</f>
        <v>120</v>
      </c>
      <c r="K179" s="66" t="str">
        <f>IF(Data[[#This Row],[Betrag]]&lt;0,"A","E")</f>
        <v>A</v>
      </c>
    </row>
    <row r="180" spans="1:11" x14ac:dyDescent="0.25">
      <c r="A180" s="1">
        <v>42183</v>
      </c>
      <c r="B180" s="66" t="s">
        <v>58</v>
      </c>
      <c r="C180" s="66" t="s">
        <v>59</v>
      </c>
      <c r="D180" t="s">
        <v>60</v>
      </c>
      <c r="E180">
        <v>-60</v>
      </c>
      <c r="F180" s="66" t="s">
        <v>7</v>
      </c>
      <c r="G180" s="66" t="s">
        <v>10</v>
      </c>
      <c r="H180" s="66" t="str">
        <f>TEXT(Data[[#This Row],[Buchung]],"MMM")</f>
        <v>Jun</v>
      </c>
      <c r="I180" s="67">
        <f>YEAR(Data[[#This Row],[Buchung]])</f>
        <v>2015</v>
      </c>
      <c r="J180" s="2">
        <f>ABS(Data[[#This Row],[Betrag]])</f>
        <v>60</v>
      </c>
      <c r="K180" s="66" t="str">
        <f>IF(Data[[#This Row],[Betrag]]&lt;0,"A","E")</f>
        <v>A</v>
      </c>
    </row>
    <row r="181" spans="1:11" x14ac:dyDescent="0.25">
      <c r="A181" s="1">
        <v>42184</v>
      </c>
      <c r="B181" s="66" t="s">
        <v>45</v>
      </c>
      <c r="C181" s="66" t="s">
        <v>46</v>
      </c>
      <c r="D181" t="s">
        <v>47</v>
      </c>
      <c r="E181">
        <v>1000</v>
      </c>
      <c r="F181" s="66" t="s">
        <v>7</v>
      </c>
      <c r="G181" s="66" t="s">
        <v>9</v>
      </c>
      <c r="H181" s="66" t="str">
        <f>TEXT(Data[[#This Row],[Buchung]],"MMM")</f>
        <v>Jun</v>
      </c>
      <c r="I181" s="67">
        <f>YEAR(Data[[#This Row],[Buchung]])</f>
        <v>2015</v>
      </c>
      <c r="J181" s="2">
        <f>ABS(Data[[#This Row],[Betrag]])</f>
        <v>1000</v>
      </c>
      <c r="K181" s="66" t="str">
        <f>IF(Data[[#This Row],[Betrag]]&lt;0,"A","E")</f>
        <v>E</v>
      </c>
    </row>
    <row r="182" spans="1:11" x14ac:dyDescent="0.25">
      <c r="A182" s="1">
        <v>42185</v>
      </c>
      <c r="B182" s="66" t="s">
        <v>61</v>
      </c>
      <c r="C182" s="66" t="s">
        <v>49</v>
      </c>
      <c r="D182" t="s">
        <v>62</v>
      </c>
      <c r="E182">
        <v>-10</v>
      </c>
      <c r="F182" s="66" t="s">
        <v>7</v>
      </c>
      <c r="G182" s="66" t="s">
        <v>8</v>
      </c>
      <c r="H182" s="66" t="str">
        <f>TEXT(Data[[#This Row],[Buchung]],"MMM")</f>
        <v>Jun</v>
      </c>
      <c r="I182" s="67">
        <f>YEAR(Data[[#This Row],[Buchung]])</f>
        <v>2015</v>
      </c>
      <c r="J182" s="2">
        <f>ABS(Data[[#This Row],[Betrag]])</f>
        <v>10</v>
      </c>
      <c r="K182" s="66" t="str">
        <f>IF(Data[[#This Row],[Betrag]]&lt;0,"A","E")</f>
        <v>A</v>
      </c>
    </row>
    <row r="183" spans="1:11" x14ac:dyDescent="0.25">
      <c r="A183" s="1">
        <v>42186</v>
      </c>
      <c r="B183" s="66" t="s">
        <v>63</v>
      </c>
      <c r="C183" s="66" t="s">
        <v>64</v>
      </c>
      <c r="D183" t="s">
        <v>65</v>
      </c>
      <c r="E183">
        <v>-70</v>
      </c>
      <c r="F183" s="66" t="s">
        <v>7</v>
      </c>
      <c r="G183" s="66" t="s">
        <v>11</v>
      </c>
      <c r="H183" s="66" t="str">
        <f>TEXT(Data[[#This Row],[Buchung]],"MMM")</f>
        <v>Jul</v>
      </c>
      <c r="I183" s="67">
        <f>YEAR(Data[[#This Row],[Buchung]])</f>
        <v>2015</v>
      </c>
      <c r="J183" s="2">
        <f>ABS(Data[[#This Row],[Betrag]])</f>
        <v>70</v>
      </c>
      <c r="K183" s="66" t="str">
        <f>IF(Data[[#This Row],[Betrag]]&lt;0,"A","E")</f>
        <v>A</v>
      </c>
    </row>
    <row r="184" spans="1:11" x14ac:dyDescent="0.25">
      <c r="A184" s="1">
        <v>42187</v>
      </c>
      <c r="B184" s="66" t="s">
        <v>54</v>
      </c>
      <c r="C184" s="66" t="s">
        <v>55</v>
      </c>
      <c r="D184" t="s">
        <v>66</v>
      </c>
      <c r="E184">
        <v>-80</v>
      </c>
      <c r="F184" s="66" t="s">
        <v>7</v>
      </c>
      <c r="G184" s="66" t="s">
        <v>57</v>
      </c>
      <c r="H184" s="66" t="str">
        <f>TEXT(Data[[#This Row],[Buchung]],"MMM")</f>
        <v>Jul</v>
      </c>
      <c r="I184" s="67">
        <f>YEAR(Data[[#This Row],[Buchung]])</f>
        <v>2015</v>
      </c>
      <c r="J184" s="2">
        <f>ABS(Data[[#This Row],[Betrag]])</f>
        <v>80</v>
      </c>
      <c r="K184" s="66" t="str">
        <f>IF(Data[[#This Row],[Betrag]]&lt;0,"A","E")</f>
        <v>A</v>
      </c>
    </row>
    <row r="185" spans="1:11" x14ac:dyDescent="0.25">
      <c r="A185" s="1">
        <v>42188</v>
      </c>
      <c r="B185" s="66" t="s">
        <v>67</v>
      </c>
      <c r="C185" s="66" t="s">
        <v>59</v>
      </c>
      <c r="D185" t="s">
        <v>68</v>
      </c>
      <c r="E185">
        <v>-25</v>
      </c>
      <c r="F185" s="66" t="s">
        <v>7</v>
      </c>
      <c r="G185" s="66" t="s">
        <v>10</v>
      </c>
      <c r="H185" s="66" t="str">
        <f>TEXT(Data[[#This Row],[Buchung]],"MMM")</f>
        <v>Jul</v>
      </c>
      <c r="I185" s="67">
        <f>YEAR(Data[[#This Row],[Buchung]])</f>
        <v>2015</v>
      </c>
      <c r="J185" s="2">
        <f>ABS(Data[[#This Row],[Betrag]])</f>
        <v>25</v>
      </c>
      <c r="K185" s="66" t="str">
        <f>IF(Data[[#This Row],[Betrag]]&lt;0,"A","E")</f>
        <v>A</v>
      </c>
    </row>
    <row r="186" spans="1:11" x14ac:dyDescent="0.25">
      <c r="A186" s="1">
        <v>42189</v>
      </c>
      <c r="B186" s="66" t="s">
        <v>45</v>
      </c>
      <c r="C186" s="66" t="s">
        <v>46</v>
      </c>
      <c r="D186" t="s">
        <v>47</v>
      </c>
      <c r="E186">
        <v>1000</v>
      </c>
      <c r="F186" s="66" t="s">
        <v>7</v>
      </c>
      <c r="G186" s="66" t="s">
        <v>9</v>
      </c>
      <c r="H186" s="66" t="str">
        <f>TEXT(Data[[#This Row],[Buchung]],"MMM")</f>
        <v>Jul</v>
      </c>
      <c r="I186" s="67">
        <f>YEAR(Data[[#This Row],[Buchung]])</f>
        <v>2015</v>
      </c>
      <c r="J186" s="2">
        <f>ABS(Data[[#This Row],[Betrag]])</f>
        <v>1000</v>
      </c>
      <c r="K186" s="66" t="str">
        <f>IF(Data[[#This Row],[Betrag]]&lt;0,"A","E")</f>
        <v>E</v>
      </c>
    </row>
    <row r="187" spans="1:11" x14ac:dyDescent="0.25">
      <c r="A187" s="1">
        <v>42190</v>
      </c>
      <c r="B187" s="66" t="s">
        <v>48</v>
      </c>
      <c r="C187" s="66" t="s">
        <v>49</v>
      </c>
      <c r="D187" t="s">
        <v>50</v>
      </c>
      <c r="E187">
        <v>-15</v>
      </c>
      <c r="F187" s="66" t="s">
        <v>7</v>
      </c>
      <c r="G187" s="66" t="s">
        <v>8</v>
      </c>
      <c r="H187" s="66" t="str">
        <f>TEXT(Data[[#This Row],[Buchung]],"MMM")</f>
        <v>Jul</v>
      </c>
      <c r="I187" s="67">
        <f>YEAR(Data[[#This Row],[Buchung]])</f>
        <v>2015</v>
      </c>
      <c r="J187" s="2">
        <f>ABS(Data[[#This Row],[Betrag]])</f>
        <v>15</v>
      </c>
      <c r="K187" s="66" t="str">
        <f>IF(Data[[#This Row],[Betrag]]&lt;0,"A","E")</f>
        <v>A</v>
      </c>
    </row>
    <row r="188" spans="1:11" x14ac:dyDescent="0.25">
      <c r="A188" s="1">
        <v>42191</v>
      </c>
      <c r="B188" s="66" t="s">
        <v>51</v>
      </c>
      <c r="C188" s="66" t="s">
        <v>52</v>
      </c>
      <c r="D188" t="s">
        <v>53</v>
      </c>
      <c r="E188">
        <v>-350</v>
      </c>
      <c r="F188" s="66" t="s">
        <v>7</v>
      </c>
      <c r="G188" s="66" t="s">
        <v>11</v>
      </c>
      <c r="H188" s="66" t="str">
        <f>TEXT(Data[[#This Row],[Buchung]],"MMM")</f>
        <v>Jul</v>
      </c>
      <c r="I188" s="67">
        <f>YEAR(Data[[#This Row],[Buchung]])</f>
        <v>2015</v>
      </c>
      <c r="J188" s="2">
        <f>ABS(Data[[#This Row],[Betrag]])</f>
        <v>350</v>
      </c>
      <c r="K188" s="66" t="str">
        <f>IF(Data[[#This Row],[Betrag]]&lt;0,"A","E")</f>
        <v>A</v>
      </c>
    </row>
    <row r="189" spans="1:11" x14ac:dyDescent="0.25">
      <c r="A189" s="1">
        <v>42192</v>
      </c>
      <c r="B189" s="66" t="s">
        <v>54</v>
      </c>
      <c r="C189" s="66" t="s">
        <v>55</v>
      </c>
      <c r="D189" t="s">
        <v>56</v>
      </c>
      <c r="E189">
        <v>-120</v>
      </c>
      <c r="F189" s="66" t="s">
        <v>7</v>
      </c>
      <c r="G189" s="66" t="s">
        <v>57</v>
      </c>
      <c r="H189" s="66" t="str">
        <f>TEXT(Data[[#This Row],[Buchung]],"MMM")</f>
        <v>Jul</v>
      </c>
      <c r="I189" s="67">
        <f>YEAR(Data[[#This Row],[Buchung]])</f>
        <v>2015</v>
      </c>
      <c r="J189" s="2">
        <f>ABS(Data[[#This Row],[Betrag]])</f>
        <v>120</v>
      </c>
      <c r="K189" s="66" t="str">
        <f>IF(Data[[#This Row],[Betrag]]&lt;0,"A","E")</f>
        <v>A</v>
      </c>
    </row>
    <row r="190" spans="1:11" x14ac:dyDescent="0.25">
      <c r="A190" s="1">
        <v>42193</v>
      </c>
      <c r="B190" s="66" t="s">
        <v>58</v>
      </c>
      <c r="C190" s="66" t="s">
        <v>59</v>
      </c>
      <c r="D190" t="s">
        <v>60</v>
      </c>
      <c r="E190">
        <v>-70</v>
      </c>
      <c r="F190" s="66" t="s">
        <v>7</v>
      </c>
      <c r="G190" s="66" t="s">
        <v>10</v>
      </c>
      <c r="H190" s="66" t="str">
        <f>TEXT(Data[[#This Row],[Buchung]],"MMM")</f>
        <v>Jul</v>
      </c>
      <c r="I190" s="67">
        <f>YEAR(Data[[#This Row],[Buchung]])</f>
        <v>2015</v>
      </c>
      <c r="J190" s="2">
        <f>ABS(Data[[#This Row],[Betrag]])</f>
        <v>70</v>
      </c>
      <c r="K190" s="66" t="str">
        <f>IF(Data[[#This Row],[Betrag]]&lt;0,"A","E")</f>
        <v>A</v>
      </c>
    </row>
    <row r="191" spans="1:11" x14ac:dyDescent="0.25">
      <c r="A191" s="1">
        <v>42194</v>
      </c>
      <c r="B191" s="66" t="s">
        <v>45</v>
      </c>
      <c r="C191" s="66" t="s">
        <v>46</v>
      </c>
      <c r="D191" t="s">
        <v>47</v>
      </c>
      <c r="E191">
        <v>1000</v>
      </c>
      <c r="F191" s="66" t="s">
        <v>7</v>
      </c>
      <c r="G191" s="66" t="s">
        <v>9</v>
      </c>
      <c r="H191" s="66" t="str">
        <f>TEXT(Data[[#This Row],[Buchung]],"MMM")</f>
        <v>Jul</v>
      </c>
      <c r="I191" s="67">
        <f>YEAR(Data[[#This Row],[Buchung]])</f>
        <v>2015</v>
      </c>
      <c r="J191" s="2">
        <f>ABS(Data[[#This Row],[Betrag]])</f>
        <v>1000</v>
      </c>
      <c r="K191" s="66" t="str">
        <f>IF(Data[[#This Row],[Betrag]]&lt;0,"A","E")</f>
        <v>E</v>
      </c>
    </row>
    <row r="192" spans="1:11" x14ac:dyDescent="0.25">
      <c r="A192" s="1">
        <v>42195</v>
      </c>
      <c r="B192" s="66" t="s">
        <v>61</v>
      </c>
      <c r="C192" s="66" t="s">
        <v>49</v>
      </c>
      <c r="D192" t="s">
        <v>62</v>
      </c>
      <c r="E192">
        <v>-10</v>
      </c>
      <c r="F192" s="66" t="s">
        <v>7</v>
      </c>
      <c r="G192" s="66" t="s">
        <v>8</v>
      </c>
      <c r="H192" s="66" t="str">
        <f>TEXT(Data[[#This Row],[Buchung]],"MMM")</f>
        <v>Jul</v>
      </c>
      <c r="I192" s="67">
        <f>YEAR(Data[[#This Row],[Buchung]])</f>
        <v>2015</v>
      </c>
      <c r="J192" s="2">
        <f>ABS(Data[[#This Row],[Betrag]])</f>
        <v>10</v>
      </c>
      <c r="K192" s="66" t="str">
        <f>IF(Data[[#This Row],[Betrag]]&lt;0,"A","E")</f>
        <v>A</v>
      </c>
    </row>
    <row r="193" spans="1:11" x14ac:dyDescent="0.25">
      <c r="A193" s="1">
        <v>42196</v>
      </c>
      <c r="B193" s="66" t="s">
        <v>63</v>
      </c>
      <c r="C193" s="66" t="s">
        <v>64</v>
      </c>
      <c r="D193" t="s">
        <v>65</v>
      </c>
      <c r="E193">
        <v>-60</v>
      </c>
      <c r="F193" s="66" t="s">
        <v>7</v>
      </c>
      <c r="G193" s="66" t="s">
        <v>11</v>
      </c>
      <c r="H193" s="66" t="str">
        <f>TEXT(Data[[#This Row],[Buchung]],"MMM")</f>
        <v>Jul</v>
      </c>
      <c r="I193" s="67">
        <f>YEAR(Data[[#This Row],[Buchung]])</f>
        <v>2015</v>
      </c>
      <c r="J193" s="2">
        <f>ABS(Data[[#This Row],[Betrag]])</f>
        <v>60</v>
      </c>
      <c r="K193" s="66" t="str">
        <f>IF(Data[[#This Row],[Betrag]]&lt;0,"A","E")</f>
        <v>A</v>
      </c>
    </row>
    <row r="194" spans="1:11" x14ac:dyDescent="0.25">
      <c r="A194" s="1">
        <v>42197</v>
      </c>
      <c r="B194" s="66" t="s">
        <v>54</v>
      </c>
      <c r="C194" s="66" t="s">
        <v>55</v>
      </c>
      <c r="D194" t="s">
        <v>66</v>
      </c>
      <c r="E194">
        <v>-80</v>
      </c>
      <c r="F194" s="66" t="s">
        <v>7</v>
      </c>
      <c r="G194" s="66" t="s">
        <v>57</v>
      </c>
      <c r="H194" s="66" t="str">
        <f>TEXT(Data[[#This Row],[Buchung]],"MMM")</f>
        <v>Jul</v>
      </c>
      <c r="I194" s="67">
        <f>YEAR(Data[[#This Row],[Buchung]])</f>
        <v>2015</v>
      </c>
      <c r="J194" s="2">
        <f>ABS(Data[[#This Row],[Betrag]])</f>
        <v>80</v>
      </c>
      <c r="K194" s="66" t="str">
        <f>IF(Data[[#This Row],[Betrag]]&lt;0,"A","E")</f>
        <v>A</v>
      </c>
    </row>
    <row r="195" spans="1:11" x14ac:dyDescent="0.25">
      <c r="A195" s="1">
        <v>42198</v>
      </c>
      <c r="B195" s="66" t="s">
        <v>67</v>
      </c>
      <c r="C195" s="66" t="s">
        <v>59</v>
      </c>
      <c r="D195" t="s">
        <v>68</v>
      </c>
      <c r="E195">
        <v>-30</v>
      </c>
      <c r="F195" s="66" t="s">
        <v>7</v>
      </c>
      <c r="G195" s="66" t="s">
        <v>10</v>
      </c>
      <c r="H195" s="66" t="str">
        <f>TEXT(Data[[#This Row],[Buchung]],"MMM")</f>
        <v>Jul</v>
      </c>
      <c r="I195" s="67">
        <f>YEAR(Data[[#This Row],[Buchung]])</f>
        <v>2015</v>
      </c>
      <c r="J195" s="2">
        <f>ABS(Data[[#This Row],[Betrag]])</f>
        <v>30</v>
      </c>
      <c r="K195" s="66" t="str">
        <f>IF(Data[[#This Row],[Betrag]]&lt;0,"A","E")</f>
        <v>A</v>
      </c>
    </row>
    <row r="196" spans="1:11" x14ac:dyDescent="0.25">
      <c r="A196" s="1">
        <v>42199</v>
      </c>
      <c r="B196" s="66" t="s">
        <v>45</v>
      </c>
      <c r="C196" s="66" t="s">
        <v>46</v>
      </c>
      <c r="D196" t="s">
        <v>47</v>
      </c>
      <c r="E196">
        <v>1000</v>
      </c>
      <c r="F196" s="66" t="s">
        <v>7</v>
      </c>
      <c r="G196" s="66" t="s">
        <v>9</v>
      </c>
      <c r="H196" s="66" t="str">
        <f>TEXT(Data[[#This Row],[Buchung]],"MMM")</f>
        <v>Jul</v>
      </c>
      <c r="I196" s="67">
        <f>YEAR(Data[[#This Row],[Buchung]])</f>
        <v>2015</v>
      </c>
      <c r="J196" s="2">
        <f>ABS(Data[[#This Row],[Betrag]])</f>
        <v>1000</v>
      </c>
      <c r="K196" s="66" t="str">
        <f>IF(Data[[#This Row],[Betrag]]&lt;0,"A","E")</f>
        <v>E</v>
      </c>
    </row>
    <row r="197" spans="1:11" x14ac:dyDescent="0.25">
      <c r="A197" s="1">
        <v>42200</v>
      </c>
      <c r="B197" s="66" t="s">
        <v>48</v>
      </c>
      <c r="C197" s="66" t="s">
        <v>49</v>
      </c>
      <c r="D197" t="s">
        <v>50</v>
      </c>
      <c r="E197">
        <v>-15</v>
      </c>
      <c r="F197" s="66" t="s">
        <v>7</v>
      </c>
      <c r="G197" s="66" t="s">
        <v>8</v>
      </c>
      <c r="H197" s="66" t="str">
        <f>TEXT(Data[[#This Row],[Buchung]],"MMM")</f>
        <v>Jul</v>
      </c>
      <c r="I197" s="67">
        <f>YEAR(Data[[#This Row],[Buchung]])</f>
        <v>2015</v>
      </c>
      <c r="J197" s="2">
        <f>ABS(Data[[#This Row],[Betrag]])</f>
        <v>15</v>
      </c>
      <c r="K197" s="66" t="str">
        <f>IF(Data[[#This Row],[Betrag]]&lt;0,"A","E")</f>
        <v>A</v>
      </c>
    </row>
    <row r="198" spans="1:11" x14ac:dyDescent="0.25">
      <c r="A198" s="1">
        <v>42201</v>
      </c>
      <c r="B198" s="66" t="s">
        <v>51</v>
      </c>
      <c r="C198" s="66" t="s">
        <v>52</v>
      </c>
      <c r="D198" t="s">
        <v>53</v>
      </c>
      <c r="E198">
        <v>-350</v>
      </c>
      <c r="F198" s="66" t="s">
        <v>7</v>
      </c>
      <c r="G198" s="66" t="s">
        <v>11</v>
      </c>
      <c r="H198" s="66" t="str">
        <f>TEXT(Data[[#This Row],[Buchung]],"MMM")</f>
        <v>Jul</v>
      </c>
      <c r="I198" s="67">
        <f>YEAR(Data[[#This Row],[Buchung]])</f>
        <v>2015</v>
      </c>
      <c r="J198" s="2">
        <f>ABS(Data[[#This Row],[Betrag]])</f>
        <v>350</v>
      </c>
      <c r="K198" s="66" t="str">
        <f>IF(Data[[#This Row],[Betrag]]&lt;0,"A","E")</f>
        <v>A</v>
      </c>
    </row>
    <row r="199" spans="1:11" x14ac:dyDescent="0.25">
      <c r="A199" s="1">
        <v>42202</v>
      </c>
      <c r="B199" s="66" t="s">
        <v>54</v>
      </c>
      <c r="C199" s="66" t="s">
        <v>55</v>
      </c>
      <c r="D199" t="s">
        <v>56</v>
      </c>
      <c r="E199">
        <v>-120</v>
      </c>
      <c r="F199" s="66" t="s">
        <v>7</v>
      </c>
      <c r="G199" s="66" t="s">
        <v>57</v>
      </c>
      <c r="H199" s="66" t="str">
        <f>TEXT(Data[[#This Row],[Buchung]],"MMM")</f>
        <v>Jul</v>
      </c>
      <c r="I199" s="67">
        <f>YEAR(Data[[#This Row],[Buchung]])</f>
        <v>2015</v>
      </c>
      <c r="J199" s="2">
        <f>ABS(Data[[#This Row],[Betrag]])</f>
        <v>120</v>
      </c>
      <c r="K199" s="66" t="str">
        <f>IF(Data[[#This Row],[Betrag]]&lt;0,"A","E")</f>
        <v>A</v>
      </c>
    </row>
    <row r="200" spans="1:11" x14ac:dyDescent="0.25">
      <c r="A200" s="1">
        <v>42203</v>
      </c>
      <c r="B200" s="66" t="s">
        <v>58</v>
      </c>
      <c r="C200" s="66" t="s">
        <v>59</v>
      </c>
      <c r="D200" t="s">
        <v>60</v>
      </c>
      <c r="E200">
        <v>-80</v>
      </c>
      <c r="F200" s="66" t="s">
        <v>7</v>
      </c>
      <c r="G200" s="66" t="s">
        <v>10</v>
      </c>
      <c r="H200" s="66" t="str">
        <f>TEXT(Data[[#This Row],[Buchung]],"MMM")</f>
        <v>Jul</v>
      </c>
      <c r="I200" s="67">
        <f>YEAR(Data[[#This Row],[Buchung]])</f>
        <v>2015</v>
      </c>
      <c r="J200" s="2">
        <f>ABS(Data[[#This Row],[Betrag]])</f>
        <v>80</v>
      </c>
      <c r="K200" s="66" t="str">
        <f>IF(Data[[#This Row],[Betrag]]&lt;0,"A","E")</f>
        <v>A</v>
      </c>
    </row>
    <row r="201" spans="1:11" x14ac:dyDescent="0.25">
      <c r="A201" s="1">
        <v>42204</v>
      </c>
      <c r="B201" s="66" t="s">
        <v>45</v>
      </c>
      <c r="C201" s="66" t="s">
        <v>46</v>
      </c>
      <c r="D201" t="s">
        <v>47</v>
      </c>
      <c r="E201">
        <v>1000</v>
      </c>
      <c r="F201" s="66" t="s">
        <v>7</v>
      </c>
      <c r="G201" s="66" t="s">
        <v>9</v>
      </c>
      <c r="H201" s="66" t="str">
        <f>TEXT(Data[[#This Row],[Buchung]],"MMM")</f>
        <v>Jul</v>
      </c>
      <c r="I201" s="67">
        <f>YEAR(Data[[#This Row],[Buchung]])</f>
        <v>2015</v>
      </c>
      <c r="J201" s="2">
        <f>ABS(Data[[#This Row],[Betrag]])</f>
        <v>1000</v>
      </c>
      <c r="K201" s="66" t="str">
        <f>IF(Data[[#This Row],[Betrag]]&lt;0,"A","E")</f>
        <v>E</v>
      </c>
    </row>
    <row r="202" spans="1:11" x14ac:dyDescent="0.25">
      <c r="A202" s="1">
        <v>42205</v>
      </c>
      <c r="B202" s="66" t="s">
        <v>61</v>
      </c>
      <c r="C202" s="66" t="s">
        <v>49</v>
      </c>
      <c r="D202" t="s">
        <v>62</v>
      </c>
      <c r="E202">
        <v>-10</v>
      </c>
      <c r="F202" s="66" t="s">
        <v>7</v>
      </c>
      <c r="G202" s="66" t="s">
        <v>8</v>
      </c>
      <c r="H202" s="66" t="str">
        <f>TEXT(Data[[#This Row],[Buchung]],"MMM")</f>
        <v>Jul</v>
      </c>
      <c r="I202" s="67">
        <f>YEAR(Data[[#This Row],[Buchung]])</f>
        <v>2015</v>
      </c>
      <c r="J202" s="2">
        <f>ABS(Data[[#This Row],[Betrag]])</f>
        <v>10</v>
      </c>
      <c r="K202" s="66" t="str">
        <f>IF(Data[[#This Row],[Betrag]]&lt;0,"A","E")</f>
        <v>A</v>
      </c>
    </row>
    <row r="203" spans="1:11" x14ac:dyDescent="0.25">
      <c r="A203" s="1">
        <v>42206</v>
      </c>
      <c r="B203" s="66" t="s">
        <v>63</v>
      </c>
      <c r="C203" s="66" t="s">
        <v>64</v>
      </c>
      <c r="D203" t="s">
        <v>65</v>
      </c>
      <c r="E203">
        <v>-65</v>
      </c>
      <c r="F203" s="66" t="s">
        <v>7</v>
      </c>
      <c r="G203" s="66" t="s">
        <v>11</v>
      </c>
      <c r="H203" s="66" t="str">
        <f>TEXT(Data[[#This Row],[Buchung]],"MMM")</f>
        <v>Jul</v>
      </c>
      <c r="I203" s="67">
        <f>YEAR(Data[[#This Row],[Buchung]])</f>
        <v>2015</v>
      </c>
      <c r="J203" s="2">
        <f>ABS(Data[[#This Row],[Betrag]])</f>
        <v>65</v>
      </c>
      <c r="K203" s="66" t="str">
        <f>IF(Data[[#This Row],[Betrag]]&lt;0,"A","E")</f>
        <v>A</v>
      </c>
    </row>
    <row r="204" spans="1:11" x14ac:dyDescent="0.25">
      <c r="A204" s="1">
        <v>42207</v>
      </c>
      <c r="B204" s="66" t="s">
        <v>54</v>
      </c>
      <c r="C204" s="66" t="s">
        <v>55</v>
      </c>
      <c r="D204" t="s">
        <v>66</v>
      </c>
      <c r="E204">
        <v>-80</v>
      </c>
      <c r="F204" s="66" t="s">
        <v>7</v>
      </c>
      <c r="G204" s="66" t="s">
        <v>57</v>
      </c>
      <c r="H204" s="66" t="str">
        <f>TEXT(Data[[#This Row],[Buchung]],"MMM")</f>
        <v>Jul</v>
      </c>
      <c r="I204" s="67">
        <f>YEAR(Data[[#This Row],[Buchung]])</f>
        <v>2015</v>
      </c>
      <c r="J204" s="2">
        <f>ABS(Data[[#This Row],[Betrag]])</f>
        <v>80</v>
      </c>
      <c r="K204" s="66" t="str">
        <f>IF(Data[[#This Row],[Betrag]]&lt;0,"A","E")</f>
        <v>A</v>
      </c>
    </row>
    <row r="205" spans="1:11" x14ac:dyDescent="0.25">
      <c r="A205" s="1">
        <v>42208</v>
      </c>
      <c r="B205" s="66" t="s">
        <v>67</v>
      </c>
      <c r="C205" s="66" t="s">
        <v>59</v>
      </c>
      <c r="D205" t="s">
        <v>68</v>
      </c>
      <c r="E205">
        <v>-35</v>
      </c>
      <c r="F205" s="66" t="s">
        <v>7</v>
      </c>
      <c r="G205" s="66" t="s">
        <v>10</v>
      </c>
      <c r="H205" s="66" t="str">
        <f>TEXT(Data[[#This Row],[Buchung]],"MMM")</f>
        <v>Jul</v>
      </c>
      <c r="I205" s="67">
        <f>YEAR(Data[[#This Row],[Buchung]])</f>
        <v>2015</v>
      </c>
      <c r="J205" s="2">
        <f>ABS(Data[[#This Row],[Betrag]])</f>
        <v>35</v>
      </c>
      <c r="K205" s="66" t="str">
        <f>IF(Data[[#This Row],[Betrag]]&lt;0,"A","E")</f>
        <v>A</v>
      </c>
    </row>
    <row r="206" spans="1:11" x14ac:dyDescent="0.25">
      <c r="A206" s="1">
        <v>42209</v>
      </c>
      <c r="B206" s="66" t="s">
        <v>45</v>
      </c>
      <c r="C206" s="66" t="s">
        <v>46</v>
      </c>
      <c r="D206" t="s">
        <v>47</v>
      </c>
      <c r="E206">
        <v>1000</v>
      </c>
      <c r="F206" s="66" t="s">
        <v>7</v>
      </c>
      <c r="G206" s="66" t="s">
        <v>9</v>
      </c>
      <c r="H206" s="66" t="str">
        <f>TEXT(Data[[#This Row],[Buchung]],"MMM")</f>
        <v>Jul</v>
      </c>
      <c r="I206" s="67">
        <f>YEAR(Data[[#This Row],[Buchung]])</f>
        <v>2015</v>
      </c>
      <c r="J206" s="2">
        <f>ABS(Data[[#This Row],[Betrag]])</f>
        <v>1000</v>
      </c>
      <c r="K206" s="66" t="str">
        <f>IF(Data[[#This Row],[Betrag]]&lt;0,"A","E")</f>
        <v>E</v>
      </c>
    </row>
    <row r="207" spans="1:11" x14ac:dyDescent="0.25">
      <c r="A207" s="1">
        <v>42210</v>
      </c>
      <c r="B207" s="66" t="s">
        <v>45</v>
      </c>
      <c r="C207" s="66" t="s">
        <v>46</v>
      </c>
      <c r="D207" t="s">
        <v>47</v>
      </c>
      <c r="E207">
        <v>1000</v>
      </c>
      <c r="F207" s="66" t="s">
        <v>7</v>
      </c>
      <c r="G207" s="66" t="s">
        <v>9</v>
      </c>
      <c r="H207" s="66" t="str">
        <f>TEXT(Data[[#This Row],[Buchung]],"MMM")</f>
        <v>Jul</v>
      </c>
      <c r="I207" s="67">
        <f>YEAR(Data[[#This Row],[Buchung]])</f>
        <v>2015</v>
      </c>
      <c r="J207" s="2">
        <f>ABS(Data[[#This Row],[Betrag]])</f>
        <v>1000</v>
      </c>
      <c r="K207" s="66" t="str">
        <f>IF(Data[[#This Row],[Betrag]]&lt;0,"A","E")</f>
        <v>E</v>
      </c>
    </row>
    <row r="208" spans="1:11" x14ac:dyDescent="0.25">
      <c r="A208" s="1">
        <v>42211</v>
      </c>
      <c r="B208" s="66" t="s">
        <v>48</v>
      </c>
      <c r="C208" s="66" t="s">
        <v>49</v>
      </c>
      <c r="D208" t="s">
        <v>50</v>
      </c>
      <c r="E208">
        <v>-15</v>
      </c>
      <c r="F208" s="66" t="s">
        <v>7</v>
      </c>
      <c r="G208" s="66" t="s">
        <v>8</v>
      </c>
      <c r="H208" s="66" t="str">
        <f>TEXT(Data[[#This Row],[Buchung]],"MMM")</f>
        <v>Jul</v>
      </c>
      <c r="I208" s="67">
        <f>YEAR(Data[[#This Row],[Buchung]])</f>
        <v>2015</v>
      </c>
      <c r="J208" s="2">
        <f>ABS(Data[[#This Row],[Betrag]])</f>
        <v>15</v>
      </c>
      <c r="K208" s="66" t="str">
        <f>IF(Data[[#This Row],[Betrag]]&lt;0,"A","E")</f>
        <v>A</v>
      </c>
    </row>
    <row r="209" spans="1:11" x14ac:dyDescent="0.25">
      <c r="A209" s="1">
        <v>42212</v>
      </c>
      <c r="B209" s="66" t="s">
        <v>51</v>
      </c>
      <c r="C209" s="66" t="s">
        <v>52</v>
      </c>
      <c r="D209" t="s">
        <v>53</v>
      </c>
      <c r="E209">
        <v>-350</v>
      </c>
      <c r="F209" s="66" t="s">
        <v>7</v>
      </c>
      <c r="G209" s="66" t="s">
        <v>11</v>
      </c>
      <c r="H209" s="66" t="str">
        <f>TEXT(Data[[#This Row],[Buchung]],"MMM")</f>
        <v>Jul</v>
      </c>
      <c r="I209" s="67">
        <f>YEAR(Data[[#This Row],[Buchung]])</f>
        <v>2015</v>
      </c>
      <c r="J209" s="2">
        <f>ABS(Data[[#This Row],[Betrag]])</f>
        <v>350</v>
      </c>
      <c r="K209" s="66" t="str">
        <f>IF(Data[[#This Row],[Betrag]]&lt;0,"A","E")</f>
        <v>A</v>
      </c>
    </row>
    <row r="210" spans="1:11" x14ac:dyDescent="0.25">
      <c r="A210" s="1">
        <v>42213</v>
      </c>
      <c r="B210" s="66" t="s">
        <v>54</v>
      </c>
      <c r="C210" s="66" t="s">
        <v>55</v>
      </c>
      <c r="D210" t="s">
        <v>56</v>
      </c>
      <c r="E210">
        <v>-120</v>
      </c>
      <c r="F210" s="66" t="s">
        <v>7</v>
      </c>
      <c r="G210" s="66" t="s">
        <v>57</v>
      </c>
      <c r="H210" s="66" t="str">
        <f>TEXT(Data[[#This Row],[Buchung]],"MMM")</f>
        <v>Jul</v>
      </c>
      <c r="I210" s="67">
        <f>YEAR(Data[[#This Row],[Buchung]])</f>
        <v>2015</v>
      </c>
      <c r="J210" s="2">
        <f>ABS(Data[[#This Row],[Betrag]])</f>
        <v>120</v>
      </c>
      <c r="K210" s="66" t="str">
        <f>IF(Data[[#This Row],[Betrag]]&lt;0,"A","E")</f>
        <v>A</v>
      </c>
    </row>
    <row r="211" spans="1:11" x14ac:dyDescent="0.25">
      <c r="A211" s="1">
        <v>42214</v>
      </c>
      <c r="B211" s="66" t="s">
        <v>58</v>
      </c>
      <c r="C211" s="66" t="s">
        <v>59</v>
      </c>
      <c r="D211" t="s">
        <v>60</v>
      </c>
      <c r="E211">
        <v>-50</v>
      </c>
      <c r="F211" s="66" t="s">
        <v>7</v>
      </c>
      <c r="G211" s="66" t="s">
        <v>10</v>
      </c>
      <c r="H211" s="66" t="str">
        <f>TEXT(Data[[#This Row],[Buchung]],"MMM")</f>
        <v>Jul</v>
      </c>
      <c r="I211" s="67">
        <f>YEAR(Data[[#This Row],[Buchung]])</f>
        <v>2015</v>
      </c>
      <c r="J211" s="2">
        <f>ABS(Data[[#This Row],[Betrag]])</f>
        <v>50</v>
      </c>
      <c r="K211" s="66" t="str">
        <f>IF(Data[[#This Row],[Betrag]]&lt;0,"A","E")</f>
        <v>A</v>
      </c>
    </row>
    <row r="212" spans="1:11" x14ac:dyDescent="0.25">
      <c r="A212" s="1">
        <v>42215</v>
      </c>
      <c r="B212" s="66" t="s">
        <v>45</v>
      </c>
      <c r="C212" s="66" t="s">
        <v>46</v>
      </c>
      <c r="D212" t="s">
        <v>47</v>
      </c>
      <c r="E212">
        <v>1000</v>
      </c>
      <c r="F212" s="66" t="s">
        <v>7</v>
      </c>
      <c r="G212" s="66" t="s">
        <v>9</v>
      </c>
      <c r="H212" s="66" t="str">
        <f>TEXT(Data[[#This Row],[Buchung]],"MMM")</f>
        <v>Jul</v>
      </c>
      <c r="I212" s="67">
        <f>YEAR(Data[[#This Row],[Buchung]])</f>
        <v>2015</v>
      </c>
      <c r="J212" s="2">
        <f>ABS(Data[[#This Row],[Betrag]])</f>
        <v>1000</v>
      </c>
      <c r="K212" s="66" t="str">
        <f>IF(Data[[#This Row],[Betrag]]&lt;0,"A","E")</f>
        <v>E</v>
      </c>
    </row>
    <row r="213" spans="1:11" x14ac:dyDescent="0.25">
      <c r="A213" s="1">
        <v>42216</v>
      </c>
      <c r="B213" s="66" t="s">
        <v>61</v>
      </c>
      <c r="C213" s="66" t="s">
        <v>49</v>
      </c>
      <c r="D213" t="s">
        <v>62</v>
      </c>
      <c r="E213">
        <v>-10</v>
      </c>
      <c r="F213" s="66" t="s">
        <v>7</v>
      </c>
      <c r="G213" s="66" t="s">
        <v>8</v>
      </c>
      <c r="H213" s="66" t="str">
        <f>TEXT(Data[[#This Row],[Buchung]],"MMM")</f>
        <v>Jul</v>
      </c>
      <c r="I213" s="67">
        <f>YEAR(Data[[#This Row],[Buchung]])</f>
        <v>2015</v>
      </c>
      <c r="J213" s="2">
        <f>ABS(Data[[#This Row],[Betrag]])</f>
        <v>10</v>
      </c>
      <c r="K213" s="66" t="str">
        <f>IF(Data[[#This Row],[Betrag]]&lt;0,"A","E")</f>
        <v>A</v>
      </c>
    </row>
    <row r="214" spans="1:11" x14ac:dyDescent="0.25">
      <c r="A214" s="1">
        <v>42217</v>
      </c>
      <c r="B214" s="66" t="s">
        <v>63</v>
      </c>
      <c r="C214" s="66" t="s">
        <v>64</v>
      </c>
      <c r="D214" t="s">
        <v>65</v>
      </c>
      <c r="E214">
        <v>-60</v>
      </c>
      <c r="F214" s="66" t="s">
        <v>7</v>
      </c>
      <c r="G214" s="66" t="s">
        <v>11</v>
      </c>
      <c r="H214" s="66" t="str">
        <f>TEXT(Data[[#This Row],[Buchung]],"MMM")</f>
        <v>Aug</v>
      </c>
      <c r="I214" s="67">
        <f>YEAR(Data[[#This Row],[Buchung]])</f>
        <v>2015</v>
      </c>
      <c r="J214" s="2">
        <f>ABS(Data[[#This Row],[Betrag]])</f>
        <v>60</v>
      </c>
      <c r="K214" s="66" t="str">
        <f>IF(Data[[#This Row],[Betrag]]&lt;0,"A","E")</f>
        <v>A</v>
      </c>
    </row>
    <row r="215" spans="1:11" x14ac:dyDescent="0.25">
      <c r="A215" s="1">
        <v>42218</v>
      </c>
      <c r="B215" s="66" t="s">
        <v>54</v>
      </c>
      <c r="C215" s="66" t="s">
        <v>55</v>
      </c>
      <c r="D215" t="s">
        <v>66</v>
      </c>
      <c r="E215">
        <v>-80</v>
      </c>
      <c r="F215" s="66" t="s">
        <v>7</v>
      </c>
      <c r="G215" s="66" t="s">
        <v>57</v>
      </c>
      <c r="H215" s="66" t="str">
        <f>TEXT(Data[[#This Row],[Buchung]],"MMM")</f>
        <v>Aug</v>
      </c>
      <c r="I215" s="67">
        <f>YEAR(Data[[#This Row],[Buchung]])</f>
        <v>2015</v>
      </c>
      <c r="J215" s="2">
        <f>ABS(Data[[#This Row],[Betrag]])</f>
        <v>80</v>
      </c>
      <c r="K215" s="66" t="str">
        <f>IF(Data[[#This Row],[Betrag]]&lt;0,"A","E")</f>
        <v>A</v>
      </c>
    </row>
    <row r="216" spans="1:11" x14ac:dyDescent="0.25">
      <c r="A216" s="1">
        <v>42219</v>
      </c>
      <c r="B216" s="66" t="s">
        <v>67</v>
      </c>
      <c r="C216" s="66" t="s">
        <v>59</v>
      </c>
      <c r="D216" t="s">
        <v>68</v>
      </c>
      <c r="E216">
        <v>-20</v>
      </c>
      <c r="F216" s="66" t="s">
        <v>7</v>
      </c>
      <c r="G216" s="66" t="s">
        <v>10</v>
      </c>
      <c r="H216" s="66" t="str">
        <f>TEXT(Data[[#This Row],[Buchung]],"MMM")</f>
        <v>Aug</v>
      </c>
      <c r="I216" s="67">
        <f>YEAR(Data[[#This Row],[Buchung]])</f>
        <v>2015</v>
      </c>
      <c r="J216" s="2">
        <f>ABS(Data[[#This Row],[Betrag]])</f>
        <v>20</v>
      </c>
      <c r="K216" s="66" t="str">
        <f>IF(Data[[#This Row],[Betrag]]&lt;0,"A","E")</f>
        <v>A</v>
      </c>
    </row>
    <row r="217" spans="1:11" x14ac:dyDescent="0.25">
      <c r="A217" s="1">
        <v>42220</v>
      </c>
      <c r="B217" s="66" t="s">
        <v>45</v>
      </c>
      <c r="C217" s="66" t="s">
        <v>46</v>
      </c>
      <c r="D217" t="s">
        <v>47</v>
      </c>
      <c r="E217">
        <v>1000</v>
      </c>
      <c r="F217" s="66" t="s">
        <v>7</v>
      </c>
      <c r="G217" s="66" t="s">
        <v>9</v>
      </c>
      <c r="H217" s="66" t="str">
        <f>TEXT(Data[[#This Row],[Buchung]],"MMM")</f>
        <v>Aug</v>
      </c>
      <c r="I217" s="67">
        <f>YEAR(Data[[#This Row],[Buchung]])</f>
        <v>2015</v>
      </c>
      <c r="J217" s="2">
        <f>ABS(Data[[#This Row],[Betrag]])</f>
        <v>1000</v>
      </c>
      <c r="K217" s="66" t="str">
        <f>IF(Data[[#This Row],[Betrag]]&lt;0,"A","E")</f>
        <v>E</v>
      </c>
    </row>
    <row r="218" spans="1:11" x14ac:dyDescent="0.25">
      <c r="A218" s="1">
        <v>42221</v>
      </c>
      <c r="B218" s="66" t="s">
        <v>48</v>
      </c>
      <c r="C218" s="66" t="s">
        <v>49</v>
      </c>
      <c r="D218" t="s">
        <v>50</v>
      </c>
      <c r="E218">
        <v>-15</v>
      </c>
      <c r="F218" s="66" t="s">
        <v>7</v>
      </c>
      <c r="G218" s="66" t="s">
        <v>8</v>
      </c>
      <c r="H218" s="66" t="str">
        <f>TEXT(Data[[#This Row],[Buchung]],"MMM")</f>
        <v>Aug</v>
      </c>
      <c r="I218" s="67">
        <f>YEAR(Data[[#This Row],[Buchung]])</f>
        <v>2015</v>
      </c>
      <c r="J218" s="2">
        <f>ABS(Data[[#This Row],[Betrag]])</f>
        <v>15</v>
      </c>
      <c r="K218" s="66" t="str">
        <f>IF(Data[[#This Row],[Betrag]]&lt;0,"A","E")</f>
        <v>A</v>
      </c>
    </row>
    <row r="219" spans="1:11" x14ac:dyDescent="0.25">
      <c r="A219" s="1">
        <v>42222</v>
      </c>
      <c r="B219" s="66" t="s">
        <v>51</v>
      </c>
      <c r="C219" s="66" t="s">
        <v>52</v>
      </c>
      <c r="D219" t="s">
        <v>53</v>
      </c>
      <c r="E219">
        <v>-350</v>
      </c>
      <c r="F219" s="66" t="s">
        <v>7</v>
      </c>
      <c r="G219" s="66" t="s">
        <v>11</v>
      </c>
      <c r="H219" s="66" t="str">
        <f>TEXT(Data[[#This Row],[Buchung]],"MMM")</f>
        <v>Aug</v>
      </c>
      <c r="I219" s="67">
        <f>YEAR(Data[[#This Row],[Buchung]])</f>
        <v>2015</v>
      </c>
      <c r="J219" s="2">
        <f>ABS(Data[[#This Row],[Betrag]])</f>
        <v>350</v>
      </c>
      <c r="K219" s="66" t="str">
        <f>IF(Data[[#This Row],[Betrag]]&lt;0,"A","E")</f>
        <v>A</v>
      </c>
    </row>
    <row r="220" spans="1:11" x14ac:dyDescent="0.25">
      <c r="A220" s="1">
        <v>42223</v>
      </c>
      <c r="B220" s="66" t="s">
        <v>54</v>
      </c>
      <c r="C220" s="66" t="s">
        <v>55</v>
      </c>
      <c r="D220" t="s">
        <v>56</v>
      </c>
      <c r="E220">
        <v>-120</v>
      </c>
      <c r="F220" s="66" t="s">
        <v>7</v>
      </c>
      <c r="G220" s="66" t="s">
        <v>57</v>
      </c>
      <c r="H220" s="66" t="str">
        <f>TEXT(Data[[#This Row],[Buchung]],"MMM")</f>
        <v>Aug</v>
      </c>
      <c r="I220" s="67">
        <f>YEAR(Data[[#This Row],[Buchung]])</f>
        <v>2015</v>
      </c>
      <c r="J220" s="2">
        <f>ABS(Data[[#This Row],[Betrag]])</f>
        <v>120</v>
      </c>
      <c r="K220" s="66" t="str">
        <f>IF(Data[[#This Row],[Betrag]]&lt;0,"A","E")</f>
        <v>A</v>
      </c>
    </row>
    <row r="221" spans="1:11" x14ac:dyDescent="0.25">
      <c r="A221" s="1">
        <v>42224</v>
      </c>
      <c r="B221" s="66" t="s">
        <v>58</v>
      </c>
      <c r="C221" s="66" t="s">
        <v>59</v>
      </c>
      <c r="D221" t="s">
        <v>60</v>
      </c>
      <c r="E221">
        <v>-60</v>
      </c>
      <c r="F221" s="66" t="s">
        <v>7</v>
      </c>
      <c r="G221" s="66" t="s">
        <v>10</v>
      </c>
      <c r="H221" s="66" t="str">
        <f>TEXT(Data[[#This Row],[Buchung]],"MMM")</f>
        <v>Aug</v>
      </c>
      <c r="I221" s="67">
        <f>YEAR(Data[[#This Row],[Buchung]])</f>
        <v>2015</v>
      </c>
      <c r="J221" s="2">
        <f>ABS(Data[[#This Row],[Betrag]])</f>
        <v>60</v>
      </c>
      <c r="K221" s="66" t="str">
        <f>IF(Data[[#This Row],[Betrag]]&lt;0,"A","E")</f>
        <v>A</v>
      </c>
    </row>
    <row r="222" spans="1:11" x14ac:dyDescent="0.25">
      <c r="A222" s="1">
        <v>42225</v>
      </c>
      <c r="B222" s="66" t="s">
        <v>45</v>
      </c>
      <c r="C222" s="66" t="s">
        <v>46</v>
      </c>
      <c r="D222" t="s">
        <v>47</v>
      </c>
      <c r="E222">
        <v>1000</v>
      </c>
      <c r="F222" s="66" t="s">
        <v>7</v>
      </c>
      <c r="G222" s="66" t="s">
        <v>9</v>
      </c>
      <c r="H222" s="66" t="str">
        <f>TEXT(Data[[#This Row],[Buchung]],"MMM")</f>
        <v>Aug</v>
      </c>
      <c r="I222" s="67">
        <f>YEAR(Data[[#This Row],[Buchung]])</f>
        <v>2015</v>
      </c>
      <c r="J222" s="2">
        <f>ABS(Data[[#This Row],[Betrag]])</f>
        <v>1000</v>
      </c>
      <c r="K222" s="66" t="str">
        <f>IF(Data[[#This Row],[Betrag]]&lt;0,"A","E")</f>
        <v>E</v>
      </c>
    </row>
    <row r="223" spans="1:11" x14ac:dyDescent="0.25">
      <c r="A223" s="1">
        <v>42226</v>
      </c>
      <c r="B223" s="66" t="s">
        <v>61</v>
      </c>
      <c r="C223" s="66" t="s">
        <v>49</v>
      </c>
      <c r="D223" t="s">
        <v>62</v>
      </c>
      <c r="E223">
        <v>-10</v>
      </c>
      <c r="F223" s="66" t="s">
        <v>7</v>
      </c>
      <c r="G223" s="66" t="s">
        <v>8</v>
      </c>
      <c r="H223" s="66" t="str">
        <f>TEXT(Data[[#This Row],[Buchung]],"MMM")</f>
        <v>Aug</v>
      </c>
      <c r="I223" s="67">
        <f>YEAR(Data[[#This Row],[Buchung]])</f>
        <v>2015</v>
      </c>
      <c r="J223" s="2">
        <f>ABS(Data[[#This Row],[Betrag]])</f>
        <v>10</v>
      </c>
      <c r="K223" s="66" t="str">
        <f>IF(Data[[#This Row],[Betrag]]&lt;0,"A","E")</f>
        <v>A</v>
      </c>
    </row>
    <row r="224" spans="1:11" x14ac:dyDescent="0.25">
      <c r="A224" s="1">
        <v>42227</v>
      </c>
      <c r="B224" s="66" t="s">
        <v>63</v>
      </c>
      <c r="C224" s="66" t="s">
        <v>64</v>
      </c>
      <c r="D224" t="s">
        <v>65</v>
      </c>
      <c r="E224">
        <v>-70</v>
      </c>
      <c r="F224" s="66" t="s">
        <v>7</v>
      </c>
      <c r="G224" s="66" t="s">
        <v>11</v>
      </c>
      <c r="H224" s="66" t="str">
        <f>TEXT(Data[[#This Row],[Buchung]],"MMM")</f>
        <v>Aug</v>
      </c>
      <c r="I224" s="67">
        <f>YEAR(Data[[#This Row],[Buchung]])</f>
        <v>2015</v>
      </c>
      <c r="J224" s="2">
        <f>ABS(Data[[#This Row],[Betrag]])</f>
        <v>70</v>
      </c>
      <c r="K224" s="66" t="str">
        <f>IF(Data[[#This Row],[Betrag]]&lt;0,"A","E")</f>
        <v>A</v>
      </c>
    </row>
    <row r="225" spans="1:11" x14ac:dyDescent="0.25">
      <c r="A225" s="1">
        <v>42228</v>
      </c>
      <c r="B225" s="66" t="s">
        <v>54</v>
      </c>
      <c r="C225" s="66" t="s">
        <v>55</v>
      </c>
      <c r="D225" t="s">
        <v>66</v>
      </c>
      <c r="E225">
        <v>-80</v>
      </c>
      <c r="F225" s="66" t="s">
        <v>7</v>
      </c>
      <c r="G225" s="66" t="s">
        <v>57</v>
      </c>
      <c r="H225" s="66" t="str">
        <f>TEXT(Data[[#This Row],[Buchung]],"MMM")</f>
        <v>Aug</v>
      </c>
      <c r="I225" s="67">
        <f>YEAR(Data[[#This Row],[Buchung]])</f>
        <v>2015</v>
      </c>
      <c r="J225" s="2">
        <f>ABS(Data[[#This Row],[Betrag]])</f>
        <v>80</v>
      </c>
      <c r="K225" s="66" t="str">
        <f>IF(Data[[#This Row],[Betrag]]&lt;0,"A","E")</f>
        <v>A</v>
      </c>
    </row>
    <row r="226" spans="1:11" x14ac:dyDescent="0.25">
      <c r="A226" s="1">
        <v>42229</v>
      </c>
      <c r="B226" s="66" t="s">
        <v>67</v>
      </c>
      <c r="C226" s="66" t="s">
        <v>59</v>
      </c>
      <c r="D226" t="s">
        <v>68</v>
      </c>
      <c r="E226">
        <v>-25</v>
      </c>
      <c r="F226" s="66" t="s">
        <v>7</v>
      </c>
      <c r="G226" s="66" t="s">
        <v>10</v>
      </c>
      <c r="H226" s="66" t="str">
        <f>TEXT(Data[[#This Row],[Buchung]],"MMM")</f>
        <v>Aug</v>
      </c>
      <c r="I226" s="67">
        <f>YEAR(Data[[#This Row],[Buchung]])</f>
        <v>2015</v>
      </c>
      <c r="J226" s="2">
        <f>ABS(Data[[#This Row],[Betrag]])</f>
        <v>25</v>
      </c>
      <c r="K226" s="66" t="str">
        <f>IF(Data[[#This Row],[Betrag]]&lt;0,"A","E")</f>
        <v>A</v>
      </c>
    </row>
    <row r="227" spans="1:11" x14ac:dyDescent="0.25">
      <c r="A227" s="1">
        <v>42230</v>
      </c>
      <c r="B227" s="66" t="s">
        <v>45</v>
      </c>
      <c r="C227" s="66" t="s">
        <v>46</v>
      </c>
      <c r="D227" t="s">
        <v>47</v>
      </c>
      <c r="E227">
        <v>1000</v>
      </c>
      <c r="F227" s="66" t="s">
        <v>7</v>
      </c>
      <c r="G227" s="66" t="s">
        <v>9</v>
      </c>
      <c r="H227" s="66" t="str">
        <f>TEXT(Data[[#This Row],[Buchung]],"MMM")</f>
        <v>Aug</v>
      </c>
      <c r="I227" s="67">
        <f>YEAR(Data[[#This Row],[Buchung]])</f>
        <v>2015</v>
      </c>
      <c r="J227" s="2">
        <f>ABS(Data[[#This Row],[Betrag]])</f>
        <v>1000</v>
      </c>
      <c r="K227" s="66" t="str">
        <f>IF(Data[[#This Row],[Betrag]]&lt;0,"A","E")</f>
        <v>E</v>
      </c>
    </row>
    <row r="228" spans="1:11" x14ac:dyDescent="0.25">
      <c r="A228" s="1">
        <v>42231</v>
      </c>
      <c r="B228" s="66" t="s">
        <v>48</v>
      </c>
      <c r="C228" s="66" t="s">
        <v>49</v>
      </c>
      <c r="D228" t="s">
        <v>50</v>
      </c>
      <c r="E228">
        <v>-15</v>
      </c>
      <c r="F228" s="66" t="s">
        <v>7</v>
      </c>
      <c r="G228" s="66" t="s">
        <v>8</v>
      </c>
      <c r="H228" s="66" t="str">
        <f>TEXT(Data[[#This Row],[Buchung]],"MMM")</f>
        <v>Aug</v>
      </c>
      <c r="I228" s="67">
        <f>YEAR(Data[[#This Row],[Buchung]])</f>
        <v>2015</v>
      </c>
      <c r="J228" s="2">
        <f>ABS(Data[[#This Row],[Betrag]])</f>
        <v>15</v>
      </c>
      <c r="K228" s="66" t="str">
        <f>IF(Data[[#This Row],[Betrag]]&lt;0,"A","E")</f>
        <v>A</v>
      </c>
    </row>
    <row r="229" spans="1:11" x14ac:dyDescent="0.25">
      <c r="A229" s="1">
        <v>42232</v>
      </c>
      <c r="B229" s="66" t="s">
        <v>51</v>
      </c>
      <c r="C229" s="66" t="s">
        <v>52</v>
      </c>
      <c r="D229" t="s">
        <v>53</v>
      </c>
      <c r="E229">
        <v>-350</v>
      </c>
      <c r="F229" s="66" t="s">
        <v>7</v>
      </c>
      <c r="G229" s="66" t="s">
        <v>11</v>
      </c>
      <c r="H229" s="66" t="str">
        <f>TEXT(Data[[#This Row],[Buchung]],"MMM")</f>
        <v>Aug</v>
      </c>
      <c r="I229" s="67">
        <f>YEAR(Data[[#This Row],[Buchung]])</f>
        <v>2015</v>
      </c>
      <c r="J229" s="2">
        <f>ABS(Data[[#This Row],[Betrag]])</f>
        <v>350</v>
      </c>
      <c r="K229" s="66" t="str">
        <f>IF(Data[[#This Row],[Betrag]]&lt;0,"A","E")</f>
        <v>A</v>
      </c>
    </row>
    <row r="230" spans="1:11" x14ac:dyDescent="0.25">
      <c r="A230" s="1">
        <v>42233</v>
      </c>
      <c r="B230" s="66" t="s">
        <v>54</v>
      </c>
      <c r="C230" s="66" t="s">
        <v>55</v>
      </c>
      <c r="D230" t="s">
        <v>56</v>
      </c>
      <c r="E230">
        <v>-120</v>
      </c>
      <c r="F230" s="66" t="s">
        <v>7</v>
      </c>
      <c r="G230" s="66" t="s">
        <v>57</v>
      </c>
      <c r="H230" s="66" t="str">
        <f>TEXT(Data[[#This Row],[Buchung]],"MMM")</f>
        <v>Aug</v>
      </c>
      <c r="I230" s="67">
        <f>YEAR(Data[[#This Row],[Buchung]])</f>
        <v>2015</v>
      </c>
      <c r="J230" s="2">
        <f>ABS(Data[[#This Row],[Betrag]])</f>
        <v>120</v>
      </c>
      <c r="K230" s="66" t="str">
        <f>IF(Data[[#This Row],[Betrag]]&lt;0,"A","E")</f>
        <v>A</v>
      </c>
    </row>
    <row r="231" spans="1:11" x14ac:dyDescent="0.25">
      <c r="A231" s="1">
        <v>42234</v>
      </c>
      <c r="B231" s="66" t="s">
        <v>58</v>
      </c>
      <c r="C231" s="66" t="s">
        <v>59</v>
      </c>
      <c r="D231" t="s">
        <v>60</v>
      </c>
      <c r="E231">
        <v>-70</v>
      </c>
      <c r="F231" s="66" t="s">
        <v>7</v>
      </c>
      <c r="G231" s="66" t="s">
        <v>10</v>
      </c>
      <c r="H231" s="66" t="str">
        <f>TEXT(Data[[#This Row],[Buchung]],"MMM")</f>
        <v>Aug</v>
      </c>
      <c r="I231" s="67">
        <f>YEAR(Data[[#This Row],[Buchung]])</f>
        <v>2015</v>
      </c>
      <c r="J231" s="2">
        <f>ABS(Data[[#This Row],[Betrag]])</f>
        <v>70</v>
      </c>
      <c r="K231" s="66" t="str">
        <f>IF(Data[[#This Row],[Betrag]]&lt;0,"A","E")</f>
        <v>A</v>
      </c>
    </row>
    <row r="232" spans="1:11" x14ac:dyDescent="0.25">
      <c r="A232" s="1">
        <v>42235</v>
      </c>
      <c r="B232" s="66" t="s">
        <v>45</v>
      </c>
      <c r="C232" s="66" t="s">
        <v>46</v>
      </c>
      <c r="D232" t="s">
        <v>47</v>
      </c>
      <c r="E232">
        <v>1000</v>
      </c>
      <c r="F232" s="66" t="s">
        <v>7</v>
      </c>
      <c r="G232" s="66" t="s">
        <v>9</v>
      </c>
      <c r="H232" s="66" t="str">
        <f>TEXT(Data[[#This Row],[Buchung]],"MMM")</f>
        <v>Aug</v>
      </c>
      <c r="I232" s="67">
        <f>YEAR(Data[[#This Row],[Buchung]])</f>
        <v>2015</v>
      </c>
      <c r="J232" s="2">
        <f>ABS(Data[[#This Row],[Betrag]])</f>
        <v>1000</v>
      </c>
      <c r="K232" s="66" t="str">
        <f>IF(Data[[#This Row],[Betrag]]&lt;0,"A","E")</f>
        <v>E</v>
      </c>
    </row>
    <row r="233" spans="1:11" x14ac:dyDescent="0.25">
      <c r="A233" s="1">
        <v>42236</v>
      </c>
      <c r="B233" s="66" t="s">
        <v>61</v>
      </c>
      <c r="C233" s="66" t="s">
        <v>49</v>
      </c>
      <c r="D233" t="s">
        <v>62</v>
      </c>
      <c r="E233">
        <v>-10</v>
      </c>
      <c r="F233" s="66" t="s">
        <v>7</v>
      </c>
      <c r="G233" s="66" t="s">
        <v>8</v>
      </c>
      <c r="H233" s="66" t="str">
        <f>TEXT(Data[[#This Row],[Buchung]],"MMM")</f>
        <v>Aug</v>
      </c>
      <c r="I233" s="67">
        <f>YEAR(Data[[#This Row],[Buchung]])</f>
        <v>2015</v>
      </c>
      <c r="J233" s="2">
        <f>ABS(Data[[#This Row],[Betrag]])</f>
        <v>10</v>
      </c>
      <c r="K233" s="66" t="str">
        <f>IF(Data[[#This Row],[Betrag]]&lt;0,"A","E")</f>
        <v>A</v>
      </c>
    </row>
    <row r="234" spans="1:11" x14ac:dyDescent="0.25">
      <c r="A234" s="1">
        <v>42237</v>
      </c>
      <c r="B234" s="66" t="s">
        <v>63</v>
      </c>
      <c r="C234" s="66" t="s">
        <v>64</v>
      </c>
      <c r="D234" t="s">
        <v>65</v>
      </c>
      <c r="E234">
        <v>-60</v>
      </c>
      <c r="F234" s="66" t="s">
        <v>7</v>
      </c>
      <c r="G234" s="66" t="s">
        <v>11</v>
      </c>
      <c r="H234" s="66" t="str">
        <f>TEXT(Data[[#This Row],[Buchung]],"MMM")</f>
        <v>Aug</v>
      </c>
      <c r="I234" s="67">
        <f>YEAR(Data[[#This Row],[Buchung]])</f>
        <v>2015</v>
      </c>
      <c r="J234" s="2">
        <f>ABS(Data[[#This Row],[Betrag]])</f>
        <v>60</v>
      </c>
      <c r="K234" s="66" t="str">
        <f>IF(Data[[#This Row],[Betrag]]&lt;0,"A","E")</f>
        <v>A</v>
      </c>
    </row>
    <row r="235" spans="1:11" x14ac:dyDescent="0.25">
      <c r="A235" s="1">
        <v>42238</v>
      </c>
      <c r="B235" s="66" t="s">
        <v>54</v>
      </c>
      <c r="C235" s="66" t="s">
        <v>55</v>
      </c>
      <c r="D235" t="s">
        <v>66</v>
      </c>
      <c r="E235">
        <v>-80</v>
      </c>
      <c r="F235" s="66" t="s">
        <v>7</v>
      </c>
      <c r="G235" s="66" t="s">
        <v>57</v>
      </c>
      <c r="H235" s="66" t="str">
        <f>TEXT(Data[[#This Row],[Buchung]],"MMM")</f>
        <v>Aug</v>
      </c>
      <c r="I235" s="67">
        <f>YEAR(Data[[#This Row],[Buchung]])</f>
        <v>2015</v>
      </c>
      <c r="J235" s="2">
        <f>ABS(Data[[#This Row],[Betrag]])</f>
        <v>80</v>
      </c>
      <c r="K235" s="66" t="str">
        <f>IF(Data[[#This Row],[Betrag]]&lt;0,"A","E")</f>
        <v>A</v>
      </c>
    </row>
    <row r="236" spans="1:11" x14ac:dyDescent="0.25">
      <c r="A236" s="1">
        <v>42239</v>
      </c>
      <c r="B236" s="66" t="s">
        <v>67</v>
      </c>
      <c r="C236" s="66" t="s">
        <v>59</v>
      </c>
      <c r="D236" t="s">
        <v>68</v>
      </c>
      <c r="E236">
        <v>-30</v>
      </c>
      <c r="F236" s="66" t="s">
        <v>7</v>
      </c>
      <c r="G236" s="66" t="s">
        <v>10</v>
      </c>
      <c r="H236" s="66" t="str">
        <f>TEXT(Data[[#This Row],[Buchung]],"MMM")</f>
        <v>Aug</v>
      </c>
      <c r="I236" s="67">
        <f>YEAR(Data[[#This Row],[Buchung]])</f>
        <v>2015</v>
      </c>
      <c r="J236" s="2">
        <f>ABS(Data[[#This Row],[Betrag]])</f>
        <v>30</v>
      </c>
      <c r="K236" s="66" t="str">
        <f>IF(Data[[#This Row],[Betrag]]&lt;0,"A","E")</f>
        <v>A</v>
      </c>
    </row>
    <row r="237" spans="1:11" x14ac:dyDescent="0.25">
      <c r="A237" s="1">
        <v>42240</v>
      </c>
      <c r="B237" s="66" t="s">
        <v>45</v>
      </c>
      <c r="C237" s="66" t="s">
        <v>46</v>
      </c>
      <c r="D237" t="s">
        <v>47</v>
      </c>
      <c r="E237">
        <v>1000</v>
      </c>
      <c r="F237" s="66" t="s">
        <v>7</v>
      </c>
      <c r="G237" s="66" t="s">
        <v>9</v>
      </c>
      <c r="H237" s="66" t="str">
        <f>TEXT(Data[[#This Row],[Buchung]],"MMM")</f>
        <v>Aug</v>
      </c>
      <c r="I237" s="67">
        <f>YEAR(Data[[#This Row],[Buchung]])</f>
        <v>2015</v>
      </c>
      <c r="J237" s="2">
        <f>ABS(Data[[#This Row],[Betrag]])</f>
        <v>1000</v>
      </c>
      <c r="K237" s="66" t="str">
        <f>IF(Data[[#This Row],[Betrag]]&lt;0,"A","E")</f>
        <v>E</v>
      </c>
    </row>
    <row r="238" spans="1:11" x14ac:dyDescent="0.25">
      <c r="A238" s="1">
        <v>42241</v>
      </c>
      <c r="B238" s="66" t="s">
        <v>48</v>
      </c>
      <c r="C238" s="66" t="s">
        <v>49</v>
      </c>
      <c r="D238" t="s">
        <v>50</v>
      </c>
      <c r="E238">
        <v>-15</v>
      </c>
      <c r="F238" s="66" t="s">
        <v>7</v>
      </c>
      <c r="G238" s="66" t="s">
        <v>8</v>
      </c>
      <c r="H238" s="66" t="str">
        <f>TEXT(Data[[#This Row],[Buchung]],"MMM")</f>
        <v>Aug</v>
      </c>
      <c r="I238" s="67">
        <f>YEAR(Data[[#This Row],[Buchung]])</f>
        <v>2015</v>
      </c>
      <c r="J238" s="2">
        <f>ABS(Data[[#This Row],[Betrag]])</f>
        <v>15</v>
      </c>
      <c r="K238" s="66" t="str">
        <f>IF(Data[[#This Row],[Betrag]]&lt;0,"A","E")</f>
        <v>A</v>
      </c>
    </row>
    <row r="239" spans="1:11" x14ac:dyDescent="0.25">
      <c r="A239" s="1">
        <v>42242</v>
      </c>
      <c r="B239" s="66" t="s">
        <v>51</v>
      </c>
      <c r="C239" s="66" t="s">
        <v>52</v>
      </c>
      <c r="D239" t="s">
        <v>53</v>
      </c>
      <c r="E239">
        <v>-350</v>
      </c>
      <c r="F239" s="66" t="s">
        <v>7</v>
      </c>
      <c r="G239" s="66" t="s">
        <v>11</v>
      </c>
      <c r="H239" s="66" t="str">
        <f>TEXT(Data[[#This Row],[Buchung]],"MMM")</f>
        <v>Aug</v>
      </c>
      <c r="I239" s="67">
        <f>YEAR(Data[[#This Row],[Buchung]])</f>
        <v>2015</v>
      </c>
      <c r="J239" s="2">
        <f>ABS(Data[[#This Row],[Betrag]])</f>
        <v>350</v>
      </c>
      <c r="K239" s="66" t="str">
        <f>IF(Data[[#This Row],[Betrag]]&lt;0,"A","E")</f>
        <v>A</v>
      </c>
    </row>
    <row r="240" spans="1:11" x14ac:dyDescent="0.25">
      <c r="A240" s="1">
        <v>42243</v>
      </c>
      <c r="B240" s="66" t="s">
        <v>54</v>
      </c>
      <c r="C240" s="66" t="s">
        <v>55</v>
      </c>
      <c r="D240" t="s">
        <v>56</v>
      </c>
      <c r="E240">
        <v>-120</v>
      </c>
      <c r="F240" s="66" t="s">
        <v>7</v>
      </c>
      <c r="G240" s="66" t="s">
        <v>57</v>
      </c>
      <c r="H240" s="66" t="str">
        <f>TEXT(Data[[#This Row],[Buchung]],"MMM")</f>
        <v>Aug</v>
      </c>
      <c r="I240" s="67">
        <f>YEAR(Data[[#This Row],[Buchung]])</f>
        <v>2015</v>
      </c>
      <c r="J240" s="2">
        <f>ABS(Data[[#This Row],[Betrag]])</f>
        <v>120</v>
      </c>
      <c r="K240" s="66" t="str">
        <f>IF(Data[[#This Row],[Betrag]]&lt;0,"A","E")</f>
        <v>A</v>
      </c>
    </row>
    <row r="241" spans="1:11" x14ac:dyDescent="0.25">
      <c r="A241" s="1">
        <v>42244</v>
      </c>
      <c r="B241" s="66" t="s">
        <v>58</v>
      </c>
      <c r="C241" s="66" t="s">
        <v>59</v>
      </c>
      <c r="D241" t="s">
        <v>60</v>
      </c>
      <c r="E241">
        <v>-80</v>
      </c>
      <c r="F241" s="66" t="s">
        <v>7</v>
      </c>
      <c r="G241" s="66" t="s">
        <v>10</v>
      </c>
      <c r="H241" s="66" t="str">
        <f>TEXT(Data[[#This Row],[Buchung]],"MMM")</f>
        <v>Aug</v>
      </c>
      <c r="I241" s="67">
        <f>YEAR(Data[[#This Row],[Buchung]])</f>
        <v>2015</v>
      </c>
      <c r="J241" s="2">
        <f>ABS(Data[[#This Row],[Betrag]])</f>
        <v>80</v>
      </c>
      <c r="K241" s="66" t="str">
        <f>IF(Data[[#This Row],[Betrag]]&lt;0,"A","E")</f>
        <v>A</v>
      </c>
    </row>
    <row r="242" spans="1:11" x14ac:dyDescent="0.25">
      <c r="A242" s="1">
        <v>42245</v>
      </c>
      <c r="B242" s="66" t="s">
        <v>45</v>
      </c>
      <c r="C242" s="66" t="s">
        <v>46</v>
      </c>
      <c r="D242" t="s">
        <v>47</v>
      </c>
      <c r="E242">
        <v>1000</v>
      </c>
      <c r="F242" s="66" t="s">
        <v>7</v>
      </c>
      <c r="G242" s="66" t="s">
        <v>9</v>
      </c>
      <c r="H242" s="66" t="str">
        <f>TEXT(Data[[#This Row],[Buchung]],"MMM")</f>
        <v>Aug</v>
      </c>
      <c r="I242" s="67">
        <f>YEAR(Data[[#This Row],[Buchung]])</f>
        <v>2015</v>
      </c>
      <c r="J242" s="2">
        <f>ABS(Data[[#This Row],[Betrag]])</f>
        <v>1000</v>
      </c>
      <c r="K242" s="66" t="str">
        <f>IF(Data[[#This Row],[Betrag]]&lt;0,"A","E")</f>
        <v>E</v>
      </c>
    </row>
    <row r="243" spans="1:11" x14ac:dyDescent="0.25">
      <c r="A243" s="1">
        <v>42246</v>
      </c>
      <c r="B243" s="66" t="s">
        <v>61</v>
      </c>
      <c r="C243" s="66" t="s">
        <v>49</v>
      </c>
      <c r="D243" t="s">
        <v>62</v>
      </c>
      <c r="E243">
        <v>-10</v>
      </c>
      <c r="F243" s="66" t="s">
        <v>7</v>
      </c>
      <c r="G243" s="66" t="s">
        <v>8</v>
      </c>
      <c r="H243" s="66" t="str">
        <f>TEXT(Data[[#This Row],[Buchung]],"MMM")</f>
        <v>Aug</v>
      </c>
      <c r="I243" s="67">
        <f>YEAR(Data[[#This Row],[Buchung]])</f>
        <v>2015</v>
      </c>
      <c r="J243" s="2">
        <f>ABS(Data[[#This Row],[Betrag]])</f>
        <v>10</v>
      </c>
      <c r="K243" s="66" t="str">
        <f>IF(Data[[#This Row],[Betrag]]&lt;0,"A","E")</f>
        <v>A</v>
      </c>
    </row>
    <row r="244" spans="1:11" x14ac:dyDescent="0.25">
      <c r="A244" s="1">
        <v>42247</v>
      </c>
      <c r="B244" s="66" t="s">
        <v>63</v>
      </c>
      <c r="C244" s="66" t="s">
        <v>64</v>
      </c>
      <c r="D244" t="s">
        <v>65</v>
      </c>
      <c r="E244">
        <v>-65</v>
      </c>
      <c r="F244" s="66" t="s">
        <v>7</v>
      </c>
      <c r="G244" s="66" t="s">
        <v>11</v>
      </c>
      <c r="H244" s="66" t="str">
        <f>TEXT(Data[[#This Row],[Buchung]],"MMM")</f>
        <v>Aug</v>
      </c>
      <c r="I244" s="67">
        <f>YEAR(Data[[#This Row],[Buchung]])</f>
        <v>2015</v>
      </c>
      <c r="J244" s="2">
        <f>ABS(Data[[#This Row],[Betrag]])</f>
        <v>65</v>
      </c>
      <c r="K244" s="66" t="str">
        <f>IF(Data[[#This Row],[Betrag]]&lt;0,"A","E")</f>
        <v>A</v>
      </c>
    </row>
    <row r="245" spans="1:11" x14ac:dyDescent="0.25">
      <c r="A245" s="1">
        <v>42248</v>
      </c>
      <c r="B245" s="66" t="s">
        <v>54</v>
      </c>
      <c r="C245" s="66" t="s">
        <v>55</v>
      </c>
      <c r="D245" t="s">
        <v>66</v>
      </c>
      <c r="E245">
        <v>-80</v>
      </c>
      <c r="F245" s="66" t="s">
        <v>7</v>
      </c>
      <c r="G245" s="66" t="s">
        <v>57</v>
      </c>
      <c r="H245" s="66" t="str">
        <f>TEXT(Data[[#This Row],[Buchung]],"MMM")</f>
        <v>Sep</v>
      </c>
      <c r="I245" s="67">
        <f>YEAR(Data[[#This Row],[Buchung]])</f>
        <v>2015</v>
      </c>
      <c r="J245" s="2">
        <f>ABS(Data[[#This Row],[Betrag]])</f>
        <v>80</v>
      </c>
      <c r="K245" s="66" t="str">
        <f>IF(Data[[#This Row],[Betrag]]&lt;0,"A","E")</f>
        <v>A</v>
      </c>
    </row>
    <row r="246" spans="1:11" x14ac:dyDescent="0.25">
      <c r="A246" s="1">
        <v>42249</v>
      </c>
      <c r="B246" s="66" t="s">
        <v>67</v>
      </c>
      <c r="C246" s="66" t="s">
        <v>59</v>
      </c>
      <c r="D246" t="s">
        <v>68</v>
      </c>
      <c r="E246">
        <v>-35</v>
      </c>
      <c r="F246" s="66" t="s">
        <v>7</v>
      </c>
      <c r="G246" s="66" t="s">
        <v>10</v>
      </c>
      <c r="H246" s="66" t="str">
        <f>TEXT(Data[[#This Row],[Buchung]],"MMM")</f>
        <v>Sep</v>
      </c>
      <c r="I246" s="67">
        <f>YEAR(Data[[#This Row],[Buchung]])</f>
        <v>2015</v>
      </c>
      <c r="J246" s="2">
        <f>ABS(Data[[#This Row],[Betrag]])</f>
        <v>35</v>
      </c>
      <c r="K246" s="66" t="str">
        <f>IF(Data[[#This Row],[Betrag]]&lt;0,"A","E")</f>
        <v>A</v>
      </c>
    </row>
    <row r="247" spans="1:11" x14ac:dyDescent="0.25">
      <c r="A247" s="1">
        <v>42250</v>
      </c>
      <c r="B247" s="66" t="s">
        <v>45</v>
      </c>
      <c r="C247" s="66" t="s">
        <v>46</v>
      </c>
      <c r="D247" t="s">
        <v>47</v>
      </c>
      <c r="E247">
        <v>1000</v>
      </c>
      <c r="F247" s="66" t="s">
        <v>7</v>
      </c>
      <c r="G247" s="66" t="s">
        <v>9</v>
      </c>
      <c r="H247" s="66" t="str">
        <f>TEXT(Data[[#This Row],[Buchung]],"MMM")</f>
        <v>Sep</v>
      </c>
      <c r="I247" s="67">
        <f>YEAR(Data[[#This Row],[Buchung]])</f>
        <v>2015</v>
      </c>
      <c r="J247" s="2">
        <f>ABS(Data[[#This Row],[Betrag]])</f>
        <v>1000</v>
      </c>
      <c r="K247" s="66" t="str">
        <f>IF(Data[[#This Row],[Betrag]]&lt;0,"A","E")</f>
        <v>E</v>
      </c>
    </row>
    <row r="248" spans="1:11" x14ac:dyDescent="0.25">
      <c r="A248" s="1">
        <v>42251</v>
      </c>
      <c r="B248" s="66" t="s">
        <v>45</v>
      </c>
      <c r="C248" s="66" t="s">
        <v>46</v>
      </c>
      <c r="D248" t="s">
        <v>47</v>
      </c>
      <c r="E248">
        <v>1000</v>
      </c>
      <c r="F248" s="66" t="s">
        <v>7</v>
      </c>
      <c r="G248" s="66" t="s">
        <v>9</v>
      </c>
      <c r="H248" s="66" t="str">
        <f>TEXT(Data[[#This Row],[Buchung]],"MMM")</f>
        <v>Sep</v>
      </c>
      <c r="I248" s="67">
        <f>YEAR(Data[[#This Row],[Buchung]])</f>
        <v>2015</v>
      </c>
      <c r="J248" s="2">
        <f>ABS(Data[[#This Row],[Betrag]])</f>
        <v>1000</v>
      </c>
      <c r="K248" s="66" t="str">
        <f>IF(Data[[#This Row],[Betrag]]&lt;0,"A","E")</f>
        <v>E</v>
      </c>
    </row>
    <row r="249" spans="1:11" x14ac:dyDescent="0.25">
      <c r="A249" s="1">
        <v>42252</v>
      </c>
      <c r="B249" s="66" t="s">
        <v>48</v>
      </c>
      <c r="C249" s="66" t="s">
        <v>49</v>
      </c>
      <c r="D249" t="s">
        <v>50</v>
      </c>
      <c r="E249">
        <v>-15</v>
      </c>
      <c r="F249" s="66" t="s">
        <v>7</v>
      </c>
      <c r="G249" s="66" t="s">
        <v>8</v>
      </c>
      <c r="H249" s="66" t="str">
        <f>TEXT(Data[[#This Row],[Buchung]],"MMM")</f>
        <v>Sep</v>
      </c>
      <c r="I249" s="67">
        <f>YEAR(Data[[#This Row],[Buchung]])</f>
        <v>2015</v>
      </c>
      <c r="J249" s="2">
        <f>ABS(Data[[#This Row],[Betrag]])</f>
        <v>15</v>
      </c>
      <c r="K249" s="66" t="str">
        <f>IF(Data[[#This Row],[Betrag]]&lt;0,"A","E")</f>
        <v>A</v>
      </c>
    </row>
    <row r="250" spans="1:11" x14ac:dyDescent="0.25">
      <c r="A250" s="1">
        <v>42253</v>
      </c>
      <c r="B250" s="66" t="s">
        <v>51</v>
      </c>
      <c r="C250" s="66" t="s">
        <v>52</v>
      </c>
      <c r="D250" t="s">
        <v>53</v>
      </c>
      <c r="E250">
        <v>-350</v>
      </c>
      <c r="F250" s="66" t="s">
        <v>7</v>
      </c>
      <c r="G250" s="66" t="s">
        <v>11</v>
      </c>
      <c r="H250" s="66" t="str">
        <f>TEXT(Data[[#This Row],[Buchung]],"MMM")</f>
        <v>Sep</v>
      </c>
      <c r="I250" s="67">
        <f>YEAR(Data[[#This Row],[Buchung]])</f>
        <v>2015</v>
      </c>
      <c r="J250" s="2">
        <f>ABS(Data[[#This Row],[Betrag]])</f>
        <v>350</v>
      </c>
      <c r="K250" s="66" t="str">
        <f>IF(Data[[#This Row],[Betrag]]&lt;0,"A","E")</f>
        <v>A</v>
      </c>
    </row>
    <row r="251" spans="1:11" x14ac:dyDescent="0.25">
      <c r="A251" s="1">
        <v>42254</v>
      </c>
      <c r="B251" s="66" t="s">
        <v>54</v>
      </c>
      <c r="C251" s="66" t="s">
        <v>55</v>
      </c>
      <c r="D251" t="s">
        <v>56</v>
      </c>
      <c r="E251">
        <v>-120</v>
      </c>
      <c r="F251" s="66" t="s">
        <v>7</v>
      </c>
      <c r="G251" s="66" t="s">
        <v>57</v>
      </c>
      <c r="H251" s="66" t="str">
        <f>TEXT(Data[[#This Row],[Buchung]],"MMM")</f>
        <v>Sep</v>
      </c>
      <c r="I251" s="67">
        <f>YEAR(Data[[#This Row],[Buchung]])</f>
        <v>2015</v>
      </c>
      <c r="J251" s="2">
        <f>ABS(Data[[#This Row],[Betrag]])</f>
        <v>120</v>
      </c>
      <c r="K251" s="66" t="str">
        <f>IF(Data[[#This Row],[Betrag]]&lt;0,"A","E")</f>
        <v>A</v>
      </c>
    </row>
    <row r="252" spans="1:11" x14ac:dyDescent="0.25">
      <c r="A252" s="1">
        <v>42255</v>
      </c>
      <c r="B252" s="66" t="s">
        <v>58</v>
      </c>
      <c r="C252" s="66" t="s">
        <v>59</v>
      </c>
      <c r="D252" t="s">
        <v>60</v>
      </c>
      <c r="E252">
        <v>-50</v>
      </c>
      <c r="F252" s="66" t="s">
        <v>7</v>
      </c>
      <c r="G252" s="66" t="s">
        <v>10</v>
      </c>
      <c r="H252" s="66" t="str">
        <f>TEXT(Data[[#This Row],[Buchung]],"MMM")</f>
        <v>Sep</v>
      </c>
      <c r="I252" s="67">
        <f>YEAR(Data[[#This Row],[Buchung]])</f>
        <v>2015</v>
      </c>
      <c r="J252" s="2">
        <f>ABS(Data[[#This Row],[Betrag]])</f>
        <v>50</v>
      </c>
      <c r="K252" s="66" t="str">
        <f>IF(Data[[#This Row],[Betrag]]&lt;0,"A","E")</f>
        <v>A</v>
      </c>
    </row>
    <row r="253" spans="1:11" x14ac:dyDescent="0.25">
      <c r="A253" s="1">
        <v>42256</v>
      </c>
      <c r="B253" s="66" t="s">
        <v>45</v>
      </c>
      <c r="C253" s="66" t="s">
        <v>46</v>
      </c>
      <c r="D253" t="s">
        <v>47</v>
      </c>
      <c r="E253">
        <v>1000</v>
      </c>
      <c r="F253" s="66" t="s">
        <v>7</v>
      </c>
      <c r="G253" s="66" t="s">
        <v>9</v>
      </c>
      <c r="H253" s="66" t="str">
        <f>TEXT(Data[[#This Row],[Buchung]],"MMM")</f>
        <v>Sep</v>
      </c>
      <c r="I253" s="67">
        <f>YEAR(Data[[#This Row],[Buchung]])</f>
        <v>2015</v>
      </c>
      <c r="J253" s="2">
        <f>ABS(Data[[#This Row],[Betrag]])</f>
        <v>1000</v>
      </c>
      <c r="K253" s="66" t="str">
        <f>IF(Data[[#This Row],[Betrag]]&lt;0,"A","E")</f>
        <v>E</v>
      </c>
    </row>
    <row r="254" spans="1:11" x14ac:dyDescent="0.25">
      <c r="A254" s="1">
        <v>42257</v>
      </c>
      <c r="B254" s="66" t="s">
        <v>61</v>
      </c>
      <c r="C254" s="66" t="s">
        <v>49</v>
      </c>
      <c r="D254" t="s">
        <v>62</v>
      </c>
      <c r="E254">
        <v>-10</v>
      </c>
      <c r="F254" s="66" t="s">
        <v>7</v>
      </c>
      <c r="G254" s="66" t="s">
        <v>8</v>
      </c>
      <c r="H254" s="66" t="str">
        <f>TEXT(Data[[#This Row],[Buchung]],"MMM")</f>
        <v>Sep</v>
      </c>
      <c r="I254" s="67">
        <f>YEAR(Data[[#This Row],[Buchung]])</f>
        <v>2015</v>
      </c>
      <c r="J254" s="2">
        <f>ABS(Data[[#This Row],[Betrag]])</f>
        <v>10</v>
      </c>
      <c r="K254" s="66" t="str">
        <f>IF(Data[[#This Row],[Betrag]]&lt;0,"A","E")</f>
        <v>A</v>
      </c>
    </row>
    <row r="255" spans="1:11" x14ac:dyDescent="0.25">
      <c r="A255" s="1">
        <v>42258</v>
      </c>
      <c r="B255" s="66" t="s">
        <v>63</v>
      </c>
      <c r="C255" s="66" t="s">
        <v>64</v>
      </c>
      <c r="D255" t="s">
        <v>65</v>
      </c>
      <c r="E255">
        <v>-60</v>
      </c>
      <c r="F255" s="66" t="s">
        <v>7</v>
      </c>
      <c r="G255" s="66" t="s">
        <v>11</v>
      </c>
      <c r="H255" s="66" t="str">
        <f>TEXT(Data[[#This Row],[Buchung]],"MMM")</f>
        <v>Sep</v>
      </c>
      <c r="I255" s="67">
        <f>YEAR(Data[[#This Row],[Buchung]])</f>
        <v>2015</v>
      </c>
      <c r="J255" s="2">
        <f>ABS(Data[[#This Row],[Betrag]])</f>
        <v>60</v>
      </c>
      <c r="K255" s="66" t="str">
        <f>IF(Data[[#This Row],[Betrag]]&lt;0,"A","E")</f>
        <v>A</v>
      </c>
    </row>
    <row r="256" spans="1:11" x14ac:dyDescent="0.25">
      <c r="A256" s="1">
        <v>42259</v>
      </c>
      <c r="B256" s="66" t="s">
        <v>54</v>
      </c>
      <c r="C256" s="66" t="s">
        <v>55</v>
      </c>
      <c r="D256" t="s">
        <v>66</v>
      </c>
      <c r="E256">
        <v>-80</v>
      </c>
      <c r="F256" s="66" t="s">
        <v>7</v>
      </c>
      <c r="G256" s="66" t="s">
        <v>57</v>
      </c>
      <c r="H256" s="66" t="str">
        <f>TEXT(Data[[#This Row],[Buchung]],"MMM")</f>
        <v>Sep</v>
      </c>
      <c r="I256" s="67">
        <f>YEAR(Data[[#This Row],[Buchung]])</f>
        <v>2015</v>
      </c>
      <c r="J256" s="2">
        <f>ABS(Data[[#This Row],[Betrag]])</f>
        <v>80</v>
      </c>
      <c r="K256" s="66" t="str">
        <f>IF(Data[[#This Row],[Betrag]]&lt;0,"A","E")</f>
        <v>A</v>
      </c>
    </row>
    <row r="257" spans="1:11" x14ac:dyDescent="0.25">
      <c r="A257" s="1">
        <v>42260</v>
      </c>
      <c r="B257" s="66" t="s">
        <v>67</v>
      </c>
      <c r="C257" s="66" t="s">
        <v>59</v>
      </c>
      <c r="D257" t="s">
        <v>68</v>
      </c>
      <c r="E257">
        <v>-20</v>
      </c>
      <c r="F257" s="66" t="s">
        <v>7</v>
      </c>
      <c r="G257" s="66" t="s">
        <v>10</v>
      </c>
      <c r="H257" s="66" t="str">
        <f>TEXT(Data[[#This Row],[Buchung]],"MMM")</f>
        <v>Sep</v>
      </c>
      <c r="I257" s="67">
        <f>YEAR(Data[[#This Row],[Buchung]])</f>
        <v>2015</v>
      </c>
      <c r="J257" s="2">
        <f>ABS(Data[[#This Row],[Betrag]])</f>
        <v>20</v>
      </c>
      <c r="K257" s="66" t="str">
        <f>IF(Data[[#This Row],[Betrag]]&lt;0,"A","E")</f>
        <v>A</v>
      </c>
    </row>
    <row r="258" spans="1:11" x14ac:dyDescent="0.25">
      <c r="A258" s="1">
        <v>42261</v>
      </c>
      <c r="B258" s="66" t="s">
        <v>45</v>
      </c>
      <c r="C258" s="66" t="s">
        <v>46</v>
      </c>
      <c r="D258" t="s">
        <v>47</v>
      </c>
      <c r="E258">
        <v>1000</v>
      </c>
      <c r="F258" s="66" t="s">
        <v>7</v>
      </c>
      <c r="G258" s="66" t="s">
        <v>9</v>
      </c>
      <c r="H258" s="66" t="str">
        <f>TEXT(Data[[#This Row],[Buchung]],"MMM")</f>
        <v>Sep</v>
      </c>
      <c r="I258" s="67">
        <f>YEAR(Data[[#This Row],[Buchung]])</f>
        <v>2015</v>
      </c>
      <c r="J258" s="2">
        <f>ABS(Data[[#This Row],[Betrag]])</f>
        <v>1000</v>
      </c>
      <c r="K258" s="66" t="str">
        <f>IF(Data[[#This Row],[Betrag]]&lt;0,"A","E")</f>
        <v>E</v>
      </c>
    </row>
    <row r="259" spans="1:11" x14ac:dyDescent="0.25">
      <c r="A259" s="1">
        <v>42262</v>
      </c>
      <c r="B259" s="66" t="s">
        <v>48</v>
      </c>
      <c r="C259" s="66" t="s">
        <v>49</v>
      </c>
      <c r="D259" t="s">
        <v>50</v>
      </c>
      <c r="E259">
        <v>-15</v>
      </c>
      <c r="F259" s="66" t="s">
        <v>7</v>
      </c>
      <c r="G259" s="66" t="s">
        <v>8</v>
      </c>
      <c r="H259" s="66" t="str">
        <f>TEXT(Data[[#This Row],[Buchung]],"MMM")</f>
        <v>Sep</v>
      </c>
      <c r="I259" s="67">
        <f>YEAR(Data[[#This Row],[Buchung]])</f>
        <v>2015</v>
      </c>
      <c r="J259" s="2">
        <f>ABS(Data[[#This Row],[Betrag]])</f>
        <v>15</v>
      </c>
      <c r="K259" s="66" t="str">
        <f>IF(Data[[#This Row],[Betrag]]&lt;0,"A","E")</f>
        <v>A</v>
      </c>
    </row>
    <row r="260" spans="1:11" x14ac:dyDescent="0.25">
      <c r="A260" s="1">
        <v>42263</v>
      </c>
      <c r="B260" s="66" t="s">
        <v>51</v>
      </c>
      <c r="C260" s="66" t="s">
        <v>52</v>
      </c>
      <c r="D260" t="s">
        <v>53</v>
      </c>
      <c r="E260">
        <v>-350</v>
      </c>
      <c r="F260" s="66" t="s">
        <v>7</v>
      </c>
      <c r="G260" s="66" t="s">
        <v>11</v>
      </c>
      <c r="H260" s="66" t="str">
        <f>TEXT(Data[[#This Row],[Buchung]],"MMM")</f>
        <v>Sep</v>
      </c>
      <c r="I260" s="67">
        <f>YEAR(Data[[#This Row],[Buchung]])</f>
        <v>2015</v>
      </c>
      <c r="J260" s="2">
        <f>ABS(Data[[#This Row],[Betrag]])</f>
        <v>350</v>
      </c>
      <c r="K260" s="66" t="str">
        <f>IF(Data[[#This Row],[Betrag]]&lt;0,"A","E")</f>
        <v>A</v>
      </c>
    </row>
    <row r="261" spans="1:11" x14ac:dyDescent="0.25">
      <c r="A261" s="1">
        <v>42264</v>
      </c>
      <c r="B261" s="66" t="s">
        <v>54</v>
      </c>
      <c r="C261" s="66" t="s">
        <v>55</v>
      </c>
      <c r="D261" t="s">
        <v>56</v>
      </c>
      <c r="E261">
        <v>-120</v>
      </c>
      <c r="F261" s="66" t="s">
        <v>7</v>
      </c>
      <c r="G261" s="66" t="s">
        <v>57</v>
      </c>
      <c r="H261" s="66" t="str">
        <f>TEXT(Data[[#This Row],[Buchung]],"MMM")</f>
        <v>Sep</v>
      </c>
      <c r="I261" s="67">
        <f>YEAR(Data[[#This Row],[Buchung]])</f>
        <v>2015</v>
      </c>
      <c r="J261" s="2">
        <f>ABS(Data[[#This Row],[Betrag]])</f>
        <v>120</v>
      </c>
      <c r="K261" s="66" t="str">
        <f>IF(Data[[#This Row],[Betrag]]&lt;0,"A","E")</f>
        <v>A</v>
      </c>
    </row>
    <row r="262" spans="1:11" x14ac:dyDescent="0.25">
      <c r="A262" s="1">
        <v>42265</v>
      </c>
      <c r="B262" s="66" t="s">
        <v>58</v>
      </c>
      <c r="C262" s="66" t="s">
        <v>59</v>
      </c>
      <c r="D262" t="s">
        <v>60</v>
      </c>
      <c r="E262">
        <v>-60</v>
      </c>
      <c r="F262" s="66" t="s">
        <v>7</v>
      </c>
      <c r="G262" s="66" t="s">
        <v>10</v>
      </c>
      <c r="H262" s="66" t="str">
        <f>TEXT(Data[[#This Row],[Buchung]],"MMM")</f>
        <v>Sep</v>
      </c>
      <c r="I262" s="67">
        <f>YEAR(Data[[#This Row],[Buchung]])</f>
        <v>2015</v>
      </c>
      <c r="J262" s="2">
        <f>ABS(Data[[#This Row],[Betrag]])</f>
        <v>60</v>
      </c>
      <c r="K262" s="66" t="str">
        <f>IF(Data[[#This Row],[Betrag]]&lt;0,"A","E")</f>
        <v>A</v>
      </c>
    </row>
    <row r="263" spans="1:11" x14ac:dyDescent="0.25">
      <c r="A263" s="1">
        <v>42266</v>
      </c>
      <c r="B263" s="66" t="s">
        <v>45</v>
      </c>
      <c r="C263" s="66" t="s">
        <v>46</v>
      </c>
      <c r="D263" t="s">
        <v>47</v>
      </c>
      <c r="E263">
        <v>1000</v>
      </c>
      <c r="F263" s="66" t="s">
        <v>7</v>
      </c>
      <c r="G263" s="66" t="s">
        <v>9</v>
      </c>
      <c r="H263" s="66" t="str">
        <f>TEXT(Data[[#This Row],[Buchung]],"MMM")</f>
        <v>Sep</v>
      </c>
      <c r="I263" s="67">
        <f>YEAR(Data[[#This Row],[Buchung]])</f>
        <v>2015</v>
      </c>
      <c r="J263" s="2">
        <f>ABS(Data[[#This Row],[Betrag]])</f>
        <v>1000</v>
      </c>
      <c r="K263" s="66" t="str">
        <f>IF(Data[[#This Row],[Betrag]]&lt;0,"A","E")</f>
        <v>E</v>
      </c>
    </row>
    <row r="264" spans="1:11" x14ac:dyDescent="0.25">
      <c r="A264" s="1">
        <v>42267</v>
      </c>
      <c r="B264" s="66" t="s">
        <v>61</v>
      </c>
      <c r="C264" s="66" t="s">
        <v>49</v>
      </c>
      <c r="D264" t="s">
        <v>62</v>
      </c>
      <c r="E264">
        <v>-10</v>
      </c>
      <c r="F264" s="66" t="s">
        <v>7</v>
      </c>
      <c r="G264" s="66" t="s">
        <v>8</v>
      </c>
      <c r="H264" s="66" t="str">
        <f>TEXT(Data[[#This Row],[Buchung]],"MMM")</f>
        <v>Sep</v>
      </c>
      <c r="I264" s="67">
        <f>YEAR(Data[[#This Row],[Buchung]])</f>
        <v>2015</v>
      </c>
      <c r="J264" s="2">
        <f>ABS(Data[[#This Row],[Betrag]])</f>
        <v>10</v>
      </c>
      <c r="K264" s="66" t="str">
        <f>IF(Data[[#This Row],[Betrag]]&lt;0,"A","E")</f>
        <v>A</v>
      </c>
    </row>
    <row r="265" spans="1:11" x14ac:dyDescent="0.25">
      <c r="A265" s="1">
        <v>42268</v>
      </c>
      <c r="B265" s="66" t="s">
        <v>63</v>
      </c>
      <c r="C265" s="66" t="s">
        <v>64</v>
      </c>
      <c r="D265" t="s">
        <v>65</v>
      </c>
      <c r="E265">
        <v>-70</v>
      </c>
      <c r="F265" s="66" t="s">
        <v>7</v>
      </c>
      <c r="G265" s="66" t="s">
        <v>11</v>
      </c>
      <c r="H265" s="66" t="str">
        <f>TEXT(Data[[#This Row],[Buchung]],"MMM")</f>
        <v>Sep</v>
      </c>
      <c r="I265" s="67">
        <f>YEAR(Data[[#This Row],[Buchung]])</f>
        <v>2015</v>
      </c>
      <c r="J265" s="2">
        <f>ABS(Data[[#This Row],[Betrag]])</f>
        <v>70</v>
      </c>
      <c r="K265" s="66" t="str">
        <f>IF(Data[[#This Row],[Betrag]]&lt;0,"A","E")</f>
        <v>A</v>
      </c>
    </row>
    <row r="266" spans="1:11" x14ac:dyDescent="0.25">
      <c r="A266" s="1">
        <v>42269</v>
      </c>
      <c r="B266" s="66" t="s">
        <v>54</v>
      </c>
      <c r="C266" s="66" t="s">
        <v>55</v>
      </c>
      <c r="D266" t="s">
        <v>66</v>
      </c>
      <c r="E266">
        <v>-80</v>
      </c>
      <c r="F266" s="66" t="s">
        <v>7</v>
      </c>
      <c r="G266" s="66" t="s">
        <v>57</v>
      </c>
      <c r="H266" s="66" t="str">
        <f>TEXT(Data[[#This Row],[Buchung]],"MMM")</f>
        <v>Sep</v>
      </c>
      <c r="I266" s="67">
        <f>YEAR(Data[[#This Row],[Buchung]])</f>
        <v>2015</v>
      </c>
      <c r="J266" s="2">
        <f>ABS(Data[[#This Row],[Betrag]])</f>
        <v>80</v>
      </c>
      <c r="K266" s="66" t="str">
        <f>IF(Data[[#This Row],[Betrag]]&lt;0,"A","E")</f>
        <v>A</v>
      </c>
    </row>
    <row r="267" spans="1:11" x14ac:dyDescent="0.25">
      <c r="A267" s="1">
        <v>42270</v>
      </c>
      <c r="B267" s="66" t="s">
        <v>67</v>
      </c>
      <c r="C267" s="66" t="s">
        <v>59</v>
      </c>
      <c r="D267" t="s">
        <v>68</v>
      </c>
      <c r="E267">
        <v>-25</v>
      </c>
      <c r="F267" s="66" t="s">
        <v>7</v>
      </c>
      <c r="G267" s="66" t="s">
        <v>10</v>
      </c>
      <c r="H267" s="66" t="str">
        <f>TEXT(Data[[#This Row],[Buchung]],"MMM")</f>
        <v>Sep</v>
      </c>
      <c r="I267" s="67">
        <f>YEAR(Data[[#This Row],[Buchung]])</f>
        <v>2015</v>
      </c>
      <c r="J267" s="2">
        <f>ABS(Data[[#This Row],[Betrag]])</f>
        <v>25</v>
      </c>
      <c r="K267" s="66" t="str">
        <f>IF(Data[[#This Row],[Betrag]]&lt;0,"A","E")</f>
        <v>A</v>
      </c>
    </row>
    <row r="268" spans="1:11" x14ac:dyDescent="0.25">
      <c r="A268" s="1">
        <v>42271</v>
      </c>
      <c r="B268" s="66" t="s">
        <v>45</v>
      </c>
      <c r="C268" s="66" t="s">
        <v>46</v>
      </c>
      <c r="D268" t="s">
        <v>47</v>
      </c>
      <c r="E268">
        <v>1000</v>
      </c>
      <c r="F268" s="66" t="s">
        <v>7</v>
      </c>
      <c r="G268" s="66" t="s">
        <v>9</v>
      </c>
      <c r="H268" s="66" t="str">
        <f>TEXT(Data[[#This Row],[Buchung]],"MMM")</f>
        <v>Sep</v>
      </c>
      <c r="I268" s="67">
        <f>YEAR(Data[[#This Row],[Buchung]])</f>
        <v>2015</v>
      </c>
      <c r="J268" s="2">
        <f>ABS(Data[[#This Row],[Betrag]])</f>
        <v>1000</v>
      </c>
      <c r="K268" s="66" t="str">
        <f>IF(Data[[#This Row],[Betrag]]&lt;0,"A","E")</f>
        <v>E</v>
      </c>
    </row>
    <row r="269" spans="1:11" x14ac:dyDescent="0.25">
      <c r="A269" s="1">
        <v>42272</v>
      </c>
      <c r="B269" s="66" t="s">
        <v>48</v>
      </c>
      <c r="C269" s="66" t="s">
        <v>49</v>
      </c>
      <c r="D269" t="s">
        <v>50</v>
      </c>
      <c r="E269">
        <v>-15</v>
      </c>
      <c r="F269" s="66" t="s">
        <v>7</v>
      </c>
      <c r="G269" s="66" t="s">
        <v>8</v>
      </c>
      <c r="H269" s="66" t="str">
        <f>TEXT(Data[[#This Row],[Buchung]],"MMM")</f>
        <v>Sep</v>
      </c>
      <c r="I269" s="67">
        <f>YEAR(Data[[#This Row],[Buchung]])</f>
        <v>2015</v>
      </c>
      <c r="J269" s="2">
        <f>ABS(Data[[#This Row],[Betrag]])</f>
        <v>15</v>
      </c>
      <c r="K269" s="66" t="str">
        <f>IF(Data[[#This Row],[Betrag]]&lt;0,"A","E")</f>
        <v>A</v>
      </c>
    </row>
    <row r="270" spans="1:11" x14ac:dyDescent="0.25">
      <c r="A270" s="1">
        <v>42273</v>
      </c>
      <c r="B270" s="66" t="s">
        <v>51</v>
      </c>
      <c r="C270" s="66" t="s">
        <v>52</v>
      </c>
      <c r="D270" t="s">
        <v>53</v>
      </c>
      <c r="E270">
        <v>-350</v>
      </c>
      <c r="F270" s="66" t="s">
        <v>7</v>
      </c>
      <c r="G270" s="66" t="s">
        <v>11</v>
      </c>
      <c r="H270" s="66" t="str">
        <f>TEXT(Data[[#This Row],[Buchung]],"MMM")</f>
        <v>Sep</v>
      </c>
      <c r="I270" s="67">
        <f>YEAR(Data[[#This Row],[Buchung]])</f>
        <v>2015</v>
      </c>
      <c r="J270" s="2">
        <f>ABS(Data[[#This Row],[Betrag]])</f>
        <v>350</v>
      </c>
      <c r="K270" s="66" t="str">
        <f>IF(Data[[#This Row],[Betrag]]&lt;0,"A","E")</f>
        <v>A</v>
      </c>
    </row>
    <row r="271" spans="1:11" x14ac:dyDescent="0.25">
      <c r="A271" s="1">
        <v>42274</v>
      </c>
      <c r="B271" s="66" t="s">
        <v>54</v>
      </c>
      <c r="C271" s="66" t="s">
        <v>55</v>
      </c>
      <c r="D271" t="s">
        <v>56</v>
      </c>
      <c r="E271">
        <v>-120</v>
      </c>
      <c r="F271" s="66" t="s">
        <v>7</v>
      </c>
      <c r="G271" s="66" t="s">
        <v>57</v>
      </c>
      <c r="H271" s="66" t="str">
        <f>TEXT(Data[[#This Row],[Buchung]],"MMM")</f>
        <v>Sep</v>
      </c>
      <c r="I271" s="67">
        <f>YEAR(Data[[#This Row],[Buchung]])</f>
        <v>2015</v>
      </c>
      <c r="J271" s="2">
        <f>ABS(Data[[#This Row],[Betrag]])</f>
        <v>120</v>
      </c>
      <c r="K271" s="66" t="str">
        <f>IF(Data[[#This Row],[Betrag]]&lt;0,"A","E")</f>
        <v>A</v>
      </c>
    </row>
    <row r="272" spans="1:11" x14ac:dyDescent="0.25">
      <c r="A272" s="1">
        <v>42275</v>
      </c>
      <c r="B272" s="66" t="s">
        <v>58</v>
      </c>
      <c r="C272" s="66" t="s">
        <v>59</v>
      </c>
      <c r="D272" t="s">
        <v>60</v>
      </c>
      <c r="E272">
        <v>-70</v>
      </c>
      <c r="F272" s="66" t="s">
        <v>7</v>
      </c>
      <c r="G272" s="66" t="s">
        <v>10</v>
      </c>
      <c r="H272" s="66" t="str">
        <f>TEXT(Data[[#This Row],[Buchung]],"MMM")</f>
        <v>Sep</v>
      </c>
      <c r="I272" s="67">
        <f>YEAR(Data[[#This Row],[Buchung]])</f>
        <v>2015</v>
      </c>
      <c r="J272" s="2">
        <f>ABS(Data[[#This Row],[Betrag]])</f>
        <v>70</v>
      </c>
      <c r="K272" s="66" t="str">
        <f>IF(Data[[#This Row],[Betrag]]&lt;0,"A","E")</f>
        <v>A</v>
      </c>
    </row>
    <row r="273" spans="1:11" x14ac:dyDescent="0.25">
      <c r="A273" s="1">
        <v>42276</v>
      </c>
      <c r="B273" s="66" t="s">
        <v>45</v>
      </c>
      <c r="C273" s="66" t="s">
        <v>46</v>
      </c>
      <c r="D273" t="s">
        <v>47</v>
      </c>
      <c r="E273">
        <v>1000</v>
      </c>
      <c r="F273" s="66" t="s">
        <v>7</v>
      </c>
      <c r="G273" s="66" t="s">
        <v>9</v>
      </c>
      <c r="H273" s="66" t="str">
        <f>TEXT(Data[[#This Row],[Buchung]],"MMM")</f>
        <v>Sep</v>
      </c>
      <c r="I273" s="67">
        <f>YEAR(Data[[#This Row],[Buchung]])</f>
        <v>2015</v>
      </c>
      <c r="J273" s="2">
        <f>ABS(Data[[#This Row],[Betrag]])</f>
        <v>1000</v>
      </c>
      <c r="K273" s="66" t="str">
        <f>IF(Data[[#This Row],[Betrag]]&lt;0,"A","E")</f>
        <v>E</v>
      </c>
    </row>
    <row r="274" spans="1:11" x14ac:dyDescent="0.25">
      <c r="A274" s="1">
        <v>42277</v>
      </c>
      <c r="B274" s="66" t="s">
        <v>61</v>
      </c>
      <c r="C274" s="66" t="s">
        <v>49</v>
      </c>
      <c r="D274" t="s">
        <v>62</v>
      </c>
      <c r="E274">
        <v>-10</v>
      </c>
      <c r="F274" s="66" t="s">
        <v>7</v>
      </c>
      <c r="G274" s="66" t="s">
        <v>8</v>
      </c>
      <c r="H274" s="66" t="str">
        <f>TEXT(Data[[#This Row],[Buchung]],"MMM")</f>
        <v>Sep</v>
      </c>
      <c r="I274" s="67">
        <f>YEAR(Data[[#This Row],[Buchung]])</f>
        <v>2015</v>
      </c>
      <c r="J274" s="2">
        <f>ABS(Data[[#This Row],[Betrag]])</f>
        <v>10</v>
      </c>
      <c r="K274" s="66" t="str">
        <f>IF(Data[[#This Row],[Betrag]]&lt;0,"A","E")</f>
        <v>A</v>
      </c>
    </row>
    <row r="275" spans="1:11" x14ac:dyDescent="0.25">
      <c r="A275" s="1">
        <v>42278</v>
      </c>
      <c r="B275" s="66" t="s">
        <v>63</v>
      </c>
      <c r="C275" s="66" t="s">
        <v>64</v>
      </c>
      <c r="D275" t="s">
        <v>65</v>
      </c>
      <c r="E275">
        <v>-60</v>
      </c>
      <c r="F275" s="66" t="s">
        <v>7</v>
      </c>
      <c r="G275" s="66" t="s">
        <v>11</v>
      </c>
      <c r="H275" s="66" t="str">
        <f>TEXT(Data[[#This Row],[Buchung]],"MMM")</f>
        <v>Okt</v>
      </c>
      <c r="I275" s="67">
        <f>YEAR(Data[[#This Row],[Buchung]])</f>
        <v>2015</v>
      </c>
      <c r="J275" s="2">
        <f>ABS(Data[[#This Row],[Betrag]])</f>
        <v>60</v>
      </c>
      <c r="K275" s="66" t="str">
        <f>IF(Data[[#This Row],[Betrag]]&lt;0,"A","E")</f>
        <v>A</v>
      </c>
    </row>
    <row r="276" spans="1:11" x14ac:dyDescent="0.25">
      <c r="A276" s="1">
        <v>42279</v>
      </c>
      <c r="B276" s="66" t="s">
        <v>54</v>
      </c>
      <c r="C276" s="66" t="s">
        <v>55</v>
      </c>
      <c r="D276" t="s">
        <v>66</v>
      </c>
      <c r="E276">
        <v>-80</v>
      </c>
      <c r="F276" s="66" t="s">
        <v>7</v>
      </c>
      <c r="G276" s="66" t="s">
        <v>57</v>
      </c>
      <c r="H276" s="66" t="str">
        <f>TEXT(Data[[#This Row],[Buchung]],"MMM")</f>
        <v>Okt</v>
      </c>
      <c r="I276" s="67">
        <f>YEAR(Data[[#This Row],[Buchung]])</f>
        <v>2015</v>
      </c>
      <c r="J276" s="2">
        <f>ABS(Data[[#This Row],[Betrag]])</f>
        <v>80</v>
      </c>
      <c r="K276" s="66" t="str">
        <f>IF(Data[[#This Row],[Betrag]]&lt;0,"A","E")</f>
        <v>A</v>
      </c>
    </row>
    <row r="277" spans="1:11" x14ac:dyDescent="0.25">
      <c r="A277" s="1">
        <v>42280</v>
      </c>
      <c r="B277" s="66" t="s">
        <v>67</v>
      </c>
      <c r="C277" s="66" t="s">
        <v>59</v>
      </c>
      <c r="D277" t="s">
        <v>68</v>
      </c>
      <c r="E277">
        <v>-30</v>
      </c>
      <c r="F277" s="66" t="s">
        <v>7</v>
      </c>
      <c r="G277" s="66" t="s">
        <v>10</v>
      </c>
      <c r="H277" s="66" t="str">
        <f>TEXT(Data[[#This Row],[Buchung]],"MMM")</f>
        <v>Okt</v>
      </c>
      <c r="I277" s="67">
        <f>YEAR(Data[[#This Row],[Buchung]])</f>
        <v>2015</v>
      </c>
      <c r="J277" s="2">
        <f>ABS(Data[[#This Row],[Betrag]])</f>
        <v>30</v>
      </c>
      <c r="K277" s="66" t="str">
        <f>IF(Data[[#This Row],[Betrag]]&lt;0,"A","E")</f>
        <v>A</v>
      </c>
    </row>
    <row r="278" spans="1:11" x14ac:dyDescent="0.25">
      <c r="A278" s="1">
        <v>42281</v>
      </c>
      <c r="B278" s="66" t="s">
        <v>45</v>
      </c>
      <c r="C278" s="66" t="s">
        <v>46</v>
      </c>
      <c r="D278" t="s">
        <v>47</v>
      </c>
      <c r="E278">
        <v>1000</v>
      </c>
      <c r="F278" s="66" t="s">
        <v>7</v>
      </c>
      <c r="G278" s="66" t="s">
        <v>9</v>
      </c>
      <c r="H278" s="66" t="str">
        <f>TEXT(Data[[#This Row],[Buchung]],"MMM")</f>
        <v>Okt</v>
      </c>
      <c r="I278" s="67">
        <f>YEAR(Data[[#This Row],[Buchung]])</f>
        <v>2015</v>
      </c>
      <c r="J278" s="2">
        <f>ABS(Data[[#This Row],[Betrag]])</f>
        <v>1000</v>
      </c>
      <c r="K278" s="66" t="str">
        <f>IF(Data[[#This Row],[Betrag]]&lt;0,"A","E")</f>
        <v>E</v>
      </c>
    </row>
    <row r="279" spans="1:11" x14ac:dyDescent="0.25">
      <c r="A279" s="1">
        <v>42282</v>
      </c>
      <c r="B279" s="66" t="s">
        <v>48</v>
      </c>
      <c r="C279" s="66" t="s">
        <v>49</v>
      </c>
      <c r="D279" t="s">
        <v>50</v>
      </c>
      <c r="E279">
        <v>-15</v>
      </c>
      <c r="F279" s="66" t="s">
        <v>7</v>
      </c>
      <c r="G279" s="66" t="s">
        <v>8</v>
      </c>
      <c r="H279" s="66" t="str">
        <f>TEXT(Data[[#This Row],[Buchung]],"MMM")</f>
        <v>Okt</v>
      </c>
      <c r="I279" s="67">
        <f>YEAR(Data[[#This Row],[Buchung]])</f>
        <v>2015</v>
      </c>
      <c r="J279" s="2">
        <f>ABS(Data[[#This Row],[Betrag]])</f>
        <v>15</v>
      </c>
      <c r="K279" s="66" t="str">
        <f>IF(Data[[#This Row],[Betrag]]&lt;0,"A","E")</f>
        <v>A</v>
      </c>
    </row>
    <row r="280" spans="1:11" x14ac:dyDescent="0.25">
      <c r="A280" s="1">
        <v>42283</v>
      </c>
      <c r="B280" s="66" t="s">
        <v>51</v>
      </c>
      <c r="C280" s="66" t="s">
        <v>52</v>
      </c>
      <c r="D280" t="s">
        <v>53</v>
      </c>
      <c r="E280">
        <v>-350</v>
      </c>
      <c r="F280" s="66" t="s">
        <v>7</v>
      </c>
      <c r="G280" s="66" t="s">
        <v>11</v>
      </c>
      <c r="H280" s="66" t="str">
        <f>TEXT(Data[[#This Row],[Buchung]],"MMM")</f>
        <v>Okt</v>
      </c>
      <c r="I280" s="67">
        <f>YEAR(Data[[#This Row],[Buchung]])</f>
        <v>2015</v>
      </c>
      <c r="J280" s="2">
        <f>ABS(Data[[#This Row],[Betrag]])</f>
        <v>350</v>
      </c>
      <c r="K280" s="66" t="str">
        <f>IF(Data[[#This Row],[Betrag]]&lt;0,"A","E")</f>
        <v>A</v>
      </c>
    </row>
    <row r="281" spans="1:11" x14ac:dyDescent="0.25">
      <c r="A281" s="1">
        <v>42284</v>
      </c>
      <c r="B281" s="66" t="s">
        <v>54</v>
      </c>
      <c r="C281" s="66" t="s">
        <v>55</v>
      </c>
      <c r="D281" t="s">
        <v>56</v>
      </c>
      <c r="E281">
        <v>-120</v>
      </c>
      <c r="F281" s="66" t="s">
        <v>7</v>
      </c>
      <c r="G281" s="66" t="s">
        <v>57</v>
      </c>
      <c r="H281" s="66" t="str">
        <f>TEXT(Data[[#This Row],[Buchung]],"MMM")</f>
        <v>Okt</v>
      </c>
      <c r="I281" s="67">
        <f>YEAR(Data[[#This Row],[Buchung]])</f>
        <v>2015</v>
      </c>
      <c r="J281" s="2">
        <f>ABS(Data[[#This Row],[Betrag]])</f>
        <v>120</v>
      </c>
      <c r="K281" s="66" t="str">
        <f>IF(Data[[#This Row],[Betrag]]&lt;0,"A","E")</f>
        <v>A</v>
      </c>
    </row>
    <row r="282" spans="1:11" x14ac:dyDescent="0.25">
      <c r="A282" s="1">
        <v>42285</v>
      </c>
      <c r="B282" s="66" t="s">
        <v>58</v>
      </c>
      <c r="C282" s="66" t="s">
        <v>59</v>
      </c>
      <c r="D282" t="s">
        <v>60</v>
      </c>
      <c r="E282">
        <v>-80</v>
      </c>
      <c r="F282" s="66" t="s">
        <v>7</v>
      </c>
      <c r="G282" s="66" t="s">
        <v>10</v>
      </c>
      <c r="H282" s="66" t="str">
        <f>TEXT(Data[[#This Row],[Buchung]],"MMM")</f>
        <v>Okt</v>
      </c>
      <c r="I282" s="67">
        <f>YEAR(Data[[#This Row],[Buchung]])</f>
        <v>2015</v>
      </c>
      <c r="J282" s="2">
        <f>ABS(Data[[#This Row],[Betrag]])</f>
        <v>80</v>
      </c>
      <c r="K282" s="66" t="str">
        <f>IF(Data[[#This Row],[Betrag]]&lt;0,"A","E")</f>
        <v>A</v>
      </c>
    </row>
    <row r="283" spans="1:11" x14ac:dyDescent="0.25">
      <c r="A283" s="1">
        <v>42286</v>
      </c>
      <c r="B283" s="66" t="s">
        <v>45</v>
      </c>
      <c r="C283" s="66" t="s">
        <v>46</v>
      </c>
      <c r="D283" t="s">
        <v>47</v>
      </c>
      <c r="E283">
        <v>1000</v>
      </c>
      <c r="F283" s="66" t="s">
        <v>7</v>
      </c>
      <c r="G283" s="66" t="s">
        <v>9</v>
      </c>
      <c r="H283" s="66" t="str">
        <f>TEXT(Data[[#This Row],[Buchung]],"MMM")</f>
        <v>Okt</v>
      </c>
      <c r="I283" s="67">
        <f>YEAR(Data[[#This Row],[Buchung]])</f>
        <v>2015</v>
      </c>
      <c r="J283" s="2">
        <f>ABS(Data[[#This Row],[Betrag]])</f>
        <v>1000</v>
      </c>
      <c r="K283" s="66" t="str">
        <f>IF(Data[[#This Row],[Betrag]]&lt;0,"A","E")</f>
        <v>E</v>
      </c>
    </row>
    <row r="284" spans="1:11" x14ac:dyDescent="0.25">
      <c r="A284" s="1">
        <v>42287</v>
      </c>
      <c r="B284" s="66" t="s">
        <v>61</v>
      </c>
      <c r="C284" s="66" t="s">
        <v>49</v>
      </c>
      <c r="D284" t="s">
        <v>62</v>
      </c>
      <c r="E284">
        <v>-10</v>
      </c>
      <c r="F284" s="66" t="s">
        <v>7</v>
      </c>
      <c r="G284" s="66" t="s">
        <v>8</v>
      </c>
      <c r="H284" s="66" t="str">
        <f>TEXT(Data[[#This Row],[Buchung]],"MMM")</f>
        <v>Okt</v>
      </c>
      <c r="I284" s="67">
        <f>YEAR(Data[[#This Row],[Buchung]])</f>
        <v>2015</v>
      </c>
      <c r="J284" s="2">
        <f>ABS(Data[[#This Row],[Betrag]])</f>
        <v>10</v>
      </c>
      <c r="K284" s="66" t="str">
        <f>IF(Data[[#This Row],[Betrag]]&lt;0,"A","E")</f>
        <v>A</v>
      </c>
    </row>
    <row r="285" spans="1:11" x14ac:dyDescent="0.25">
      <c r="A285" s="1">
        <v>42288</v>
      </c>
      <c r="B285" s="66" t="s">
        <v>63</v>
      </c>
      <c r="C285" s="66" t="s">
        <v>64</v>
      </c>
      <c r="D285" t="s">
        <v>65</v>
      </c>
      <c r="E285">
        <v>-65</v>
      </c>
      <c r="F285" s="66" t="s">
        <v>7</v>
      </c>
      <c r="G285" s="66" t="s">
        <v>11</v>
      </c>
      <c r="H285" s="66" t="str">
        <f>TEXT(Data[[#This Row],[Buchung]],"MMM")</f>
        <v>Okt</v>
      </c>
      <c r="I285" s="67">
        <f>YEAR(Data[[#This Row],[Buchung]])</f>
        <v>2015</v>
      </c>
      <c r="J285" s="2">
        <f>ABS(Data[[#This Row],[Betrag]])</f>
        <v>65</v>
      </c>
      <c r="K285" s="66" t="str">
        <f>IF(Data[[#This Row],[Betrag]]&lt;0,"A","E")</f>
        <v>A</v>
      </c>
    </row>
    <row r="286" spans="1:11" x14ac:dyDescent="0.25">
      <c r="A286" s="1">
        <v>42289</v>
      </c>
      <c r="B286" s="66" t="s">
        <v>54</v>
      </c>
      <c r="C286" s="66" t="s">
        <v>55</v>
      </c>
      <c r="D286" t="s">
        <v>66</v>
      </c>
      <c r="E286">
        <v>-80</v>
      </c>
      <c r="F286" s="66" t="s">
        <v>7</v>
      </c>
      <c r="G286" s="66" t="s">
        <v>57</v>
      </c>
      <c r="H286" s="66" t="str">
        <f>TEXT(Data[[#This Row],[Buchung]],"MMM")</f>
        <v>Okt</v>
      </c>
      <c r="I286" s="67">
        <f>YEAR(Data[[#This Row],[Buchung]])</f>
        <v>2015</v>
      </c>
      <c r="J286" s="2">
        <f>ABS(Data[[#This Row],[Betrag]])</f>
        <v>80</v>
      </c>
      <c r="K286" s="66" t="str">
        <f>IF(Data[[#This Row],[Betrag]]&lt;0,"A","E")</f>
        <v>A</v>
      </c>
    </row>
    <row r="287" spans="1:11" x14ac:dyDescent="0.25">
      <c r="A287" s="1">
        <v>42290</v>
      </c>
      <c r="B287" s="66" t="s">
        <v>67</v>
      </c>
      <c r="C287" s="66" t="s">
        <v>59</v>
      </c>
      <c r="D287" t="s">
        <v>68</v>
      </c>
      <c r="E287">
        <v>-35</v>
      </c>
      <c r="F287" s="66" t="s">
        <v>7</v>
      </c>
      <c r="G287" s="66" t="s">
        <v>10</v>
      </c>
      <c r="H287" s="66" t="str">
        <f>TEXT(Data[[#This Row],[Buchung]],"MMM")</f>
        <v>Okt</v>
      </c>
      <c r="I287" s="67">
        <f>YEAR(Data[[#This Row],[Buchung]])</f>
        <v>2015</v>
      </c>
      <c r="J287" s="2">
        <f>ABS(Data[[#This Row],[Betrag]])</f>
        <v>35</v>
      </c>
      <c r="K287" s="66" t="str">
        <f>IF(Data[[#This Row],[Betrag]]&lt;0,"A","E")</f>
        <v>A</v>
      </c>
    </row>
    <row r="288" spans="1:11" x14ac:dyDescent="0.25">
      <c r="A288" s="1">
        <v>42291</v>
      </c>
      <c r="B288" s="66" t="s">
        <v>45</v>
      </c>
      <c r="C288" s="66" t="s">
        <v>46</v>
      </c>
      <c r="D288" t="s">
        <v>47</v>
      </c>
      <c r="E288">
        <v>1000</v>
      </c>
      <c r="F288" s="66" t="s">
        <v>7</v>
      </c>
      <c r="G288" s="66" t="s">
        <v>9</v>
      </c>
      <c r="H288" s="66" t="str">
        <f>TEXT(Data[[#This Row],[Buchung]],"MMM")</f>
        <v>Okt</v>
      </c>
      <c r="I288" s="67">
        <f>YEAR(Data[[#This Row],[Buchung]])</f>
        <v>2015</v>
      </c>
      <c r="J288" s="2">
        <f>ABS(Data[[#This Row],[Betrag]])</f>
        <v>1000</v>
      </c>
      <c r="K288" s="66" t="str">
        <f>IF(Data[[#This Row],[Betrag]]&lt;0,"A","E")</f>
        <v>E</v>
      </c>
    </row>
    <row r="289" spans="1:11" x14ac:dyDescent="0.25">
      <c r="A289" s="1">
        <v>42292</v>
      </c>
      <c r="B289" s="66" t="s">
        <v>45</v>
      </c>
      <c r="C289" s="66" t="s">
        <v>46</v>
      </c>
      <c r="D289" t="s">
        <v>47</v>
      </c>
      <c r="E289">
        <v>1000</v>
      </c>
      <c r="F289" s="66" t="s">
        <v>7</v>
      </c>
      <c r="G289" s="66" t="s">
        <v>9</v>
      </c>
      <c r="H289" s="66" t="str">
        <f>TEXT(Data[[#This Row],[Buchung]],"MMM")</f>
        <v>Okt</v>
      </c>
      <c r="I289" s="67">
        <f>YEAR(Data[[#This Row],[Buchung]])</f>
        <v>2015</v>
      </c>
      <c r="J289" s="2">
        <f>ABS(Data[[#This Row],[Betrag]])</f>
        <v>1000</v>
      </c>
      <c r="K289" s="66" t="str">
        <f>IF(Data[[#This Row],[Betrag]]&lt;0,"A","E")</f>
        <v>E</v>
      </c>
    </row>
    <row r="290" spans="1:11" x14ac:dyDescent="0.25">
      <c r="A290" s="1">
        <v>42293</v>
      </c>
      <c r="B290" s="66" t="s">
        <v>48</v>
      </c>
      <c r="C290" s="66" t="s">
        <v>49</v>
      </c>
      <c r="D290" t="s">
        <v>50</v>
      </c>
      <c r="E290">
        <v>-15</v>
      </c>
      <c r="F290" s="66" t="s">
        <v>7</v>
      </c>
      <c r="G290" s="66" t="s">
        <v>8</v>
      </c>
      <c r="H290" s="66" t="str">
        <f>TEXT(Data[[#This Row],[Buchung]],"MMM")</f>
        <v>Okt</v>
      </c>
      <c r="I290" s="67">
        <f>YEAR(Data[[#This Row],[Buchung]])</f>
        <v>2015</v>
      </c>
      <c r="J290" s="2">
        <f>ABS(Data[[#This Row],[Betrag]])</f>
        <v>15</v>
      </c>
      <c r="K290" s="66" t="str">
        <f>IF(Data[[#This Row],[Betrag]]&lt;0,"A","E")</f>
        <v>A</v>
      </c>
    </row>
    <row r="291" spans="1:11" x14ac:dyDescent="0.25">
      <c r="A291" s="1">
        <v>42294</v>
      </c>
      <c r="B291" s="66" t="s">
        <v>51</v>
      </c>
      <c r="C291" s="66" t="s">
        <v>52</v>
      </c>
      <c r="D291" t="s">
        <v>53</v>
      </c>
      <c r="E291">
        <v>-350</v>
      </c>
      <c r="F291" s="66" t="s">
        <v>7</v>
      </c>
      <c r="G291" s="66" t="s">
        <v>11</v>
      </c>
      <c r="H291" s="66" t="str">
        <f>TEXT(Data[[#This Row],[Buchung]],"MMM")</f>
        <v>Okt</v>
      </c>
      <c r="I291" s="67">
        <f>YEAR(Data[[#This Row],[Buchung]])</f>
        <v>2015</v>
      </c>
      <c r="J291" s="2">
        <f>ABS(Data[[#This Row],[Betrag]])</f>
        <v>350</v>
      </c>
      <c r="K291" s="66" t="str">
        <f>IF(Data[[#This Row],[Betrag]]&lt;0,"A","E")</f>
        <v>A</v>
      </c>
    </row>
    <row r="292" spans="1:11" x14ac:dyDescent="0.25">
      <c r="A292" s="1">
        <v>42295</v>
      </c>
      <c r="B292" s="66" t="s">
        <v>54</v>
      </c>
      <c r="C292" s="66" t="s">
        <v>55</v>
      </c>
      <c r="D292" t="s">
        <v>56</v>
      </c>
      <c r="E292">
        <v>-120</v>
      </c>
      <c r="F292" s="66" t="s">
        <v>7</v>
      </c>
      <c r="G292" s="66" t="s">
        <v>57</v>
      </c>
      <c r="H292" s="66" t="str">
        <f>TEXT(Data[[#This Row],[Buchung]],"MMM")</f>
        <v>Okt</v>
      </c>
      <c r="I292" s="67">
        <f>YEAR(Data[[#This Row],[Buchung]])</f>
        <v>2015</v>
      </c>
      <c r="J292" s="2">
        <f>ABS(Data[[#This Row],[Betrag]])</f>
        <v>120</v>
      </c>
      <c r="K292" s="66" t="str">
        <f>IF(Data[[#This Row],[Betrag]]&lt;0,"A","E")</f>
        <v>A</v>
      </c>
    </row>
    <row r="293" spans="1:11" x14ac:dyDescent="0.25">
      <c r="A293" s="1">
        <v>42296</v>
      </c>
      <c r="B293" s="66" t="s">
        <v>58</v>
      </c>
      <c r="C293" s="66" t="s">
        <v>59</v>
      </c>
      <c r="D293" t="s">
        <v>60</v>
      </c>
      <c r="E293">
        <v>-50</v>
      </c>
      <c r="F293" s="66" t="s">
        <v>7</v>
      </c>
      <c r="G293" s="66" t="s">
        <v>10</v>
      </c>
      <c r="H293" s="66" t="str">
        <f>TEXT(Data[[#This Row],[Buchung]],"MMM")</f>
        <v>Okt</v>
      </c>
      <c r="I293" s="67">
        <f>YEAR(Data[[#This Row],[Buchung]])</f>
        <v>2015</v>
      </c>
      <c r="J293" s="2">
        <f>ABS(Data[[#This Row],[Betrag]])</f>
        <v>50</v>
      </c>
      <c r="K293" s="66" t="str">
        <f>IF(Data[[#This Row],[Betrag]]&lt;0,"A","E")</f>
        <v>A</v>
      </c>
    </row>
    <row r="294" spans="1:11" x14ac:dyDescent="0.25">
      <c r="A294" s="1">
        <v>42297</v>
      </c>
      <c r="B294" s="66" t="s">
        <v>45</v>
      </c>
      <c r="C294" s="66" t="s">
        <v>46</v>
      </c>
      <c r="D294" t="s">
        <v>47</v>
      </c>
      <c r="E294">
        <v>1000</v>
      </c>
      <c r="F294" s="66" t="s">
        <v>7</v>
      </c>
      <c r="G294" s="66" t="s">
        <v>9</v>
      </c>
      <c r="H294" s="66" t="str">
        <f>TEXT(Data[[#This Row],[Buchung]],"MMM")</f>
        <v>Okt</v>
      </c>
      <c r="I294" s="67">
        <f>YEAR(Data[[#This Row],[Buchung]])</f>
        <v>2015</v>
      </c>
      <c r="J294" s="2">
        <f>ABS(Data[[#This Row],[Betrag]])</f>
        <v>1000</v>
      </c>
      <c r="K294" s="66" t="str">
        <f>IF(Data[[#This Row],[Betrag]]&lt;0,"A","E")</f>
        <v>E</v>
      </c>
    </row>
    <row r="295" spans="1:11" x14ac:dyDescent="0.25">
      <c r="A295" s="1">
        <v>42298</v>
      </c>
      <c r="B295" s="66" t="s">
        <v>61</v>
      </c>
      <c r="C295" s="66" t="s">
        <v>49</v>
      </c>
      <c r="D295" t="s">
        <v>62</v>
      </c>
      <c r="E295">
        <v>-10</v>
      </c>
      <c r="F295" s="66" t="s">
        <v>7</v>
      </c>
      <c r="G295" s="66" t="s">
        <v>8</v>
      </c>
      <c r="H295" s="66" t="str">
        <f>TEXT(Data[[#This Row],[Buchung]],"MMM")</f>
        <v>Okt</v>
      </c>
      <c r="I295" s="67">
        <f>YEAR(Data[[#This Row],[Buchung]])</f>
        <v>2015</v>
      </c>
      <c r="J295" s="2">
        <f>ABS(Data[[#This Row],[Betrag]])</f>
        <v>10</v>
      </c>
      <c r="K295" s="66" t="str">
        <f>IF(Data[[#This Row],[Betrag]]&lt;0,"A","E")</f>
        <v>A</v>
      </c>
    </row>
    <row r="296" spans="1:11" x14ac:dyDescent="0.25">
      <c r="A296" s="1">
        <v>42299</v>
      </c>
      <c r="B296" s="66" t="s">
        <v>63</v>
      </c>
      <c r="C296" s="66" t="s">
        <v>64</v>
      </c>
      <c r="D296" t="s">
        <v>65</v>
      </c>
      <c r="E296">
        <v>-60</v>
      </c>
      <c r="F296" s="66" t="s">
        <v>7</v>
      </c>
      <c r="G296" s="66" t="s">
        <v>11</v>
      </c>
      <c r="H296" s="66" t="str">
        <f>TEXT(Data[[#This Row],[Buchung]],"MMM")</f>
        <v>Okt</v>
      </c>
      <c r="I296" s="67">
        <f>YEAR(Data[[#This Row],[Buchung]])</f>
        <v>2015</v>
      </c>
      <c r="J296" s="2">
        <f>ABS(Data[[#This Row],[Betrag]])</f>
        <v>60</v>
      </c>
      <c r="K296" s="66" t="str">
        <f>IF(Data[[#This Row],[Betrag]]&lt;0,"A","E")</f>
        <v>A</v>
      </c>
    </row>
    <row r="297" spans="1:11" x14ac:dyDescent="0.25">
      <c r="A297" s="1">
        <v>42300</v>
      </c>
      <c r="B297" s="66" t="s">
        <v>54</v>
      </c>
      <c r="C297" s="66" t="s">
        <v>55</v>
      </c>
      <c r="D297" t="s">
        <v>66</v>
      </c>
      <c r="E297">
        <v>-80</v>
      </c>
      <c r="F297" s="66" t="s">
        <v>7</v>
      </c>
      <c r="G297" s="66" t="s">
        <v>57</v>
      </c>
      <c r="H297" s="66" t="str">
        <f>TEXT(Data[[#This Row],[Buchung]],"MMM")</f>
        <v>Okt</v>
      </c>
      <c r="I297" s="67">
        <f>YEAR(Data[[#This Row],[Buchung]])</f>
        <v>2015</v>
      </c>
      <c r="J297" s="2">
        <f>ABS(Data[[#This Row],[Betrag]])</f>
        <v>80</v>
      </c>
      <c r="K297" s="66" t="str">
        <f>IF(Data[[#This Row],[Betrag]]&lt;0,"A","E")</f>
        <v>A</v>
      </c>
    </row>
    <row r="298" spans="1:11" x14ac:dyDescent="0.25">
      <c r="A298" s="1">
        <v>42301</v>
      </c>
      <c r="B298" s="66" t="s">
        <v>67</v>
      </c>
      <c r="C298" s="66" t="s">
        <v>59</v>
      </c>
      <c r="D298" t="s">
        <v>68</v>
      </c>
      <c r="E298">
        <v>-20</v>
      </c>
      <c r="F298" s="66" t="s">
        <v>7</v>
      </c>
      <c r="G298" s="66" t="s">
        <v>10</v>
      </c>
      <c r="H298" s="66" t="str">
        <f>TEXT(Data[[#This Row],[Buchung]],"MMM")</f>
        <v>Okt</v>
      </c>
      <c r="I298" s="67">
        <f>YEAR(Data[[#This Row],[Buchung]])</f>
        <v>2015</v>
      </c>
      <c r="J298" s="2">
        <f>ABS(Data[[#This Row],[Betrag]])</f>
        <v>20</v>
      </c>
      <c r="K298" s="66" t="str">
        <f>IF(Data[[#This Row],[Betrag]]&lt;0,"A","E")</f>
        <v>A</v>
      </c>
    </row>
    <row r="299" spans="1:11" x14ac:dyDescent="0.25">
      <c r="A299" s="1">
        <v>42302</v>
      </c>
      <c r="B299" s="66" t="s">
        <v>45</v>
      </c>
      <c r="C299" s="66" t="s">
        <v>46</v>
      </c>
      <c r="D299" t="s">
        <v>47</v>
      </c>
      <c r="E299">
        <v>1000</v>
      </c>
      <c r="F299" s="66" t="s">
        <v>7</v>
      </c>
      <c r="G299" s="66" t="s">
        <v>9</v>
      </c>
      <c r="H299" s="66" t="str">
        <f>TEXT(Data[[#This Row],[Buchung]],"MMM")</f>
        <v>Okt</v>
      </c>
      <c r="I299" s="67">
        <f>YEAR(Data[[#This Row],[Buchung]])</f>
        <v>2015</v>
      </c>
      <c r="J299" s="2">
        <f>ABS(Data[[#This Row],[Betrag]])</f>
        <v>1000</v>
      </c>
      <c r="K299" s="66" t="str">
        <f>IF(Data[[#This Row],[Betrag]]&lt;0,"A","E")</f>
        <v>E</v>
      </c>
    </row>
    <row r="300" spans="1:11" x14ac:dyDescent="0.25">
      <c r="A300" s="1">
        <v>42303</v>
      </c>
      <c r="B300" s="66" t="s">
        <v>48</v>
      </c>
      <c r="C300" s="66" t="s">
        <v>49</v>
      </c>
      <c r="D300" t="s">
        <v>50</v>
      </c>
      <c r="E300">
        <v>-15</v>
      </c>
      <c r="F300" s="66" t="s">
        <v>7</v>
      </c>
      <c r="G300" s="66" t="s">
        <v>8</v>
      </c>
      <c r="H300" s="66" t="str">
        <f>TEXT(Data[[#This Row],[Buchung]],"MMM")</f>
        <v>Okt</v>
      </c>
      <c r="I300" s="67">
        <f>YEAR(Data[[#This Row],[Buchung]])</f>
        <v>2015</v>
      </c>
      <c r="J300" s="2">
        <f>ABS(Data[[#This Row],[Betrag]])</f>
        <v>15</v>
      </c>
      <c r="K300" s="66" t="str">
        <f>IF(Data[[#This Row],[Betrag]]&lt;0,"A","E")</f>
        <v>A</v>
      </c>
    </row>
    <row r="301" spans="1:11" x14ac:dyDescent="0.25">
      <c r="A301" s="1">
        <v>42304</v>
      </c>
      <c r="B301" s="66" t="s">
        <v>51</v>
      </c>
      <c r="C301" s="66" t="s">
        <v>52</v>
      </c>
      <c r="D301" t="s">
        <v>53</v>
      </c>
      <c r="E301">
        <v>-350</v>
      </c>
      <c r="F301" s="66" t="s">
        <v>7</v>
      </c>
      <c r="G301" s="66" t="s">
        <v>11</v>
      </c>
      <c r="H301" s="66" t="str">
        <f>TEXT(Data[[#This Row],[Buchung]],"MMM")</f>
        <v>Okt</v>
      </c>
      <c r="I301" s="67">
        <f>YEAR(Data[[#This Row],[Buchung]])</f>
        <v>2015</v>
      </c>
      <c r="J301" s="2">
        <f>ABS(Data[[#This Row],[Betrag]])</f>
        <v>350</v>
      </c>
      <c r="K301" s="66" t="str">
        <f>IF(Data[[#This Row],[Betrag]]&lt;0,"A","E")</f>
        <v>A</v>
      </c>
    </row>
    <row r="302" spans="1:11" x14ac:dyDescent="0.25">
      <c r="A302" s="1">
        <v>42305</v>
      </c>
      <c r="B302" s="66" t="s">
        <v>54</v>
      </c>
      <c r="C302" s="66" t="s">
        <v>55</v>
      </c>
      <c r="D302" t="s">
        <v>56</v>
      </c>
      <c r="E302">
        <v>-120</v>
      </c>
      <c r="F302" s="66" t="s">
        <v>7</v>
      </c>
      <c r="G302" s="66" t="s">
        <v>57</v>
      </c>
      <c r="H302" s="66" t="str">
        <f>TEXT(Data[[#This Row],[Buchung]],"MMM")</f>
        <v>Okt</v>
      </c>
      <c r="I302" s="67">
        <f>YEAR(Data[[#This Row],[Buchung]])</f>
        <v>2015</v>
      </c>
      <c r="J302" s="2">
        <f>ABS(Data[[#This Row],[Betrag]])</f>
        <v>120</v>
      </c>
      <c r="K302" s="66" t="str">
        <f>IF(Data[[#This Row],[Betrag]]&lt;0,"A","E")</f>
        <v>A</v>
      </c>
    </row>
    <row r="303" spans="1:11" x14ac:dyDescent="0.25">
      <c r="A303" s="1">
        <v>42306</v>
      </c>
      <c r="B303" s="66" t="s">
        <v>58</v>
      </c>
      <c r="C303" s="66" t="s">
        <v>59</v>
      </c>
      <c r="D303" t="s">
        <v>60</v>
      </c>
      <c r="E303">
        <v>-60</v>
      </c>
      <c r="F303" s="66" t="s">
        <v>7</v>
      </c>
      <c r="G303" s="66" t="s">
        <v>10</v>
      </c>
      <c r="H303" s="66" t="str">
        <f>TEXT(Data[[#This Row],[Buchung]],"MMM")</f>
        <v>Okt</v>
      </c>
      <c r="I303" s="67">
        <f>YEAR(Data[[#This Row],[Buchung]])</f>
        <v>2015</v>
      </c>
      <c r="J303" s="2">
        <f>ABS(Data[[#This Row],[Betrag]])</f>
        <v>60</v>
      </c>
      <c r="K303" s="66" t="str">
        <f>IF(Data[[#This Row],[Betrag]]&lt;0,"A","E")</f>
        <v>A</v>
      </c>
    </row>
    <row r="304" spans="1:11" x14ac:dyDescent="0.25">
      <c r="A304" s="1">
        <v>42307</v>
      </c>
      <c r="B304" s="66" t="s">
        <v>45</v>
      </c>
      <c r="C304" s="66" t="s">
        <v>46</v>
      </c>
      <c r="D304" t="s">
        <v>47</v>
      </c>
      <c r="E304">
        <v>1000</v>
      </c>
      <c r="F304" s="66" t="s">
        <v>7</v>
      </c>
      <c r="G304" s="66" t="s">
        <v>9</v>
      </c>
      <c r="H304" s="66" t="str">
        <f>TEXT(Data[[#This Row],[Buchung]],"MMM")</f>
        <v>Okt</v>
      </c>
      <c r="I304" s="67">
        <f>YEAR(Data[[#This Row],[Buchung]])</f>
        <v>2015</v>
      </c>
      <c r="J304" s="2">
        <f>ABS(Data[[#This Row],[Betrag]])</f>
        <v>1000</v>
      </c>
      <c r="K304" s="66" t="str">
        <f>IF(Data[[#This Row],[Betrag]]&lt;0,"A","E")</f>
        <v>E</v>
      </c>
    </row>
    <row r="305" spans="1:11" x14ac:dyDescent="0.25">
      <c r="A305" s="1">
        <v>42308</v>
      </c>
      <c r="B305" s="66" t="s">
        <v>61</v>
      </c>
      <c r="C305" s="66" t="s">
        <v>49</v>
      </c>
      <c r="D305" t="s">
        <v>62</v>
      </c>
      <c r="E305">
        <v>-10</v>
      </c>
      <c r="F305" s="66" t="s">
        <v>7</v>
      </c>
      <c r="G305" s="66" t="s">
        <v>8</v>
      </c>
      <c r="H305" s="66" t="str">
        <f>TEXT(Data[[#This Row],[Buchung]],"MMM")</f>
        <v>Okt</v>
      </c>
      <c r="I305" s="67">
        <f>YEAR(Data[[#This Row],[Buchung]])</f>
        <v>2015</v>
      </c>
      <c r="J305" s="2">
        <f>ABS(Data[[#This Row],[Betrag]])</f>
        <v>10</v>
      </c>
      <c r="K305" s="66" t="str">
        <f>IF(Data[[#This Row],[Betrag]]&lt;0,"A","E")</f>
        <v>A</v>
      </c>
    </row>
    <row r="306" spans="1:11" x14ac:dyDescent="0.25">
      <c r="A306" s="1">
        <v>42309</v>
      </c>
      <c r="B306" s="66" t="s">
        <v>63</v>
      </c>
      <c r="C306" s="66" t="s">
        <v>64</v>
      </c>
      <c r="D306" t="s">
        <v>65</v>
      </c>
      <c r="E306">
        <v>-70</v>
      </c>
      <c r="F306" s="66" t="s">
        <v>7</v>
      </c>
      <c r="G306" s="66" t="s">
        <v>11</v>
      </c>
      <c r="H306" s="66" t="str">
        <f>TEXT(Data[[#This Row],[Buchung]],"MMM")</f>
        <v>Nov</v>
      </c>
      <c r="I306" s="67">
        <f>YEAR(Data[[#This Row],[Buchung]])</f>
        <v>2015</v>
      </c>
      <c r="J306" s="2">
        <f>ABS(Data[[#This Row],[Betrag]])</f>
        <v>70</v>
      </c>
      <c r="K306" s="66" t="str">
        <f>IF(Data[[#This Row],[Betrag]]&lt;0,"A","E")</f>
        <v>A</v>
      </c>
    </row>
    <row r="307" spans="1:11" x14ac:dyDescent="0.25">
      <c r="A307" s="1">
        <v>42310</v>
      </c>
      <c r="B307" s="66" t="s">
        <v>54</v>
      </c>
      <c r="C307" s="66" t="s">
        <v>55</v>
      </c>
      <c r="D307" t="s">
        <v>66</v>
      </c>
      <c r="E307">
        <v>-80</v>
      </c>
      <c r="F307" s="66" t="s">
        <v>7</v>
      </c>
      <c r="G307" s="66" t="s">
        <v>57</v>
      </c>
      <c r="H307" s="66" t="str">
        <f>TEXT(Data[[#This Row],[Buchung]],"MMM")</f>
        <v>Nov</v>
      </c>
      <c r="I307" s="67">
        <f>YEAR(Data[[#This Row],[Buchung]])</f>
        <v>2015</v>
      </c>
      <c r="J307" s="2">
        <f>ABS(Data[[#This Row],[Betrag]])</f>
        <v>80</v>
      </c>
      <c r="K307" s="66" t="str">
        <f>IF(Data[[#This Row],[Betrag]]&lt;0,"A","E")</f>
        <v>A</v>
      </c>
    </row>
    <row r="308" spans="1:11" x14ac:dyDescent="0.25">
      <c r="A308" s="1">
        <v>42311</v>
      </c>
      <c r="B308" s="66" t="s">
        <v>67</v>
      </c>
      <c r="C308" s="66" t="s">
        <v>59</v>
      </c>
      <c r="D308" t="s">
        <v>68</v>
      </c>
      <c r="E308">
        <v>-25</v>
      </c>
      <c r="F308" s="66" t="s">
        <v>7</v>
      </c>
      <c r="G308" s="66" t="s">
        <v>10</v>
      </c>
      <c r="H308" s="66" t="str">
        <f>TEXT(Data[[#This Row],[Buchung]],"MMM")</f>
        <v>Nov</v>
      </c>
      <c r="I308" s="67">
        <f>YEAR(Data[[#This Row],[Buchung]])</f>
        <v>2015</v>
      </c>
      <c r="J308" s="2">
        <f>ABS(Data[[#This Row],[Betrag]])</f>
        <v>25</v>
      </c>
      <c r="K308" s="66" t="str">
        <f>IF(Data[[#This Row],[Betrag]]&lt;0,"A","E")</f>
        <v>A</v>
      </c>
    </row>
    <row r="309" spans="1:11" x14ac:dyDescent="0.25">
      <c r="A309" s="1">
        <v>42312</v>
      </c>
      <c r="B309" s="66" t="s">
        <v>45</v>
      </c>
      <c r="C309" s="66" t="s">
        <v>46</v>
      </c>
      <c r="D309" t="s">
        <v>47</v>
      </c>
      <c r="E309">
        <v>1000</v>
      </c>
      <c r="F309" s="66" t="s">
        <v>7</v>
      </c>
      <c r="G309" s="66" t="s">
        <v>9</v>
      </c>
      <c r="H309" s="66" t="str">
        <f>TEXT(Data[[#This Row],[Buchung]],"MMM")</f>
        <v>Nov</v>
      </c>
      <c r="I309" s="67">
        <f>YEAR(Data[[#This Row],[Buchung]])</f>
        <v>2015</v>
      </c>
      <c r="J309" s="2">
        <f>ABS(Data[[#This Row],[Betrag]])</f>
        <v>1000</v>
      </c>
      <c r="K309" s="66" t="str">
        <f>IF(Data[[#This Row],[Betrag]]&lt;0,"A","E")</f>
        <v>E</v>
      </c>
    </row>
    <row r="310" spans="1:11" x14ac:dyDescent="0.25">
      <c r="A310" s="1">
        <v>42313</v>
      </c>
      <c r="B310" s="66" t="s">
        <v>48</v>
      </c>
      <c r="C310" s="66" t="s">
        <v>49</v>
      </c>
      <c r="D310" t="s">
        <v>50</v>
      </c>
      <c r="E310">
        <v>-15</v>
      </c>
      <c r="F310" s="66" t="s">
        <v>7</v>
      </c>
      <c r="G310" s="66" t="s">
        <v>8</v>
      </c>
      <c r="H310" s="66" t="str">
        <f>TEXT(Data[[#This Row],[Buchung]],"MMM")</f>
        <v>Nov</v>
      </c>
      <c r="I310" s="67">
        <f>YEAR(Data[[#This Row],[Buchung]])</f>
        <v>2015</v>
      </c>
      <c r="J310" s="2">
        <f>ABS(Data[[#This Row],[Betrag]])</f>
        <v>15</v>
      </c>
      <c r="K310" s="66" t="str">
        <f>IF(Data[[#This Row],[Betrag]]&lt;0,"A","E")</f>
        <v>A</v>
      </c>
    </row>
    <row r="311" spans="1:11" x14ac:dyDescent="0.25">
      <c r="A311" s="1">
        <v>42314</v>
      </c>
      <c r="B311" s="66" t="s">
        <v>51</v>
      </c>
      <c r="C311" s="66" t="s">
        <v>52</v>
      </c>
      <c r="D311" t="s">
        <v>53</v>
      </c>
      <c r="E311">
        <v>-350</v>
      </c>
      <c r="F311" s="66" t="s">
        <v>7</v>
      </c>
      <c r="G311" s="66" t="s">
        <v>11</v>
      </c>
      <c r="H311" s="66" t="str">
        <f>TEXT(Data[[#This Row],[Buchung]],"MMM")</f>
        <v>Nov</v>
      </c>
      <c r="I311" s="67">
        <f>YEAR(Data[[#This Row],[Buchung]])</f>
        <v>2015</v>
      </c>
      <c r="J311" s="2">
        <f>ABS(Data[[#This Row],[Betrag]])</f>
        <v>350</v>
      </c>
      <c r="K311" s="66" t="str">
        <f>IF(Data[[#This Row],[Betrag]]&lt;0,"A","E")</f>
        <v>A</v>
      </c>
    </row>
    <row r="312" spans="1:11" x14ac:dyDescent="0.25">
      <c r="A312" s="1">
        <v>42315</v>
      </c>
      <c r="B312" s="66" t="s">
        <v>54</v>
      </c>
      <c r="C312" s="66" t="s">
        <v>55</v>
      </c>
      <c r="D312" t="s">
        <v>56</v>
      </c>
      <c r="E312">
        <v>-120</v>
      </c>
      <c r="F312" s="66" t="s">
        <v>7</v>
      </c>
      <c r="G312" s="66" t="s">
        <v>57</v>
      </c>
      <c r="H312" s="66" t="str">
        <f>TEXT(Data[[#This Row],[Buchung]],"MMM")</f>
        <v>Nov</v>
      </c>
      <c r="I312" s="67">
        <f>YEAR(Data[[#This Row],[Buchung]])</f>
        <v>2015</v>
      </c>
      <c r="J312" s="2">
        <f>ABS(Data[[#This Row],[Betrag]])</f>
        <v>120</v>
      </c>
      <c r="K312" s="66" t="str">
        <f>IF(Data[[#This Row],[Betrag]]&lt;0,"A","E")</f>
        <v>A</v>
      </c>
    </row>
    <row r="313" spans="1:11" x14ac:dyDescent="0.25">
      <c r="A313" s="1">
        <v>42316</v>
      </c>
      <c r="B313" s="66" t="s">
        <v>58</v>
      </c>
      <c r="C313" s="66" t="s">
        <v>59</v>
      </c>
      <c r="D313" t="s">
        <v>60</v>
      </c>
      <c r="E313">
        <v>-70</v>
      </c>
      <c r="F313" s="66" t="s">
        <v>7</v>
      </c>
      <c r="G313" s="66" t="s">
        <v>10</v>
      </c>
      <c r="H313" s="66" t="str">
        <f>TEXT(Data[[#This Row],[Buchung]],"MMM")</f>
        <v>Nov</v>
      </c>
      <c r="I313" s="67">
        <f>YEAR(Data[[#This Row],[Buchung]])</f>
        <v>2015</v>
      </c>
      <c r="J313" s="2">
        <f>ABS(Data[[#This Row],[Betrag]])</f>
        <v>70</v>
      </c>
      <c r="K313" s="66" t="str">
        <f>IF(Data[[#This Row],[Betrag]]&lt;0,"A","E")</f>
        <v>A</v>
      </c>
    </row>
    <row r="314" spans="1:11" x14ac:dyDescent="0.25">
      <c r="A314" s="1">
        <v>42317</v>
      </c>
      <c r="B314" s="66" t="s">
        <v>45</v>
      </c>
      <c r="C314" s="66" t="s">
        <v>46</v>
      </c>
      <c r="D314" t="s">
        <v>47</v>
      </c>
      <c r="E314">
        <v>1000</v>
      </c>
      <c r="F314" s="66" t="s">
        <v>7</v>
      </c>
      <c r="G314" s="66" t="s">
        <v>9</v>
      </c>
      <c r="H314" s="66" t="str">
        <f>TEXT(Data[[#This Row],[Buchung]],"MMM")</f>
        <v>Nov</v>
      </c>
      <c r="I314" s="67">
        <f>YEAR(Data[[#This Row],[Buchung]])</f>
        <v>2015</v>
      </c>
      <c r="J314" s="2">
        <f>ABS(Data[[#This Row],[Betrag]])</f>
        <v>1000</v>
      </c>
      <c r="K314" s="66" t="str">
        <f>IF(Data[[#This Row],[Betrag]]&lt;0,"A","E")</f>
        <v>E</v>
      </c>
    </row>
    <row r="315" spans="1:11" x14ac:dyDescent="0.25">
      <c r="A315" s="1">
        <v>42318</v>
      </c>
      <c r="B315" s="66" t="s">
        <v>61</v>
      </c>
      <c r="C315" s="66" t="s">
        <v>49</v>
      </c>
      <c r="D315" t="s">
        <v>62</v>
      </c>
      <c r="E315">
        <v>-10</v>
      </c>
      <c r="F315" s="66" t="s">
        <v>7</v>
      </c>
      <c r="G315" s="66" t="s">
        <v>8</v>
      </c>
      <c r="H315" s="66" t="str">
        <f>TEXT(Data[[#This Row],[Buchung]],"MMM")</f>
        <v>Nov</v>
      </c>
      <c r="I315" s="67">
        <f>YEAR(Data[[#This Row],[Buchung]])</f>
        <v>2015</v>
      </c>
      <c r="J315" s="2">
        <f>ABS(Data[[#This Row],[Betrag]])</f>
        <v>10</v>
      </c>
      <c r="K315" s="66" t="str">
        <f>IF(Data[[#This Row],[Betrag]]&lt;0,"A","E")</f>
        <v>A</v>
      </c>
    </row>
    <row r="316" spans="1:11" x14ac:dyDescent="0.25">
      <c r="A316" s="1">
        <v>42319</v>
      </c>
      <c r="B316" s="66" t="s">
        <v>63</v>
      </c>
      <c r="C316" s="66" t="s">
        <v>64</v>
      </c>
      <c r="D316" t="s">
        <v>65</v>
      </c>
      <c r="E316">
        <v>-60</v>
      </c>
      <c r="F316" s="66" t="s">
        <v>7</v>
      </c>
      <c r="G316" s="66" t="s">
        <v>11</v>
      </c>
      <c r="H316" s="66" t="str">
        <f>TEXT(Data[[#This Row],[Buchung]],"MMM")</f>
        <v>Nov</v>
      </c>
      <c r="I316" s="67">
        <f>YEAR(Data[[#This Row],[Buchung]])</f>
        <v>2015</v>
      </c>
      <c r="J316" s="2">
        <f>ABS(Data[[#This Row],[Betrag]])</f>
        <v>60</v>
      </c>
      <c r="K316" s="66" t="str">
        <f>IF(Data[[#This Row],[Betrag]]&lt;0,"A","E")</f>
        <v>A</v>
      </c>
    </row>
    <row r="317" spans="1:11" x14ac:dyDescent="0.25">
      <c r="A317" s="1">
        <v>42320</v>
      </c>
      <c r="B317" s="66" t="s">
        <v>54</v>
      </c>
      <c r="C317" s="66" t="s">
        <v>55</v>
      </c>
      <c r="D317" t="s">
        <v>66</v>
      </c>
      <c r="E317">
        <v>-80</v>
      </c>
      <c r="F317" s="66" t="s">
        <v>7</v>
      </c>
      <c r="G317" s="66" t="s">
        <v>57</v>
      </c>
      <c r="H317" s="66" t="str">
        <f>TEXT(Data[[#This Row],[Buchung]],"MMM")</f>
        <v>Nov</v>
      </c>
      <c r="I317" s="67">
        <f>YEAR(Data[[#This Row],[Buchung]])</f>
        <v>2015</v>
      </c>
      <c r="J317" s="2">
        <f>ABS(Data[[#This Row],[Betrag]])</f>
        <v>80</v>
      </c>
      <c r="K317" s="66" t="str">
        <f>IF(Data[[#This Row],[Betrag]]&lt;0,"A","E")</f>
        <v>A</v>
      </c>
    </row>
    <row r="318" spans="1:11" x14ac:dyDescent="0.25">
      <c r="A318" s="1">
        <v>42321</v>
      </c>
      <c r="B318" s="66" t="s">
        <v>67</v>
      </c>
      <c r="C318" s="66" t="s">
        <v>59</v>
      </c>
      <c r="D318" t="s">
        <v>68</v>
      </c>
      <c r="E318">
        <v>-30</v>
      </c>
      <c r="F318" s="66" t="s">
        <v>7</v>
      </c>
      <c r="G318" s="66" t="s">
        <v>10</v>
      </c>
      <c r="H318" s="66" t="str">
        <f>TEXT(Data[[#This Row],[Buchung]],"MMM")</f>
        <v>Nov</v>
      </c>
      <c r="I318" s="67">
        <f>YEAR(Data[[#This Row],[Buchung]])</f>
        <v>2015</v>
      </c>
      <c r="J318" s="2">
        <f>ABS(Data[[#This Row],[Betrag]])</f>
        <v>30</v>
      </c>
      <c r="K318" s="66" t="str">
        <f>IF(Data[[#This Row],[Betrag]]&lt;0,"A","E")</f>
        <v>A</v>
      </c>
    </row>
    <row r="319" spans="1:11" x14ac:dyDescent="0.25">
      <c r="A319" s="1">
        <v>42322</v>
      </c>
      <c r="B319" s="66" t="s">
        <v>45</v>
      </c>
      <c r="C319" s="66" t="s">
        <v>46</v>
      </c>
      <c r="D319" t="s">
        <v>47</v>
      </c>
      <c r="E319">
        <v>1000</v>
      </c>
      <c r="F319" s="66" t="s">
        <v>7</v>
      </c>
      <c r="G319" s="66" t="s">
        <v>9</v>
      </c>
      <c r="H319" s="66" t="str">
        <f>TEXT(Data[[#This Row],[Buchung]],"MMM")</f>
        <v>Nov</v>
      </c>
      <c r="I319" s="67">
        <f>YEAR(Data[[#This Row],[Buchung]])</f>
        <v>2015</v>
      </c>
      <c r="J319" s="2">
        <f>ABS(Data[[#This Row],[Betrag]])</f>
        <v>1000</v>
      </c>
      <c r="K319" s="66" t="str">
        <f>IF(Data[[#This Row],[Betrag]]&lt;0,"A","E")</f>
        <v>E</v>
      </c>
    </row>
    <row r="320" spans="1:11" x14ac:dyDescent="0.25">
      <c r="A320" s="1">
        <v>42323</v>
      </c>
      <c r="B320" s="66" t="s">
        <v>48</v>
      </c>
      <c r="C320" s="66" t="s">
        <v>49</v>
      </c>
      <c r="D320" t="s">
        <v>50</v>
      </c>
      <c r="E320">
        <v>-15</v>
      </c>
      <c r="F320" s="66" t="s">
        <v>7</v>
      </c>
      <c r="G320" s="66" t="s">
        <v>8</v>
      </c>
      <c r="H320" s="66" t="str">
        <f>TEXT(Data[[#This Row],[Buchung]],"MMM")</f>
        <v>Nov</v>
      </c>
      <c r="I320" s="67">
        <f>YEAR(Data[[#This Row],[Buchung]])</f>
        <v>2015</v>
      </c>
      <c r="J320" s="2">
        <f>ABS(Data[[#This Row],[Betrag]])</f>
        <v>15</v>
      </c>
      <c r="K320" s="66" t="str">
        <f>IF(Data[[#This Row],[Betrag]]&lt;0,"A","E")</f>
        <v>A</v>
      </c>
    </row>
    <row r="321" spans="1:11" x14ac:dyDescent="0.25">
      <c r="A321" s="1">
        <v>42324</v>
      </c>
      <c r="B321" s="66" t="s">
        <v>51</v>
      </c>
      <c r="C321" s="66" t="s">
        <v>52</v>
      </c>
      <c r="D321" t="s">
        <v>53</v>
      </c>
      <c r="E321">
        <v>-350</v>
      </c>
      <c r="F321" s="66" t="s">
        <v>7</v>
      </c>
      <c r="G321" s="66" t="s">
        <v>11</v>
      </c>
      <c r="H321" s="66" t="str">
        <f>TEXT(Data[[#This Row],[Buchung]],"MMM")</f>
        <v>Nov</v>
      </c>
      <c r="I321" s="67">
        <f>YEAR(Data[[#This Row],[Buchung]])</f>
        <v>2015</v>
      </c>
      <c r="J321" s="2">
        <f>ABS(Data[[#This Row],[Betrag]])</f>
        <v>350</v>
      </c>
      <c r="K321" s="66" t="str">
        <f>IF(Data[[#This Row],[Betrag]]&lt;0,"A","E")</f>
        <v>A</v>
      </c>
    </row>
    <row r="322" spans="1:11" x14ac:dyDescent="0.25">
      <c r="A322" s="1">
        <v>42325</v>
      </c>
      <c r="B322" s="66" t="s">
        <v>54</v>
      </c>
      <c r="C322" s="66" t="s">
        <v>55</v>
      </c>
      <c r="D322" t="s">
        <v>56</v>
      </c>
      <c r="E322">
        <v>-120</v>
      </c>
      <c r="F322" s="66" t="s">
        <v>7</v>
      </c>
      <c r="G322" s="66" t="s">
        <v>57</v>
      </c>
      <c r="H322" s="66" t="str">
        <f>TEXT(Data[[#This Row],[Buchung]],"MMM")</f>
        <v>Nov</v>
      </c>
      <c r="I322" s="67">
        <f>YEAR(Data[[#This Row],[Buchung]])</f>
        <v>2015</v>
      </c>
      <c r="J322" s="2">
        <f>ABS(Data[[#This Row],[Betrag]])</f>
        <v>120</v>
      </c>
      <c r="K322" s="66" t="str">
        <f>IF(Data[[#This Row],[Betrag]]&lt;0,"A","E")</f>
        <v>A</v>
      </c>
    </row>
    <row r="323" spans="1:11" x14ac:dyDescent="0.25">
      <c r="A323" s="1">
        <v>42326</v>
      </c>
      <c r="B323" s="66" t="s">
        <v>58</v>
      </c>
      <c r="C323" s="66" t="s">
        <v>59</v>
      </c>
      <c r="D323" t="s">
        <v>60</v>
      </c>
      <c r="E323">
        <v>-80</v>
      </c>
      <c r="F323" s="66" t="s">
        <v>7</v>
      </c>
      <c r="G323" s="66" t="s">
        <v>10</v>
      </c>
      <c r="H323" s="66" t="str">
        <f>TEXT(Data[[#This Row],[Buchung]],"MMM")</f>
        <v>Nov</v>
      </c>
      <c r="I323" s="67">
        <f>YEAR(Data[[#This Row],[Buchung]])</f>
        <v>2015</v>
      </c>
      <c r="J323" s="2">
        <f>ABS(Data[[#This Row],[Betrag]])</f>
        <v>80</v>
      </c>
      <c r="K323" s="66" t="str">
        <f>IF(Data[[#This Row],[Betrag]]&lt;0,"A","E")</f>
        <v>A</v>
      </c>
    </row>
    <row r="324" spans="1:11" x14ac:dyDescent="0.25">
      <c r="A324" s="1">
        <v>42327</v>
      </c>
      <c r="B324" s="66" t="s">
        <v>45</v>
      </c>
      <c r="C324" s="66" t="s">
        <v>46</v>
      </c>
      <c r="D324" t="s">
        <v>47</v>
      </c>
      <c r="E324">
        <v>1000</v>
      </c>
      <c r="F324" s="66" t="s">
        <v>7</v>
      </c>
      <c r="G324" s="66" t="s">
        <v>9</v>
      </c>
      <c r="H324" s="66" t="str">
        <f>TEXT(Data[[#This Row],[Buchung]],"MMM")</f>
        <v>Nov</v>
      </c>
      <c r="I324" s="67">
        <f>YEAR(Data[[#This Row],[Buchung]])</f>
        <v>2015</v>
      </c>
      <c r="J324" s="2">
        <f>ABS(Data[[#This Row],[Betrag]])</f>
        <v>1000</v>
      </c>
      <c r="K324" s="66" t="str">
        <f>IF(Data[[#This Row],[Betrag]]&lt;0,"A","E")</f>
        <v>E</v>
      </c>
    </row>
    <row r="325" spans="1:11" x14ac:dyDescent="0.25">
      <c r="A325" s="1">
        <v>42328</v>
      </c>
      <c r="B325" s="66" t="s">
        <v>61</v>
      </c>
      <c r="C325" s="66" t="s">
        <v>49</v>
      </c>
      <c r="D325" t="s">
        <v>62</v>
      </c>
      <c r="E325">
        <v>-10</v>
      </c>
      <c r="F325" s="66" t="s">
        <v>7</v>
      </c>
      <c r="G325" s="66" t="s">
        <v>8</v>
      </c>
      <c r="H325" s="66" t="str">
        <f>TEXT(Data[[#This Row],[Buchung]],"MMM")</f>
        <v>Nov</v>
      </c>
      <c r="I325" s="67">
        <f>YEAR(Data[[#This Row],[Buchung]])</f>
        <v>2015</v>
      </c>
      <c r="J325" s="2">
        <f>ABS(Data[[#This Row],[Betrag]])</f>
        <v>10</v>
      </c>
      <c r="K325" s="66" t="str">
        <f>IF(Data[[#This Row],[Betrag]]&lt;0,"A","E")</f>
        <v>A</v>
      </c>
    </row>
    <row r="326" spans="1:11" x14ac:dyDescent="0.25">
      <c r="A326" s="1">
        <v>42329</v>
      </c>
      <c r="B326" s="66" t="s">
        <v>63</v>
      </c>
      <c r="C326" s="66" t="s">
        <v>64</v>
      </c>
      <c r="D326" t="s">
        <v>65</v>
      </c>
      <c r="E326">
        <v>-65</v>
      </c>
      <c r="F326" s="66" t="s">
        <v>7</v>
      </c>
      <c r="G326" s="66" t="s">
        <v>11</v>
      </c>
      <c r="H326" s="66" t="str">
        <f>TEXT(Data[[#This Row],[Buchung]],"MMM")</f>
        <v>Nov</v>
      </c>
      <c r="I326" s="67">
        <f>YEAR(Data[[#This Row],[Buchung]])</f>
        <v>2015</v>
      </c>
      <c r="J326" s="2">
        <f>ABS(Data[[#This Row],[Betrag]])</f>
        <v>65</v>
      </c>
      <c r="K326" s="66" t="str">
        <f>IF(Data[[#This Row],[Betrag]]&lt;0,"A","E")</f>
        <v>A</v>
      </c>
    </row>
    <row r="327" spans="1:11" x14ac:dyDescent="0.25">
      <c r="A327" s="1">
        <v>42330</v>
      </c>
      <c r="B327" s="66" t="s">
        <v>54</v>
      </c>
      <c r="C327" s="66" t="s">
        <v>55</v>
      </c>
      <c r="D327" t="s">
        <v>66</v>
      </c>
      <c r="E327">
        <v>-80</v>
      </c>
      <c r="F327" s="66" t="s">
        <v>7</v>
      </c>
      <c r="G327" s="66" t="s">
        <v>57</v>
      </c>
      <c r="H327" s="66" t="str">
        <f>TEXT(Data[[#This Row],[Buchung]],"MMM")</f>
        <v>Nov</v>
      </c>
      <c r="I327" s="67">
        <f>YEAR(Data[[#This Row],[Buchung]])</f>
        <v>2015</v>
      </c>
      <c r="J327" s="2">
        <f>ABS(Data[[#This Row],[Betrag]])</f>
        <v>80</v>
      </c>
      <c r="K327" s="66" t="str">
        <f>IF(Data[[#This Row],[Betrag]]&lt;0,"A","E")</f>
        <v>A</v>
      </c>
    </row>
    <row r="328" spans="1:11" x14ac:dyDescent="0.25">
      <c r="A328" s="1">
        <v>42331</v>
      </c>
      <c r="B328" s="66" t="s">
        <v>67</v>
      </c>
      <c r="C328" s="66" t="s">
        <v>59</v>
      </c>
      <c r="D328" t="s">
        <v>68</v>
      </c>
      <c r="E328">
        <v>-35</v>
      </c>
      <c r="F328" s="66" t="s">
        <v>7</v>
      </c>
      <c r="G328" s="66" t="s">
        <v>10</v>
      </c>
      <c r="H328" s="66" t="str">
        <f>TEXT(Data[[#This Row],[Buchung]],"MMM")</f>
        <v>Nov</v>
      </c>
      <c r="I328" s="67">
        <f>YEAR(Data[[#This Row],[Buchung]])</f>
        <v>2015</v>
      </c>
      <c r="J328" s="2">
        <f>ABS(Data[[#This Row],[Betrag]])</f>
        <v>35</v>
      </c>
      <c r="K328" s="66" t="str">
        <f>IF(Data[[#This Row],[Betrag]]&lt;0,"A","E")</f>
        <v>A</v>
      </c>
    </row>
    <row r="329" spans="1:11" x14ac:dyDescent="0.25">
      <c r="A329" s="1">
        <v>42332</v>
      </c>
      <c r="B329" s="66" t="s">
        <v>45</v>
      </c>
      <c r="C329" s="66" t="s">
        <v>46</v>
      </c>
      <c r="D329" t="s">
        <v>47</v>
      </c>
      <c r="E329">
        <v>1000</v>
      </c>
      <c r="F329" s="66" t="s">
        <v>7</v>
      </c>
      <c r="G329" s="66" t="s">
        <v>9</v>
      </c>
      <c r="H329" s="66" t="str">
        <f>TEXT(Data[[#This Row],[Buchung]],"MMM")</f>
        <v>Nov</v>
      </c>
      <c r="I329" s="67">
        <f>YEAR(Data[[#This Row],[Buchung]])</f>
        <v>2015</v>
      </c>
      <c r="J329" s="2">
        <f>ABS(Data[[#This Row],[Betrag]])</f>
        <v>1000</v>
      </c>
      <c r="K329" s="66" t="str">
        <f>IF(Data[[#This Row],[Betrag]]&lt;0,"A","E")</f>
        <v>E</v>
      </c>
    </row>
    <row r="330" spans="1:11" x14ac:dyDescent="0.25">
      <c r="A330" s="1">
        <v>42333</v>
      </c>
      <c r="B330" s="66" t="s">
        <v>45</v>
      </c>
      <c r="C330" s="66" t="s">
        <v>46</v>
      </c>
      <c r="D330" t="s">
        <v>47</v>
      </c>
      <c r="E330">
        <v>1000</v>
      </c>
      <c r="F330" s="66" t="s">
        <v>7</v>
      </c>
      <c r="G330" s="66" t="s">
        <v>9</v>
      </c>
      <c r="H330" s="66" t="str">
        <f>TEXT(Data[[#This Row],[Buchung]],"MMM")</f>
        <v>Nov</v>
      </c>
      <c r="I330" s="67">
        <f>YEAR(Data[[#This Row],[Buchung]])</f>
        <v>2015</v>
      </c>
      <c r="J330" s="2">
        <f>ABS(Data[[#This Row],[Betrag]])</f>
        <v>1000</v>
      </c>
      <c r="K330" s="66" t="str">
        <f>IF(Data[[#This Row],[Betrag]]&lt;0,"A","E")</f>
        <v>E</v>
      </c>
    </row>
    <row r="331" spans="1:11" x14ac:dyDescent="0.25">
      <c r="A331" s="1">
        <v>42334</v>
      </c>
      <c r="B331" s="66" t="s">
        <v>48</v>
      </c>
      <c r="C331" s="66" t="s">
        <v>49</v>
      </c>
      <c r="D331" t="s">
        <v>50</v>
      </c>
      <c r="E331">
        <v>-15</v>
      </c>
      <c r="F331" s="66" t="s">
        <v>7</v>
      </c>
      <c r="G331" s="66" t="s">
        <v>8</v>
      </c>
      <c r="H331" s="66" t="str">
        <f>TEXT(Data[[#This Row],[Buchung]],"MMM")</f>
        <v>Nov</v>
      </c>
      <c r="I331" s="67">
        <f>YEAR(Data[[#This Row],[Buchung]])</f>
        <v>2015</v>
      </c>
      <c r="J331" s="2">
        <f>ABS(Data[[#This Row],[Betrag]])</f>
        <v>15</v>
      </c>
      <c r="K331" s="66" t="str">
        <f>IF(Data[[#This Row],[Betrag]]&lt;0,"A","E")</f>
        <v>A</v>
      </c>
    </row>
    <row r="332" spans="1:11" x14ac:dyDescent="0.25">
      <c r="A332" s="1">
        <v>42335</v>
      </c>
      <c r="B332" s="66" t="s">
        <v>51</v>
      </c>
      <c r="C332" s="66" t="s">
        <v>52</v>
      </c>
      <c r="D332" t="s">
        <v>53</v>
      </c>
      <c r="E332">
        <v>-350</v>
      </c>
      <c r="F332" s="66" t="s">
        <v>7</v>
      </c>
      <c r="G332" s="66" t="s">
        <v>11</v>
      </c>
      <c r="H332" s="66" t="str">
        <f>TEXT(Data[[#This Row],[Buchung]],"MMM")</f>
        <v>Nov</v>
      </c>
      <c r="I332" s="67">
        <f>YEAR(Data[[#This Row],[Buchung]])</f>
        <v>2015</v>
      </c>
      <c r="J332" s="2">
        <f>ABS(Data[[#This Row],[Betrag]])</f>
        <v>350</v>
      </c>
      <c r="K332" s="66" t="str">
        <f>IF(Data[[#This Row],[Betrag]]&lt;0,"A","E")</f>
        <v>A</v>
      </c>
    </row>
    <row r="333" spans="1:11" x14ac:dyDescent="0.25">
      <c r="A333" s="1">
        <v>42336</v>
      </c>
      <c r="B333" s="66" t="s">
        <v>54</v>
      </c>
      <c r="C333" s="66" t="s">
        <v>55</v>
      </c>
      <c r="D333" t="s">
        <v>56</v>
      </c>
      <c r="E333">
        <v>-120</v>
      </c>
      <c r="F333" s="66" t="s">
        <v>7</v>
      </c>
      <c r="G333" s="66" t="s">
        <v>57</v>
      </c>
      <c r="H333" s="66" t="str">
        <f>TEXT(Data[[#This Row],[Buchung]],"MMM")</f>
        <v>Nov</v>
      </c>
      <c r="I333" s="67">
        <f>YEAR(Data[[#This Row],[Buchung]])</f>
        <v>2015</v>
      </c>
      <c r="J333" s="2">
        <f>ABS(Data[[#This Row],[Betrag]])</f>
        <v>120</v>
      </c>
      <c r="K333" s="66" t="str">
        <f>IF(Data[[#This Row],[Betrag]]&lt;0,"A","E")</f>
        <v>A</v>
      </c>
    </row>
    <row r="334" spans="1:11" x14ac:dyDescent="0.25">
      <c r="A334" s="1">
        <v>42337</v>
      </c>
      <c r="B334" s="66" t="s">
        <v>58</v>
      </c>
      <c r="C334" s="66" t="s">
        <v>59</v>
      </c>
      <c r="D334" t="s">
        <v>60</v>
      </c>
      <c r="E334">
        <v>-50</v>
      </c>
      <c r="F334" s="66" t="s">
        <v>7</v>
      </c>
      <c r="G334" s="66" t="s">
        <v>10</v>
      </c>
      <c r="H334" s="66" t="str">
        <f>TEXT(Data[[#This Row],[Buchung]],"MMM")</f>
        <v>Nov</v>
      </c>
      <c r="I334" s="67">
        <f>YEAR(Data[[#This Row],[Buchung]])</f>
        <v>2015</v>
      </c>
      <c r="J334" s="2">
        <f>ABS(Data[[#This Row],[Betrag]])</f>
        <v>50</v>
      </c>
      <c r="K334" s="66" t="str">
        <f>IF(Data[[#This Row],[Betrag]]&lt;0,"A","E")</f>
        <v>A</v>
      </c>
    </row>
    <row r="335" spans="1:11" x14ac:dyDescent="0.25">
      <c r="A335" s="1">
        <v>42338</v>
      </c>
      <c r="B335" s="66" t="s">
        <v>45</v>
      </c>
      <c r="C335" s="66" t="s">
        <v>46</v>
      </c>
      <c r="D335" t="s">
        <v>47</v>
      </c>
      <c r="E335">
        <v>1000</v>
      </c>
      <c r="F335" s="66" t="s">
        <v>7</v>
      </c>
      <c r="G335" s="66" t="s">
        <v>9</v>
      </c>
      <c r="H335" s="66" t="str">
        <f>TEXT(Data[[#This Row],[Buchung]],"MMM")</f>
        <v>Nov</v>
      </c>
      <c r="I335" s="67">
        <f>YEAR(Data[[#This Row],[Buchung]])</f>
        <v>2015</v>
      </c>
      <c r="J335" s="2">
        <f>ABS(Data[[#This Row],[Betrag]])</f>
        <v>1000</v>
      </c>
      <c r="K335" s="66" t="str">
        <f>IF(Data[[#This Row],[Betrag]]&lt;0,"A","E")</f>
        <v>E</v>
      </c>
    </row>
    <row r="336" spans="1:11" x14ac:dyDescent="0.25">
      <c r="A336" s="1">
        <v>42339</v>
      </c>
      <c r="B336" s="66" t="s">
        <v>61</v>
      </c>
      <c r="C336" s="66" t="s">
        <v>49</v>
      </c>
      <c r="D336" t="s">
        <v>62</v>
      </c>
      <c r="E336">
        <v>-10</v>
      </c>
      <c r="F336" s="66" t="s">
        <v>7</v>
      </c>
      <c r="G336" s="66" t="s">
        <v>8</v>
      </c>
      <c r="H336" s="66" t="str">
        <f>TEXT(Data[[#This Row],[Buchung]],"MMM")</f>
        <v>Dez</v>
      </c>
      <c r="I336" s="67">
        <f>YEAR(Data[[#This Row],[Buchung]])</f>
        <v>2015</v>
      </c>
      <c r="J336" s="2">
        <f>ABS(Data[[#This Row],[Betrag]])</f>
        <v>10</v>
      </c>
      <c r="K336" s="66" t="str">
        <f>IF(Data[[#This Row],[Betrag]]&lt;0,"A","E")</f>
        <v>A</v>
      </c>
    </row>
    <row r="337" spans="1:11" x14ac:dyDescent="0.25">
      <c r="A337" s="1">
        <v>42340</v>
      </c>
      <c r="B337" s="66" t="s">
        <v>63</v>
      </c>
      <c r="C337" s="66" t="s">
        <v>64</v>
      </c>
      <c r="D337" t="s">
        <v>65</v>
      </c>
      <c r="E337">
        <v>-60</v>
      </c>
      <c r="F337" s="66" t="s">
        <v>7</v>
      </c>
      <c r="G337" s="66" t="s">
        <v>11</v>
      </c>
      <c r="H337" s="66" t="str">
        <f>TEXT(Data[[#This Row],[Buchung]],"MMM")</f>
        <v>Dez</v>
      </c>
      <c r="I337" s="67">
        <f>YEAR(Data[[#This Row],[Buchung]])</f>
        <v>2015</v>
      </c>
      <c r="J337" s="2">
        <f>ABS(Data[[#This Row],[Betrag]])</f>
        <v>60</v>
      </c>
      <c r="K337" s="66" t="str">
        <f>IF(Data[[#This Row],[Betrag]]&lt;0,"A","E")</f>
        <v>A</v>
      </c>
    </row>
    <row r="338" spans="1:11" x14ac:dyDescent="0.25">
      <c r="A338" s="1">
        <v>42341</v>
      </c>
      <c r="B338" s="66" t="s">
        <v>54</v>
      </c>
      <c r="C338" s="66" t="s">
        <v>55</v>
      </c>
      <c r="D338" t="s">
        <v>66</v>
      </c>
      <c r="E338">
        <v>-80</v>
      </c>
      <c r="F338" s="66" t="s">
        <v>7</v>
      </c>
      <c r="G338" s="66" t="s">
        <v>57</v>
      </c>
      <c r="H338" s="66" t="str">
        <f>TEXT(Data[[#This Row],[Buchung]],"MMM")</f>
        <v>Dez</v>
      </c>
      <c r="I338" s="67">
        <f>YEAR(Data[[#This Row],[Buchung]])</f>
        <v>2015</v>
      </c>
      <c r="J338" s="2">
        <f>ABS(Data[[#This Row],[Betrag]])</f>
        <v>80</v>
      </c>
      <c r="K338" s="66" t="str">
        <f>IF(Data[[#This Row],[Betrag]]&lt;0,"A","E")</f>
        <v>A</v>
      </c>
    </row>
    <row r="339" spans="1:11" x14ac:dyDescent="0.25">
      <c r="A339" s="1">
        <v>42342</v>
      </c>
      <c r="B339" s="66" t="s">
        <v>67</v>
      </c>
      <c r="C339" s="66" t="s">
        <v>59</v>
      </c>
      <c r="D339" t="s">
        <v>68</v>
      </c>
      <c r="E339">
        <v>-20</v>
      </c>
      <c r="F339" s="66" t="s">
        <v>7</v>
      </c>
      <c r="G339" s="66" t="s">
        <v>10</v>
      </c>
      <c r="H339" s="66" t="str">
        <f>TEXT(Data[[#This Row],[Buchung]],"MMM")</f>
        <v>Dez</v>
      </c>
      <c r="I339" s="67">
        <f>YEAR(Data[[#This Row],[Buchung]])</f>
        <v>2015</v>
      </c>
      <c r="J339" s="2">
        <f>ABS(Data[[#This Row],[Betrag]])</f>
        <v>20</v>
      </c>
      <c r="K339" s="66" t="str">
        <f>IF(Data[[#This Row],[Betrag]]&lt;0,"A","E")</f>
        <v>A</v>
      </c>
    </row>
    <row r="340" spans="1:11" x14ac:dyDescent="0.25">
      <c r="A340" s="1">
        <v>42343</v>
      </c>
      <c r="B340" s="66" t="s">
        <v>45</v>
      </c>
      <c r="C340" s="66" t="s">
        <v>46</v>
      </c>
      <c r="D340" t="s">
        <v>47</v>
      </c>
      <c r="E340">
        <v>1000</v>
      </c>
      <c r="F340" s="66" t="s">
        <v>7</v>
      </c>
      <c r="G340" s="66" t="s">
        <v>9</v>
      </c>
      <c r="H340" s="66" t="str">
        <f>TEXT(Data[[#This Row],[Buchung]],"MMM")</f>
        <v>Dez</v>
      </c>
      <c r="I340" s="67">
        <f>YEAR(Data[[#This Row],[Buchung]])</f>
        <v>2015</v>
      </c>
      <c r="J340" s="2">
        <f>ABS(Data[[#This Row],[Betrag]])</f>
        <v>1000</v>
      </c>
      <c r="K340" s="66" t="str">
        <f>IF(Data[[#This Row],[Betrag]]&lt;0,"A","E")</f>
        <v>E</v>
      </c>
    </row>
    <row r="341" spans="1:11" x14ac:dyDescent="0.25">
      <c r="A341" s="1">
        <v>42344</v>
      </c>
      <c r="B341" s="66" t="s">
        <v>48</v>
      </c>
      <c r="C341" s="66" t="s">
        <v>49</v>
      </c>
      <c r="D341" t="s">
        <v>50</v>
      </c>
      <c r="E341">
        <v>-15</v>
      </c>
      <c r="F341" s="66" t="s">
        <v>7</v>
      </c>
      <c r="G341" s="66" t="s">
        <v>8</v>
      </c>
      <c r="H341" s="66" t="str">
        <f>TEXT(Data[[#This Row],[Buchung]],"MMM")</f>
        <v>Dez</v>
      </c>
      <c r="I341" s="67">
        <f>YEAR(Data[[#This Row],[Buchung]])</f>
        <v>2015</v>
      </c>
      <c r="J341" s="2">
        <f>ABS(Data[[#This Row],[Betrag]])</f>
        <v>15</v>
      </c>
      <c r="K341" s="66" t="str">
        <f>IF(Data[[#This Row],[Betrag]]&lt;0,"A","E")</f>
        <v>A</v>
      </c>
    </row>
    <row r="342" spans="1:11" x14ac:dyDescent="0.25">
      <c r="A342" s="1">
        <v>42345</v>
      </c>
      <c r="B342" s="66" t="s">
        <v>51</v>
      </c>
      <c r="C342" s="66" t="s">
        <v>52</v>
      </c>
      <c r="D342" t="s">
        <v>53</v>
      </c>
      <c r="E342">
        <v>-350</v>
      </c>
      <c r="F342" s="66" t="s">
        <v>7</v>
      </c>
      <c r="G342" s="66" t="s">
        <v>11</v>
      </c>
      <c r="H342" s="66" t="str">
        <f>TEXT(Data[[#This Row],[Buchung]],"MMM")</f>
        <v>Dez</v>
      </c>
      <c r="I342" s="67">
        <f>YEAR(Data[[#This Row],[Buchung]])</f>
        <v>2015</v>
      </c>
      <c r="J342" s="2">
        <f>ABS(Data[[#This Row],[Betrag]])</f>
        <v>350</v>
      </c>
      <c r="K342" s="66" t="str">
        <f>IF(Data[[#This Row],[Betrag]]&lt;0,"A","E")</f>
        <v>A</v>
      </c>
    </row>
    <row r="343" spans="1:11" x14ac:dyDescent="0.25">
      <c r="A343" s="1">
        <v>42346</v>
      </c>
      <c r="B343" s="66" t="s">
        <v>54</v>
      </c>
      <c r="C343" s="66" t="s">
        <v>55</v>
      </c>
      <c r="D343" t="s">
        <v>56</v>
      </c>
      <c r="E343">
        <v>-120</v>
      </c>
      <c r="F343" s="66" t="s">
        <v>7</v>
      </c>
      <c r="G343" s="66" t="s">
        <v>57</v>
      </c>
      <c r="H343" s="66" t="str">
        <f>TEXT(Data[[#This Row],[Buchung]],"MMM")</f>
        <v>Dez</v>
      </c>
      <c r="I343" s="67">
        <f>YEAR(Data[[#This Row],[Buchung]])</f>
        <v>2015</v>
      </c>
      <c r="J343" s="2">
        <f>ABS(Data[[#This Row],[Betrag]])</f>
        <v>120</v>
      </c>
      <c r="K343" s="66" t="str">
        <f>IF(Data[[#This Row],[Betrag]]&lt;0,"A","E")</f>
        <v>A</v>
      </c>
    </row>
    <row r="344" spans="1:11" x14ac:dyDescent="0.25">
      <c r="A344" s="1">
        <v>42347</v>
      </c>
      <c r="B344" s="66" t="s">
        <v>58</v>
      </c>
      <c r="C344" s="66" t="s">
        <v>59</v>
      </c>
      <c r="D344" t="s">
        <v>60</v>
      </c>
      <c r="E344">
        <v>-60</v>
      </c>
      <c r="F344" s="66" t="s">
        <v>7</v>
      </c>
      <c r="G344" s="66" t="s">
        <v>10</v>
      </c>
      <c r="H344" s="66" t="str">
        <f>TEXT(Data[[#This Row],[Buchung]],"MMM")</f>
        <v>Dez</v>
      </c>
      <c r="I344" s="67">
        <f>YEAR(Data[[#This Row],[Buchung]])</f>
        <v>2015</v>
      </c>
      <c r="J344" s="2">
        <f>ABS(Data[[#This Row],[Betrag]])</f>
        <v>60</v>
      </c>
      <c r="K344" s="66" t="str">
        <f>IF(Data[[#This Row],[Betrag]]&lt;0,"A","E")</f>
        <v>A</v>
      </c>
    </row>
    <row r="345" spans="1:11" x14ac:dyDescent="0.25">
      <c r="A345" s="1">
        <v>42348</v>
      </c>
      <c r="B345" s="66" t="s">
        <v>45</v>
      </c>
      <c r="C345" s="66" t="s">
        <v>46</v>
      </c>
      <c r="D345" t="s">
        <v>47</v>
      </c>
      <c r="E345">
        <v>1000</v>
      </c>
      <c r="F345" s="66" t="s">
        <v>7</v>
      </c>
      <c r="G345" s="66" t="s">
        <v>9</v>
      </c>
      <c r="H345" s="66" t="str">
        <f>TEXT(Data[[#This Row],[Buchung]],"MMM")</f>
        <v>Dez</v>
      </c>
      <c r="I345" s="67">
        <f>YEAR(Data[[#This Row],[Buchung]])</f>
        <v>2015</v>
      </c>
      <c r="J345" s="2">
        <f>ABS(Data[[#This Row],[Betrag]])</f>
        <v>1000</v>
      </c>
      <c r="K345" s="66" t="str">
        <f>IF(Data[[#This Row],[Betrag]]&lt;0,"A","E")</f>
        <v>E</v>
      </c>
    </row>
    <row r="346" spans="1:11" x14ac:dyDescent="0.25">
      <c r="A346" s="1">
        <v>42349</v>
      </c>
      <c r="B346" s="66" t="s">
        <v>61</v>
      </c>
      <c r="C346" s="66" t="s">
        <v>49</v>
      </c>
      <c r="D346" t="s">
        <v>62</v>
      </c>
      <c r="E346">
        <v>-10</v>
      </c>
      <c r="F346" s="66" t="s">
        <v>7</v>
      </c>
      <c r="G346" s="66" t="s">
        <v>8</v>
      </c>
      <c r="H346" s="66" t="str">
        <f>TEXT(Data[[#This Row],[Buchung]],"MMM")</f>
        <v>Dez</v>
      </c>
      <c r="I346" s="67">
        <f>YEAR(Data[[#This Row],[Buchung]])</f>
        <v>2015</v>
      </c>
      <c r="J346" s="2">
        <f>ABS(Data[[#This Row],[Betrag]])</f>
        <v>10</v>
      </c>
      <c r="K346" s="66" t="str">
        <f>IF(Data[[#This Row],[Betrag]]&lt;0,"A","E")</f>
        <v>A</v>
      </c>
    </row>
    <row r="347" spans="1:11" x14ac:dyDescent="0.25">
      <c r="A347" s="1">
        <v>42350</v>
      </c>
      <c r="B347" s="66" t="s">
        <v>63</v>
      </c>
      <c r="C347" s="66" t="s">
        <v>64</v>
      </c>
      <c r="D347" t="s">
        <v>65</v>
      </c>
      <c r="E347">
        <v>-70</v>
      </c>
      <c r="F347" s="66" t="s">
        <v>7</v>
      </c>
      <c r="G347" s="66" t="s">
        <v>11</v>
      </c>
      <c r="H347" s="66" t="str">
        <f>TEXT(Data[[#This Row],[Buchung]],"MMM")</f>
        <v>Dez</v>
      </c>
      <c r="I347" s="67">
        <f>YEAR(Data[[#This Row],[Buchung]])</f>
        <v>2015</v>
      </c>
      <c r="J347" s="2">
        <f>ABS(Data[[#This Row],[Betrag]])</f>
        <v>70</v>
      </c>
      <c r="K347" s="66" t="str">
        <f>IF(Data[[#This Row],[Betrag]]&lt;0,"A","E")</f>
        <v>A</v>
      </c>
    </row>
    <row r="348" spans="1:11" x14ac:dyDescent="0.25">
      <c r="A348" s="1">
        <v>42351</v>
      </c>
      <c r="B348" s="66" t="s">
        <v>54</v>
      </c>
      <c r="C348" s="66" t="s">
        <v>55</v>
      </c>
      <c r="D348" t="s">
        <v>66</v>
      </c>
      <c r="E348">
        <v>-80</v>
      </c>
      <c r="F348" s="66" t="s">
        <v>7</v>
      </c>
      <c r="G348" s="66" t="s">
        <v>57</v>
      </c>
      <c r="H348" s="66" t="str">
        <f>TEXT(Data[[#This Row],[Buchung]],"MMM")</f>
        <v>Dez</v>
      </c>
      <c r="I348" s="67">
        <f>YEAR(Data[[#This Row],[Buchung]])</f>
        <v>2015</v>
      </c>
      <c r="J348" s="2">
        <f>ABS(Data[[#This Row],[Betrag]])</f>
        <v>80</v>
      </c>
      <c r="K348" s="66" t="str">
        <f>IF(Data[[#This Row],[Betrag]]&lt;0,"A","E")</f>
        <v>A</v>
      </c>
    </row>
    <row r="349" spans="1:11" x14ac:dyDescent="0.25">
      <c r="A349" s="1">
        <v>42352</v>
      </c>
      <c r="B349" s="66" t="s">
        <v>67</v>
      </c>
      <c r="C349" s="66" t="s">
        <v>59</v>
      </c>
      <c r="D349" t="s">
        <v>68</v>
      </c>
      <c r="E349">
        <v>-25</v>
      </c>
      <c r="F349" s="66" t="s">
        <v>7</v>
      </c>
      <c r="G349" s="66" t="s">
        <v>10</v>
      </c>
      <c r="H349" s="66" t="str">
        <f>TEXT(Data[[#This Row],[Buchung]],"MMM")</f>
        <v>Dez</v>
      </c>
      <c r="I349" s="67">
        <f>YEAR(Data[[#This Row],[Buchung]])</f>
        <v>2015</v>
      </c>
      <c r="J349" s="2">
        <f>ABS(Data[[#This Row],[Betrag]])</f>
        <v>25</v>
      </c>
      <c r="K349" s="66" t="str">
        <f>IF(Data[[#This Row],[Betrag]]&lt;0,"A","E")</f>
        <v>A</v>
      </c>
    </row>
    <row r="350" spans="1:11" x14ac:dyDescent="0.25">
      <c r="A350" s="1">
        <v>42353</v>
      </c>
      <c r="B350" s="66" t="s">
        <v>45</v>
      </c>
      <c r="C350" s="66" t="s">
        <v>46</v>
      </c>
      <c r="D350" t="s">
        <v>47</v>
      </c>
      <c r="E350">
        <v>1000</v>
      </c>
      <c r="F350" s="66" t="s">
        <v>7</v>
      </c>
      <c r="G350" s="66" t="s">
        <v>9</v>
      </c>
      <c r="H350" s="66" t="str">
        <f>TEXT(Data[[#This Row],[Buchung]],"MMM")</f>
        <v>Dez</v>
      </c>
      <c r="I350" s="67">
        <f>YEAR(Data[[#This Row],[Buchung]])</f>
        <v>2015</v>
      </c>
      <c r="J350" s="2">
        <f>ABS(Data[[#This Row],[Betrag]])</f>
        <v>1000</v>
      </c>
      <c r="K350" s="66" t="str">
        <f>IF(Data[[#This Row],[Betrag]]&lt;0,"A","E")</f>
        <v>E</v>
      </c>
    </row>
    <row r="351" spans="1:11" x14ac:dyDescent="0.25">
      <c r="A351" s="1">
        <v>42354</v>
      </c>
      <c r="B351" s="66" t="s">
        <v>48</v>
      </c>
      <c r="C351" s="66" t="s">
        <v>49</v>
      </c>
      <c r="D351" t="s">
        <v>50</v>
      </c>
      <c r="E351">
        <v>-15</v>
      </c>
      <c r="F351" s="66" t="s">
        <v>7</v>
      </c>
      <c r="G351" s="66" t="s">
        <v>8</v>
      </c>
      <c r="H351" s="66" t="str">
        <f>TEXT(Data[[#This Row],[Buchung]],"MMM")</f>
        <v>Dez</v>
      </c>
      <c r="I351" s="67">
        <f>YEAR(Data[[#This Row],[Buchung]])</f>
        <v>2015</v>
      </c>
      <c r="J351" s="2">
        <f>ABS(Data[[#This Row],[Betrag]])</f>
        <v>15</v>
      </c>
      <c r="K351" s="66" t="str">
        <f>IF(Data[[#This Row],[Betrag]]&lt;0,"A","E")</f>
        <v>A</v>
      </c>
    </row>
    <row r="352" spans="1:11" x14ac:dyDescent="0.25">
      <c r="A352" s="1">
        <v>42355</v>
      </c>
      <c r="B352" s="66" t="s">
        <v>51</v>
      </c>
      <c r="C352" s="66" t="s">
        <v>52</v>
      </c>
      <c r="D352" t="s">
        <v>53</v>
      </c>
      <c r="E352">
        <v>-350</v>
      </c>
      <c r="F352" s="66" t="s">
        <v>7</v>
      </c>
      <c r="G352" s="66" t="s">
        <v>11</v>
      </c>
      <c r="H352" s="66" t="str">
        <f>TEXT(Data[[#This Row],[Buchung]],"MMM")</f>
        <v>Dez</v>
      </c>
      <c r="I352" s="67">
        <f>YEAR(Data[[#This Row],[Buchung]])</f>
        <v>2015</v>
      </c>
      <c r="J352" s="2">
        <f>ABS(Data[[#This Row],[Betrag]])</f>
        <v>350</v>
      </c>
      <c r="K352" s="66" t="str">
        <f>IF(Data[[#This Row],[Betrag]]&lt;0,"A","E")</f>
        <v>A</v>
      </c>
    </row>
    <row r="353" spans="1:11" x14ac:dyDescent="0.25">
      <c r="A353" s="1">
        <v>42356</v>
      </c>
      <c r="B353" s="66" t="s">
        <v>54</v>
      </c>
      <c r="C353" s="66" t="s">
        <v>55</v>
      </c>
      <c r="D353" t="s">
        <v>56</v>
      </c>
      <c r="E353">
        <v>-120</v>
      </c>
      <c r="F353" s="66" t="s">
        <v>7</v>
      </c>
      <c r="G353" s="66" t="s">
        <v>57</v>
      </c>
      <c r="H353" s="66" t="str">
        <f>TEXT(Data[[#This Row],[Buchung]],"MMM")</f>
        <v>Dez</v>
      </c>
      <c r="I353" s="67">
        <f>YEAR(Data[[#This Row],[Buchung]])</f>
        <v>2015</v>
      </c>
      <c r="J353" s="2">
        <f>ABS(Data[[#This Row],[Betrag]])</f>
        <v>120</v>
      </c>
      <c r="K353" s="66" t="str">
        <f>IF(Data[[#This Row],[Betrag]]&lt;0,"A","E")</f>
        <v>A</v>
      </c>
    </row>
    <row r="354" spans="1:11" x14ac:dyDescent="0.25">
      <c r="A354" s="1">
        <v>42357</v>
      </c>
      <c r="B354" s="66" t="s">
        <v>58</v>
      </c>
      <c r="C354" s="66" t="s">
        <v>59</v>
      </c>
      <c r="D354" t="s">
        <v>60</v>
      </c>
      <c r="E354">
        <v>-70</v>
      </c>
      <c r="F354" s="66" t="s">
        <v>7</v>
      </c>
      <c r="G354" s="66" t="s">
        <v>10</v>
      </c>
      <c r="H354" s="66" t="str">
        <f>TEXT(Data[[#This Row],[Buchung]],"MMM")</f>
        <v>Dez</v>
      </c>
      <c r="I354" s="67">
        <f>YEAR(Data[[#This Row],[Buchung]])</f>
        <v>2015</v>
      </c>
      <c r="J354" s="2">
        <f>ABS(Data[[#This Row],[Betrag]])</f>
        <v>70</v>
      </c>
      <c r="K354" s="66" t="str">
        <f>IF(Data[[#This Row],[Betrag]]&lt;0,"A","E")</f>
        <v>A</v>
      </c>
    </row>
    <row r="355" spans="1:11" x14ac:dyDescent="0.25">
      <c r="A355" s="1">
        <v>42358</v>
      </c>
      <c r="B355" s="66" t="s">
        <v>45</v>
      </c>
      <c r="C355" s="66" t="s">
        <v>46</v>
      </c>
      <c r="D355" t="s">
        <v>47</v>
      </c>
      <c r="E355">
        <v>1000</v>
      </c>
      <c r="F355" s="66" t="s">
        <v>7</v>
      </c>
      <c r="G355" s="66" t="s">
        <v>9</v>
      </c>
      <c r="H355" s="66" t="str">
        <f>TEXT(Data[[#This Row],[Buchung]],"MMM")</f>
        <v>Dez</v>
      </c>
      <c r="I355" s="67">
        <f>YEAR(Data[[#This Row],[Buchung]])</f>
        <v>2015</v>
      </c>
      <c r="J355" s="2">
        <f>ABS(Data[[#This Row],[Betrag]])</f>
        <v>1000</v>
      </c>
      <c r="K355" s="66" t="str">
        <f>IF(Data[[#This Row],[Betrag]]&lt;0,"A","E")</f>
        <v>E</v>
      </c>
    </row>
    <row r="356" spans="1:11" x14ac:dyDescent="0.25">
      <c r="A356" s="1">
        <v>42359</v>
      </c>
      <c r="B356" s="66" t="s">
        <v>61</v>
      </c>
      <c r="C356" s="66" t="s">
        <v>49</v>
      </c>
      <c r="D356" t="s">
        <v>62</v>
      </c>
      <c r="E356">
        <v>-10</v>
      </c>
      <c r="F356" s="66" t="s">
        <v>7</v>
      </c>
      <c r="G356" s="66" t="s">
        <v>8</v>
      </c>
      <c r="H356" s="66" t="str">
        <f>TEXT(Data[[#This Row],[Buchung]],"MMM")</f>
        <v>Dez</v>
      </c>
      <c r="I356" s="67">
        <f>YEAR(Data[[#This Row],[Buchung]])</f>
        <v>2015</v>
      </c>
      <c r="J356" s="2">
        <f>ABS(Data[[#This Row],[Betrag]])</f>
        <v>10</v>
      </c>
      <c r="K356" s="66" t="str">
        <f>IF(Data[[#This Row],[Betrag]]&lt;0,"A","E")</f>
        <v>A</v>
      </c>
    </row>
    <row r="357" spans="1:11" x14ac:dyDescent="0.25">
      <c r="A357" s="1">
        <v>42360</v>
      </c>
      <c r="B357" s="66" t="s">
        <v>63</v>
      </c>
      <c r="C357" s="66" t="s">
        <v>64</v>
      </c>
      <c r="D357" t="s">
        <v>65</v>
      </c>
      <c r="E357">
        <v>-60</v>
      </c>
      <c r="F357" s="66" t="s">
        <v>7</v>
      </c>
      <c r="G357" s="66" t="s">
        <v>11</v>
      </c>
      <c r="H357" s="66" t="str">
        <f>TEXT(Data[[#This Row],[Buchung]],"MMM")</f>
        <v>Dez</v>
      </c>
      <c r="I357" s="67">
        <f>YEAR(Data[[#This Row],[Buchung]])</f>
        <v>2015</v>
      </c>
      <c r="J357" s="2">
        <f>ABS(Data[[#This Row],[Betrag]])</f>
        <v>60</v>
      </c>
      <c r="K357" s="66" t="str">
        <f>IF(Data[[#This Row],[Betrag]]&lt;0,"A","E")</f>
        <v>A</v>
      </c>
    </row>
    <row r="358" spans="1:11" x14ac:dyDescent="0.25">
      <c r="A358" s="1">
        <v>42361</v>
      </c>
      <c r="B358" s="66" t="s">
        <v>54</v>
      </c>
      <c r="C358" s="66" t="s">
        <v>55</v>
      </c>
      <c r="D358" t="s">
        <v>66</v>
      </c>
      <c r="E358">
        <v>-80</v>
      </c>
      <c r="F358" s="66" t="s">
        <v>7</v>
      </c>
      <c r="G358" s="66" t="s">
        <v>57</v>
      </c>
      <c r="H358" s="66" t="str">
        <f>TEXT(Data[[#This Row],[Buchung]],"MMM")</f>
        <v>Dez</v>
      </c>
      <c r="I358" s="67">
        <f>YEAR(Data[[#This Row],[Buchung]])</f>
        <v>2015</v>
      </c>
      <c r="J358" s="2">
        <f>ABS(Data[[#This Row],[Betrag]])</f>
        <v>80</v>
      </c>
      <c r="K358" s="66" t="str">
        <f>IF(Data[[#This Row],[Betrag]]&lt;0,"A","E")</f>
        <v>A</v>
      </c>
    </row>
    <row r="359" spans="1:11" x14ac:dyDescent="0.25">
      <c r="A359" s="1">
        <v>42362</v>
      </c>
      <c r="B359" s="66" t="s">
        <v>67</v>
      </c>
      <c r="C359" s="66" t="s">
        <v>59</v>
      </c>
      <c r="D359" t="s">
        <v>68</v>
      </c>
      <c r="E359">
        <v>-30</v>
      </c>
      <c r="F359" s="66" t="s">
        <v>7</v>
      </c>
      <c r="G359" s="66" t="s">
        <v>10</v>
      </c>
      <c r="H359" s="66" t="str">
        <f>TEXT(Data[[#This Row],[Buchung]],"MMM")</f>
        <v>Dez</v>
      </c>
      <c r="I359" s="67">
        <f>YEAR(Data[[#This Row],[Buchung]])</f>
        <v>2015</v>
      </c>
      <c r="J359" s="2">
        <f>ABS(Data[[#This Row],[Betrag]])</f>
        <v>30</v>
      </c>
      <c r="K359" s="66" t="str">
        <f>IF(Data[[#This Row],[Betrag]]&lt;0,"A","E")</f>
        <v>A</v>
      </c>
    </row>
    <row r="360" spans="1:11" x14ac:dyDescent="0.25">
      <c r="A360" s="1">
        <v>42363</v>
      </c>
      <c r="B360" s="66" t="s">
        <v>45</v>
      </c>
      <c r="C360" s="66" t="s">
        <v>46</v>
      </c>
      <c r="D360" t="s">
        <v>47</v>
      </c>
      <c r="E360">
        <v>1000</v>
      </c>
      <c r="F360" s="66" t="s">
        <v>7</v>
      </c>
      <c r="G360" s="66" t="s">
        <v>9</v>
      </c>
      <c r="H360" s="66" t="str">
        <f>TEXT(Data[[#This Row],[Buchung]],"MMM")</f>
        <v>Dez</v>
      </c>
      <c r="I360" s="67">
        <f>YEAR(Data[[#This Row],[Buchung]])</f>
        <v>2015</v>
      </c>
      <c r="J360" s="2">
        <f>ABS(Data[[#This Row],[Betrag]])</f>
        <v>1000</v>
      </c>
      <c r="K360" s="66" t="str">
        <f>IF(Data[[#This Row],[Betrag]]&lt;0,"A","E")</f>
        <v>E</v>
      </c>
    </row>
    <row r="361" spans="1:11" x14ac:dyDescent="0.25">
      <c r="A361" s="1">
        <v>42364</v>
      </c>
      <c r="B361" s="66" t="s">
        <v>48</v>
      </c>
      <c r="C361" s="66" t="s">
        <v>49</v>
      </c>
      <c r="D361" t="s">
        <v>50</v>
      </c>
      <c r="E361">
        <v>-15</v>
      </c>
      <c r="F361" s="66" t="s">
        <v>7</v>
      </c>
      <c r="G361" s="66" t="s">
        <v>8</v>
      </c>
      <c r="H361" s="66" t="str">
        <f>TEXT(Data[[#This Row],[Buchung]],"MMM")</f>
        <v>Dez</v>
      </c>
      <c r="I361" s="67">
        <f>YEAR(Data[[#This Row],[Buchung]])</f>
        <v>2015</v>
      </c>
      <c r="J361" s="2">
        <f>ABS(Data[[#This Row],[Betrag]])</f>
        <v>15</v>
      </c>
      <c r="K361" s="66" t="str">
        <f>IF(Data[[#This Row],[Betrag]]&lt;0,"A","E")</f>
        <v>A</v>
      </c>
    </row>
    <row r="362" spans="1:11" x14ac:dyDescent="0.25">
      <c r="A362" s="1">
        <v>42365</v>
      </c>
      <c r="B362" s="66" t="s">
        <v>51</v>
      </c>
      <c r="C362" s="66" t="s">
        <v>52</v>
      </c>
      <c r="D362" t="s">
        <v>53</v>
      </c>
      <c r="E362">
        <v>-350</v>
      </c>
      <c r="F362" s="66" t="s">
        <v>7</v>
      </c>
      <c r="G362" s="66" t="s">
        <v>11</v>
      </c>
      <c r="H362" s="66" t="str">
        <f>TEXT(Data[[#This Row],[Buchung]],"MMM")</f>
        <v>Dez</v>
      </c>
      <c r="I362" s="67">
        <f>YEAR(Data[[#This Row],[Buchung]])</f>
        <v>2015</v>
      </c>
      <c r="J362" s="2">
        <f>ABS(Data[[#This Row],[Betrag]])</f>
        <v>350</v>
      </c>
      <c r="K362" s="66" t="str">
        <f>IF(Data[[#This Row],[Betrag]]&lt;0,"A","E")</f>
        <v>A</v>
      </c>
    </row>
    <row r="363" spans="1:11" x14ac:dyDescent="0.25">
      <c r="A363" s="1">
        <v>42366</v>
      </c>
      <c r="B363" s="66" t="s">
        <v>54</v>
      </c>
      <c r="C363" s="66" t="s">
        <v>55</v>
      </c>
      <c r="D363" t="s">
        <v>56</v>
      </c>
      <c r="E363">
        <v>-120</v>
      </c>
      <c r="F363" s="66" t="s">
        <v>7</v>
      </c>
      <c r="G363" s="66" t="s">
        <v>57</v>
      </c>
      <c r="H363" s="66" t="str">
        <f>TEXT(Data[[#This Row],[Buchung]],"MMM")</f>
        <v>Dez</v>
      </c>
      <c r="I363" s="67">
        <f>YEAR(Data[[#This Row],[Buchung]])</f>
        <v>2015</v>
      </c>
      <c r="J363" s="2">
        <f>ABS(Data[[#This Row],[Betrag]])</f>
        <v>120</v>
      </c>
      <c r="K363" s="66" t="str">
        <f>IF(Data[[#This Row],[Betrag]]&lt;0,"A","E")</f>
        <v>A</v>
      </c>
    </row>
    <row r="364" spans="1:11" x14ac:dyDescent="0.25">
      <c r="A364" s="1">
        <v>42367</v>
      </c>
      <c r="B364" s="66" t="s">
        <v>58</v>
      </c>
      <c r="C364" s="66" t="s">
        <v>59</v>
      </c>
      <c r="D364" t="s">
        <v>60</v>
      </c>
      <c r="E364">
        <v>-80</v>
      </c>
      <c r="F364" s="66" t="s">
        <v>7</v>
      </c>
      <c r="G364" s="66" t="s">
        <v>10</v>
      </c>
      <c r="H364" s="66" t="str">
        <f>TEXT(Data[[#This Row],[Buchung]],"MMM")</f>
        <v>Dez</v>
      </c>
      <c r="I364" s="67">
        <f>YEAR(Data[[#This Row],[Buchung]])</f>
        <v>2015</v>
      </c>
      <c r="J364" s="2">
        <f>ABS(Data[[#This Row],[Betrag]])</f>
        <v>80</v>
      </c>
      <c r="K364" s="66" t="str">
        <f>IF(Data[[#This Row],[Betrag]]&lt;0,"A","E")</f>
        <v>A</v>
      </c>
    </row>
    <row r="365" spans="1:11" x14ac:dyDescent="0.25">
      <c r="A365" s="1">
        <v>42368</v>
      </c>
      <c r="B365" s="66" t="s">
        <v>45</v>
      </c>
      <c r="C365" s="66" t="s">
        <v>46</v>
      </c>
      <c r="D365" t="s">
        <v>47</v>
      </c>
      <c r="E365">
        <v>1000</v>
      </c>
      <c r="F365" s="66" t="s">
        <v>7</v>
      </c>
      <c r="G365" s="66" t="s">
        <v>9</v>
      </c>
      <c r="H365" s="66" t="str">
        <f>TEXT(Data[[#This Row],[Buchung]],"MMM")</f>
        <v>Dez</v>
      </c>
      <c r="I365" s="67">
        <f>YEAR(Data[[#This Row],[Buchung]])</f>
        <v>2015</v>
      </c>
      <c r="J365" s="2">
        <f>ABS(Data[[#This Row],[Betrag]])</f>
        <v>1000</v>
      </c>
      <c r="K365" s="66" t="str">
        <f>IF(Data[[#This Row],[Betrag]]&lt;0,"A","E")</f>
        <v>E</v>
      </c>
    </row>
    <row r="366" spans="1:11" x14ac:dyDescent="0.25">
      <c r="A366" s="1">
        <v>42369</v>
      </c>
      <c r="B366" s="66" t="s">
        <v>61</v>
      </c>
      <c r="C366" s="66" t="s">
        <v>49</v>
      </c>
      <c r="D366" t="s">
        <v>62</v>
      </c>
      <c r="E366">
        <v>-10</v>
      </c>
      <c r="F366" s="66" t="s">
        <v>7</v>
      </c>
      <c r="G366" s="66" t="s">
        <v>8</v>
      </c>
      <c r="H366" s="66" t="str">
        <f>TEXT(Data[[#This Row],[Buchung]],"MMM")</f>
        <v>Dez</v>
      </c>
      <c r="I366" s="67">
        <f>YEAR(Data[[#This Row],[Buchung]])</f>
        <v>2015</v>
      </c>
      <c r="J366" s="2">
        <f>ABS(Data[[#This Row],[Betrag]])</f>
        <v>10</v>
      </c>
      <c r="K366" s="66" t="str">
        <f>IF(Data[[#This Row],[Betrag]]&lt;0,"A","E")</f>
        <v>A</v>
      </c>
    </row>
    <row r="367" spans="1:11" x14ac:dyDescent="0.25">
      <c r="A367" s="1">
        <v>42370</v>
      </c>
      <c r="B367" s="66" t="s">
        <v>63</v>
      </c>
      <c r="C367" s="66" t="s">
        <v>64</v>
      </c>
      <c r="D367" t="s">
        <v>65</v>
      </c>
      <c r="E367">
        <v>-65</v>
      </c>
      <c r="F367" s="66" t="s">
        <v>7</v>
      </c>
      <c r="G367" s="66" t="s">
        <v>11</v>
      </c>
      <c r="H367" s="66" t="str">
        <f>TEXT(Data[[#This Row],[Buchung]],"MMM")</f>
        <v>Jan</v>
      </c>
      <c r="I367" s="67">
        <f>YEAR(Data[[#This Row],[Buchung]])</f>
        <v>2016</v>
      </c>
      <c r="J367" s="2">
        <f>ABS(Data[[#This Row],[Betrag]])</f>
        <v>65</v>
      </c>
      <c r="K367" s="66" t="str">
        <f>IF(Data[[#This Row],[Betrag]]&lt;0,"A","E")</f>
        <v>A</v>
      </c>
    </row>
    <row r="368" spans="1:11" x14ac:dyDescent="0.25">
      <c r="A368" s="1">
        <v>42371</v>
      </c>
      <c r="B368" s="66" t="s">
        <v>54</v>
      </c>
      <c r="C368" s="66" t="s">
        <v>55</v>
      </c>
      <c r="D368" t="s">
        <v>66</v>
      </c>
      <c r="E368">
        <v>-80</v>
      </c>
      <c r="F368" s="66" t="s">
        <v>7</v>
      </c>
      <c r="G368" s="66" t="s">
        <v>57</v>
      </c>
      <c r="H368" s="66" t="str">
        <f>TEXT(Data[[#This Row],[Buchung]],"MMM")</f>
        <v>Jan</v>
      </c>
      <c r="I368" s="67">
        <f>YEAR(Data[[#This Row],[Buchung]])</f>
        <v>2016</v>
      </c>
      <c r="J368" s="2">
        <f>ABS(Data[[#This Row],[Betrag]])</f>
        <v>80</v>
      </c>
      <c r="K368" s="66" t="str">
        <f>IF(Data[[#This Row],[Betrag]]&lt;0,"A","E")</f>
        <v>A</v>
      </c>
    </row>
    <row r="369" spans="1:11" x14ac:dyDescent="0.25">
      <c r="A369" s="1">
        <v>42372</v>
      </c>
      <c r="B369" s="66" t="s">
        <v>67</v>
      </c>
      <c r="C369" s="66" t="s">
        <v>59</v>
      </c>
      <c r="D369" t="s">
        <v>68</v>
      </c>
      <c r="E369">
        <v>-35</v>
      </c>
      <c r="F369" s="66" t="s">
        <v>7</v>
      </c>
      <c r="G369" s="66" t="s">
        <v>10</v>
      </c>
      <c r="H369" s="66" t="str">
        <f>TEXT(Data[[#This Row],[Buchung]],"MMM")</f>
        <v>Jan</v>
      </c>
      <c r="I369" s="67">
        <f>YEAR(Data[[#This Row],[Buchung]])</f>
        <v>2016</v>
      </c>
      <c r="J369" s="2">
        <f>ABS(Data[[#This Row],[Betrag]])</f>
        <v>35</v>
      </c>
      <c r="K369" s="66" t="str">
        <f>IF(Data[[#This Row],[Betrag]]&lt;0,"A","E")</f>
        <v>A</v>
      </c>
    </row>
    <row r="370" spans="1:11" x14ac:dyDescent="0.25">
      <c r="A370" s="1">
        <v>42373</v>
      </c>
      <c r="B370" s="66" t="s">
        <v>45</v>
      </c>
      <c r="C370" s="66" t="s">
        <v>46</v>
      </c>
      <c r="D370" t="s">
        <v>47</v>
      </c>
      <c r="E370">
        <v>1000</v>
      </c>
      <c r="F370" s="66" t="s">
        <v>7</v>
      </c>
      <c r="G370" s="66" t="s">
        <v>9</v>
      </c>
      <c r="H370" s="66" t="str">
        <f>TEXT(Data[[#This Row],[Buchung]],"MMM")</f>
        <v>Jan</v>
      </c>
      <c r="I370" s="67">
        <f>YEAR(Data[[#This Row],[Buchung]])</f>
        <v>2016</v>
      </c>
      <c r="J370" s="2">
        <f>ABS(Data[[#This Row],[Betrag]])</f>
        <v>1000</v>
      </c>
      <c r="K370" s="66" t="str">
        <f>IF(Data[[#This Row],[Betrag]]&lt;0,"A","E")</f>
        <v>E</v>
      </c>
    </row>
    <row r="371" spans="1:11" x14ac:dyDescent="0.25">
      <c r="A371" s="1">
        <v>42374</v>
      </c>
      <c r="B371" s="66" t="s">
        <v>45</v>
      </c>
      <c r="C371" s="66" t="s">
        <v>46</v>
      </c>
      <c r="D371" t="s">
        <v>47</v>
      </c>
      <c r="E371">
        <v>1000</v>
      </c>
      <c r="F371" s="66" t="s">
        <v>7</v>
      </c>
      <c r="G371" s="66" t="s">
        <v>9</v>
      </c>
      <c r="H371" s="66" t="str">
        <f>TEXT(Data[[#This Row],[Buchung]],"MMM")</f>
        <v>Jan</v>
      </c>
      <c r="I371" s="67">
        <f>YEAR(Data[[#This Row],[Buchung]])</f>
        <v>2016</v>
      </c>
      <c r="J371" s="2">
        <f>ABS(Data[[#This Row],[Betrag]])</f>
        <v>1000</v>
      </c>
      <c r="K371" s="66" t="str">
        <f>IF(Data[[#This Row],[Betrag]]&lt;0,"A","E")</f>
        <v>E</v>
      </c>
    </row>
    <row r="372" spans="1:11" x14ac:dyDescent="0.25">
      <c r="A372" s="1">
        <v>42375</v>
      </c>
      <c r="B372" s="66" t="s">
        <v>48</v>
      </c>
      <c r="C372" s="66" t="s">
        <v>49</v>
      </c>
      <c r="D372" t="s">
        <v>50</v>
      </c>
      <c r="E372">
        <v>-15</v>
      </c>
      <c r="F372" s="66" t="s">
        <v>7</v>
      </c>
      <c r="G372" s="66" t="s">
        <v>8</v>
      </c>
      <c r="H372" s="66" t="str">
        <f>TEXT(Data[[#This Row],[Buchung]],"MMM")</f>
        <v>Jan</v>
      </c>
      <c r="I372" s="67">
        <f>YEAR(Data[[#This Row],[Buchung]])</f>
        <v>2016</v>
      </c>
      <c r="J372" s="2">
        <f>ABS(Data[[#This Row],[Betrag]])</f>
        <v>15</v>
      </c>
      <c r="K372" s="66" t="str">
        <f>IF(Data[[#This Row],[Betrag]]&lt;0,"A","E")</f>
        <v>A</v>
      </c>
    </row>
    <row r="373" spans="1:11" x14ac:dyDescent="0.25">
      <c r="A373" s="1">
        <v>42376</v>
      </c>
      <c r="B373" s="66" t="s">
        <v>51</v>
      </c>
      <c r="C373" s="66" t="s">
        <v>52</v>
      </c>
      <c r="D373" t="s">
        <v>53</v>
      </c>
      <c r="E373">
        <v>-350</v>
      </c>
      <c r="F373" s="66" t="s">
        <v>7</v>
      </c>
      <c r="G373" s="66" t="s">
        <v>11</v>
      </c>
      <c r="H373" s="66" t="str">
        <f>TEXT(Data[[#This Row],[Buchung]],"MMM")</f>
        <v>Jan</v>
      </c>
      <c r="I373" s="67">
        <f>YEAR(Data[[#This Row],[Buchung]])</f>
        <v>2016</v>
      </c>
      <c r="J373" s="2">
        <f>ABS(Data[[#This Row],[Betrag]])</f>
        <v>350</v>
      </c>
      <c r="K373" s="66" t="str">
        <f>IF(Data[[#This Row],[Betrag]]&lt;0,"A","E")</f>
        <v>A</v>
      </c>
    </row>
    <row r="374" spans="1:11" x14ac:dyDescent="0.25">
      <c r="A374" s="1">
        <v>42377</v>
      </c>
      <c r="B374" s="66" t="s">
        <v>54</v>
      </c>
      <c r="C374" s="66" t="s">
        <v>55</v>
      </c>
      <c r="D374" t="s">
        <v>56</v>
      </c>
      <c r="E374">
        <v>-120</v>
      </c>
      <c r="F374" s="66" t="s">
        <v>7</v>
      </c>
      <c r="G374" s="66" t="s">
        <v>57</v>
      </c>
      <c r="H374" s="66" t="str">
        <f>TEXT(Data[[#This Row],[Buchung]],"MMM")</f>
        <v>Jan</v>
      </c>
      <c r="I374" s="67">
        <f>YEAR(Data[[#This Row],[Buchung]])</f>
        <v>2016</v>
      </c>
      <c r="J374" s="2">
        <f>ABS(Data[[#This Row],[Betrag]])</f>
        <v>120</v>
      </c>
      <c r="K374" s="66" t="str">
        <f>IF(Data[[#This Row],[Betrag]]&lt;0,"A","E")</f>
        <v>A</v>
      </c>
    </row>
    <row r="375" spans="1:11" x14ac:dyDescent="0.25">
      <c r="A375" s="1">
        <v>42378</v>
      </c>
      <c r="B375" s="66" t="s">
        <v>58</v>
      </c>
      <c r="C375" s="66" t="s">
        <v>59</v>
      </c>
      <c r="D375" t="s">
        <v>60</v>
      </c>
      <c r="E375">
        <v>-50</v>
      </c>
      <c r="F375" s="66" t="s">
        <v>7</v>
      </c>
      <c r="G375" s="66" t="s">
        <v>10</v>
      </c>
      <c r="H375" s="66" t="str">
        <f>TEXT(Data[[#This Row],[Buchung]],"MMM")</f>
        <v>Jan</v>
      </c>
      <c r="I375" s="67">
        <f>YEAR(Data[[#This Row],[Buchung]])</f>
        <v>2016</v>
      </c>
      <c r="J375" s="2">
        <f>ABS(Data[[#This Row],[Betrag]])</f>
        <v>50</v>
      </c>
      <c r="K375" s="66" t="str">
        <f>IF(Data[[#This Row],[Betrag]]&lt;0,"A","E")</f>
        <v>A</v>
      </c>
    </row>
    <row r="376" spans="1:11" x14ac:dyDescent="0.25">
      <c r="A376" s="1">
        <v>42379</v>
      </c>
      <c r="B376" s="66" t="s">
        <v>45</v>
      </c>
      <c r="C376" s="66" t="s">
        <v>46</v>
      </c>
      <c r="D376" t="s">
        <v>47</v>
      </c>
      <c r="E376">
        <v>1000</v>
      </c>
      <c r="F376" s="66" t="s">
        <v>7</v>
      </c>
      <c r="G376" s="66" t="s">
        <v>9</v>
      </c>
      <c r="H376" s="66" t="str">
        <f>TEXT(Data[[#This Row],[Buchung]],"MMM")</f>
        <v>Jan</v>
      </c>
      <c r="I376" s="67">
        <f>YEAR(Data[[#This Row],[Buchung]])</f>
        <v>2016</v>
      </c>
      <c r="J376" s="2">
        <f>ABS(Data[[#This Row],[Betrag]])</f>
        <v>1000</v>
      </c>
      <c r="K376" s="66" t="str">
        <f>IF(Data[[#This Row],[Betrag]]&lt;0,"A","E")</f>
        <v>E</v>
      </c>
    </row>
    <row r="377" spans="1:11" x14ac:dyDescent="0.25">
      <c r="A377" s="1">
        <v>42380</v>
      </c>
      <c r="B377" s="66" t="s">
        <v>61</v>
      </c>
      <c r="C377" s="66" t="s">
        <v>49</v>
      </c>
      <c r="D377" t="s">
        <v>62</v>
      </c>
      <c r="E377">
        <v>-10</v>
      </c>
      <c r="F377" s="66" t="s">
        <v>7</v>
      </c>
      <c r="G377" s="66" t="s">
        <v>8</v>
      </c>
      <c r="H377" s="66" t="str">
        <f>TEXT(Data[[#This Row],[Buchung]],"MMM")</f>
        <v>Jan</v>
      </c>
      <c r="I377" s="67">
        <f>YEAR(Data[[#This Row],[Buchung]])</f>
        <v>2016</v>
      </c>
      <c r="J377" s="2">
        <f>ABS(Data[[#This Row],[Betrag]])</f>
        <v>10</v>
      </c>
      <c r="K377" s="66" t="str">
        <f>IF(Data[[#This Row],[Betrag]]&lt;0,"A","E")</f>
        <v>A</v>
      </c>
    </row>
    <row r="378" spans="1:11" x14ac:dyDescent="0.25">
      <c r="A378" s="1">
        <v>42381</v>
      </c>
      <c r="B378" s="66" t="s">
        <v>63</v>
      </c>
      <c r="C378" s="66" t="s">
        <v>64</v>
      </c>
      <c r="D378" t="s">
        <v>65</v>
      </c>
      <c r="E378">
        <v>-60</v>
      </c>
      <c r="F378" s="66" t="s">
        <v>7</v>
      </c>
      <c r="G378" s="66" t="s">
        <v>11</v>
      </c>
      <c r="H378" s="66" t="str">
        <f>TEXT(Data[[#This Row],[Buchung]],"MMM")</f>
        <v>Jan</v>
      </c>
      <c r="I378" s="67">
        <f>YEAR(Data[[#This Row],[Buchung]])</f>
        <v>2016</v>
      </c>
      <c r="J378" s="2">
        <f>ABS(Data[[#This Row],[Betrag]])</f>
        <v>60</v>
      </c>
      <c r="K378" s="66" t="str">
        <f>IF(Data[[#This Row],[Betrag]]&lt;0,"A","E")</f>
        <v>A</v>
      </c>
    </row>
    <row r="379" spans="1:11" x14ac:dyDescent="0.25">
      <c r="A379" s="1">
        <v>42382</v>
      </c>
      <c r="B379" s="66" t="s">
        <v>54</v>
      </c>
      <c r="C379" s="66" t="s">
        <v>55</v>
      </c>
      <c r="D379" t="s">
        <v>66</v>
      </c>
      <c r="E379">
        <v>-80</v>
      </c>
      <c r="F379" s="66" t="s">
        <v>7</v>
      </c>
      <c r="G379" s="66" t="s">
        <v>57</v>
      </c>
      <c r="H379" s="66" t="str">
        <f>TEXT(Data[[#This Row],[Buchung]],"MMM")</f>
        <v>Jan</v>
      </c>
      <c r="I379" s="67">
        <f>YEAR(Data[[#This Row],[Buchung]])</f>
        <v>2016</v>
      </c>
      <c r="J379" s="2">
        <f>ABS(Data[[#This Row],[Betrag]])</f>
        <v>80</v>
      </c>
      <c r="K379" s="66" t="str">
        <f>IF(Data[[#This Row],[Betrag]]&lt;0,"A","E")</f>
        <v>A</v>
      </c>
    </row>
    <row r="380" spans="1:11" x14ac:dyDescent="0.25">
      <c r="A380" s="1">
        <v>42383</v>
      </c>
      <c r="B380" s="66" t="s">
        <v>67</v>
      </c>
      <c r="C380" s="66" t="s">
        <v>59</v>
      </c>
      <c r="D380" t="s">
        <v>68</v>
      </c>
      <c r="E380">
        <v>-20</v>
      </c>
      <c r="F380" s="66" t="s">
        <v>7</v>
      </c>
      <c r="G380" s="66" t="s">
        <v>10</v>
      </c>
      <c r="H380" s="66" t="str">
        <f>TEXT(Data[[#This Row],[Buchung]],"MMM")</f>
        <v>Jan</v>
      </c>
      <c r="I380" s="67">
        <f>YEAR(Data[[#This Row],[Buchung]])</f>
        <v>2016</v>
      </c>
      <c r="J380" s="2">
        <f>ABS(Data[[#This Row],[Betrag]])</f>
        <v>20</v>
      </c>
      <c r="K380" s="66" t="str">
        <f>IF(Data[[#This Row],[Betrag]]&lt;0,"A","E")</f>
        <v>A</v>
      </c>
    </row>
    <row r="381" spans="1:11" x14ac:dyDescent="0.25">
      <c r="A381" s="1">
        <v>42384</v>
      </c>
      <c r="B381" s="66" t="s">
        <v>45</v>
      </c>
      <c r="C381" s="66" t="s">
        <v>46</v>
      </c>
      <c r="D381" t="s">
        <v>47</v>
      </c>
      <c r="E381">
        <v>1000</v>
      </c>
      <c r="F381" s="66" t="s">
        <v>7</v>
      </c>
      <c r="G381" s="66" t="s">
        <v>9</v>
      </c>
      <c r="H381" s="66" t="str">
        <f>TEXT(Data[[#This Row],[Buchung]],"MMM")</f>
        <v>Jan</v>
      </c>
      <c r="I381" s="67">
        <f>YEAR(Data[[#This Row],[Buchung]])</f>
        <v>2016</v>
      </c>
      <c r="J381" s="2">
        <f>ABS(Data[[#This Row],[Betrag]])</f>
        <v>1000</v>
      </c>
      <c r="K381" s="66" t="str">
        <f>IF(Data[[#This Row],[Betrag]]&lt;0,"A","E")</f>
        <v>E</v>
      </c>
    </row>
    <row r="382" spans="1:11" x14ac:dyDescent="0.25">
      <c r="A382" s="1">
        <v>42385</v>
      </c>
      <c r="B382" s="66" t="s">
        <v>48</v>
      </c>
      <c r="C382" s="66" t="s">
        <v>49</v>
      </c>
      <c r="D382" t="s">
        <v>50</v>
      </c>
      <c r="E382">
        <v>-15</v>
      </c>
      <c r="F382" s="66" t="s">
        <v>7</v>
      </c>
      <c r="G382" s="66" t="s">
        <v>8</v>
      </c>
      <c r="H382" s="66" t="str">
        <f>TEXT(Data[[#This Row],[Buchung]],"MMM")</f>
        <v>Jan</v>
      </c>
      <c r="I382" s="67">
        <f>YEAR(Data[[#This Row],[Buchung]])</f>
        <v>2016</v>
      </c>
      <c r="J382" s="2">
        <f>ABS(Data[[#This Row],[Betrag]])</f>
        <v>15</v>
      </c>
      <c r="K382" s="66" t="str">
        <f>IF(Data[[#This Row],[Betrag]]&lt;0,"A","E")</f>
        <v>A</v>
      </c>
    </row>
    <row r="383" spans="1:11" x14ac:dyDescent="0.25">
      <c r="A383" s="1">
        <v>42386</v>
      </c>
      <c r="B383" s="66" t="s">
        <v>51</v>
      </c>
      <c r="C383" s="66" t="s">
        <v>52</v>
      </c>
      <c r="D383" t="s">
        <v>53</v>
      </c>
      <c r="E383">
        <v>-350</v>
      </c>
      <c r="F383" s="66" t="s">
        <v>7</v>
      </c>
      <c r="G383" s="66" t="s">
        <v>11</v>
      </c>
      <c r="H383" s="66" t="str">
        <f>TEXT(Data[[#This Row],[Buchung]],"MMM")</f>
        <v>Jan</v>
      </c>
      <c r="I383" s="67">
        <f>YEAR(Data[[#This Row],[Buchung]])</f>
        <v>2016</v>
      </c>
      <c r="J383" s="2">
        <f>ABS(Data[[#This Row],[Betrag]])</f>
        <v>350</v>
      </c>
      <c r="K383" s="66" t="str">
        <f>IF(Data[[#This Row],[Betrag]]&lt;0,"A","E")</f>
        <v>A</v>
      </c>
    </row>
    <row r="384" spans="1:11" x14ac:dyDescent="0.25">
      <c r="A384" s="1">
        <v>42387</v>
      </c>
      <c r="B384" s="66" t="s">
        <v>54</v>
      </c>
      <c r="C384" s="66" t="s">
        <v>55</v>
      </c>
      <c r="D384" t="s">
        <v>56</v>
      </c>
      <c r="E384">
        <v>-120</v>
      </c>
      <c r="F384" s="66" t="s">
        <v>7</v>
      </c>
      <c r="G384" s="66" t="s">
        <v>57</v>
      </c>
      <c r="H384" s="66" t="str">
        <f>TEXT(Data[[#This Row],[Buchung]],"MMM")</f>
        <v>Jan</v>
      </c>
      <c r="I384" s="67">
        <f>YEAR(Data[[#This Row],[Buchung]])</f>
        <v>2016</v>
      </c>
      <c r="J384" s="2">
        <f>ABS(Data[[#This Row],[Betrag]])</f>
        <v>120</v>
      </c>
      <c r="K384" s="66" t="str">
        <f>IF(Data[[#This Row],[Betrag]]&lt;0,"A","E")</f>
        <v>A</v>
      </c>
    </row>
    <row r="385" spans="1:11" x14ac:dyDescent="0.25">
      <c r="A385" s="1">
        <v>42388</v>
      </c>
      <c r="B385" s="66" t="s">
        <v>58</v>
      </c>
      <c r="C385" s="66" t="s">
        <v>59</v>
      </c>
      <c r="D385" t="s">
        <v>60</v>
      </c>
      <c r="E385">
        <v>-60</v>
      </c>
      <c r="F385" s="66" t="s">
        <v>7</v>
      </c>
      <c r="G385" s="66" t="s">
        <v>10</v>
      </c>
      <c r="H385" s="66" t="str">
        <f>TEXT(Data[[#This Row],[Buchung]],"MMM")</f>
        <v>Jan</v>
      </c>
      <c r="I385" s="67">
        <f>YEAR(Data[[#This Row],[Buchung]])</f>
        <v>2016</v>
      </c>
      <c r="J385" s="2">
        <f>ABS(Data[[#This Row],[Betrag]])</f>
        <v>60</v>
      </c>
      <c r="K385" s="66" t="str">
        <f>IF(Data[[#This Row],[Betrag]]&lt;0,"A","E")</f>
        <v>A</v>
      </c>
    </row>
    <row r="386" spans="1:11" x14ac:dyDescent="0.25">
      <c r="A386" s="1">
        <v>42389</v>
      </c>
      <c r="B386" s="66" t="s">
        <v>45</v>
      </c>
      <c r="C386" s="66" t="s">
        <v>46</v>
      </c>
      <c r="D386" t="s">
        <v>47</v>
      </c>
      <c r="E386">
        <v>1000</v>
      </c>
      <c r="F386" s="66" t="s">
        <v>7</v>
      </c>
      <c r="G386" s="66" t="s">
        <v>9</v>
      </c>
      <c r="H386" s="66" t="str">
        <f>TEXT(Data[[#This Row],[Buchung]],"MMM")</f>
        <v>Jan</v>
      </c>
      <c r="I386" s="67">
        <f>YEAR(Data[[#This Row],[Buchung]])</f>
        <v>2016</v>
      </c>
      <c r="J386" s="2">
        <f>ABS(Data[[#This Row],[Betrag]])</f>
        <v>1000</v>
      </c>
      <c r="K386" s="66" t="str">
        <f>IF(Data[[#This Row],[Betrag]]&lt;0,"A","E")</f>
        <v>E</v>
      </c>
    </row>
    <row r="387" spans="1:11" x14ac:dyDescent="0.25">
      <c r="A387" s="1">
        <v>42390</v>
      </c>
      <c r="B387" s="66" t="s">
        <v>61</v>
      </c>
      <c r="C387" s="66" t="s">
        <v>49</v>
      </c>
      <c r="D387" t="s">
        <v>62</v>
      </c>
      <c r="E387">
        <v>-10</v>
      </c>
      <c r="F387" s="66" t="s">
        <v>7</v>
      </c>
      <c r="G387" s="66" t="s">
        <v>8</v>
      </c>
      <c r="H387" s="66" t="str">
        <f>TEXT(Data[[#This Row],[Buchung]],"MMM")</f>
        <v>Jan</v>
      </c>
      <c r="I387" s="67">
        <f>YEAR(Data[[#This Row],[Buchung]])</f>
        <v>2016</v>
      </c>
      <c r="J387" s="2">
        <f>ABS(Data[[#This Row],[Betrag]])</f>
        <v>10</v>
      </c>
      <c r="K387" s="66" t="str">
        <f>IF(Data[[#This Row],[Betrag]]&lt;0,"A","E")</f>
        <v>A</v>
      </c>
    </row>
    <row r="388" spans="1:11" x14ac:dyDescent="0.25">
      <c r="A388" s="1">
        <v>42391</v>
      </c>
      <c r="B388" s="66" t="s">
        <v>63</v>
      </c>
      <c r="C388" s="66" t="s">
        <v>64</v>
      </c>
      <c r="D388" t="s">
        <v>65</v>
      </c>
      <c r="E388">
        <v>-70</v>
      </c>
      <c r="F388" s="66" t="s">
        <v>7</v>
      </c>
      <c r="G388" s="66" t="s">
        <v>11</v>
      </c>
      <c r="H388" s="66" t="str">
        <f>TEXT(Data[[#This Row],[Buchung]],"MMM")</f>
        <v>Jan</v>
      </c>
      <c r="I388" s="67">
        <f>YEAR(Data[[#This Row],[Buchung]])</f>
        <v>2016</v>
      </c>
      <c r="J388" s="2">
        <f>ABS(Data[[#This Row],[Betrag]])</f>
        <v>70</v>
      </c>
      <c r="K388" s="66" t="str">
        <f>IF(Data[[#This Row],[Betrag]]&lt;0,"A","E")</f>
        <v>A</v>
      </c>
    </row>
    <row r="389" spans="1:11" x14ac:dyDescent="0.25">
      <c r="A389" s="1">
        <v>42392</v>
      </c>
      <c r="B389" s="66" t="s">
        <v>54</v>
      </c>
      <c r="C389" s="66" t="s">
        <v>55</v>
      </c>
      <c r="D389" t="s">
        <v>66</v>
      </c>
      <c r="E389">
        <v>-80</v>
      </c>
      <c r="F389" s="66" t="s">
        <v>7</v>
      </c>
      <c r="G389" s="66" t="s">
        <v>57</v>
      </c>
      <c r="H389" s="66" t="str">
        <f>TEXT(Data[[#This Row],[Buchung]],"MMM")</f>
        <v>Jan</v>
      </c>
      <c r="I389" s="67">
        <f>YEAR(Data[[#This Row],[Buchung]])</f>
        <v>2016</v>
      </c>
      <c r="J389" s="2">
        <f>ABS(Data[[#This Row],[Betrag]])</f>
        <v>80</v>
      </c>
      <c r="K389" s="66" t="str">
        <f>IF(Data[[#This Row],[Betrag]]&lt;0,"A","E")</f>
        <v>A</v>
      </c>
    </row>
    <row r="390" spans="1:11" x14ac:dyDescent="0.25">
      <c r="A390" s="1">
        <v>42393</v>
      </c>
      <c r="B390" s="66" t="s">
        <v>67</v>
      </c>
      <c r="C390" s="66" t="s">
        <v>59</v>
      </c>
      <c r="D390" t="s">
        <v>68</v>
      </c>
      <c r="E390">
        <v>-25</v>
      </c>
      <c r="F390" s="66" t="s">
        <v>7</v>
      </c>
      <c r="G390" s="66" t="s">
        <v>10</v>
      </c>
      <c r="H390" s="66" t="str">
        <f>TEXT(Data[[#This Row],[Buchung]],"MMM")</f>
        <v>Jan</v>
      </c>
      <c r="I390" s="67">
        <f>YEAR(Data[[#This Row],[Buchung]])</f>
        <v>2016</v>
      </c>
      <c r="J390" s="2">
        <f>ABS(Data[[#This Row],[Betrag]])</f>
        <v>25</v>
      </c>
      <c r="K390" s="66" t="str">
        <f>IF(Data[[#This Row],[Betrag]]&lt;0,"A","E")</f>
        <v>A</v>
      </c>
    </row>
    <row r="391" spans="1:11" x14ac:dyDescent="0.25">
      <c r="A391" s="1">
        <v>42394</v>
      </c>
      <c r="B391" s="66" t="s">
        <v>45</v>
      </c>
      <c r="C391" s="66" t="s">
        <v>46</v>
      </c>
      <c r="D391" t="s">
        <v>47</v>
      </c>
      <c r="E391">
        <v>1000</v>
      </c>
      <c r="F391" s="66" t="s">
        <v>7</v>
      </c>
      <c r="G391" s="66" t="s">
        <v>9</v>
      </c>
      <c r="H391" s="66" t="str">
        <f>TEXT(Data[[#This Row],[Buchung]],"MMM")</f>
        <v>Jan</v>
      </c>
      <c r="I391" s="67">
        <f>YEAR(Data[[#This Row],[Buchung]])</f>
        <v>2016</v>
      </c>
      <c r="J391" s="2">
        <f>ABS(Data[[#This Row],[Betrag]])</f>
        <v>1000</v>
      </c>
      <c r="K391" s="66" t="str">
        <f>IF(Data[[#This Row],[Betrag]]&lt;0,"A","E")</f>
        <v>E</v>
      </c>
    </row>
    <row r="392" spans="1:11" x14ac:dyDescent="0.25">
      <c r="A392" s="1">
        <v>42395</v>
      </c>
      <c r="B392" s="66" t="s">
        <v>48</v>
      </c>
      <c r="C392" s="66" t="s">
        <v>49</v>
      </c>
      <c r="D392" t="s">
        <v>50</v>
      </c>
      <c r="E392">
        <v>-15</v>
      </c>
      <c r="F392" s="66" t="s">
        <v>7</v>
      </c>
      <c r="G392" s="66" t="s">
        <v>8</v>
      </c>
      <c r="H392" s="66" t="str">
        <f>TEXT(Data[[#This Row],[Buchung]],"MMM")</f>
        <v>Jan</v>
      </c>
      <c r="I392" s="67">
        <f>YEAR(Data[[#This Row],[Buchung]])</f>
        <v>2016</v>
      </c>
      <c r="J392" s="2">
        <f>ABS(Data[[#This Row],[Betrag]])</f>
        <v>15</v>
      </c>
      <c r="K392" s="66" t="str">
        <f>IF(Data[[#This Row],[Betrag]]&lt;0,"A","E")</f>
        <v>A</v>
      </c>
    </row>
    <row r="393" spans="1:11" x14ac:dyDescent="0.25">
      <c r="A393" s="1">
        <v>42396</v>
      </c>
      <c r="B393" s="66" t="s">
        <v>51</v>
      </c>
      <c r="C393" s="66" t="s">
        <v>52</v>
      </c>
      <c r="D393" t="s">
        <v>53</v>
      </c>
      <c r="E393">
        <v>-350</v>
      </c>
      <c r="F393" s="66" t="s">
        <v>7</v>
      </c>
      <c r="G393" s="66" t="s">
        <v>11</v>
      </c>
      <c r="H393" s="66" t="str">
        <f>TEXT(Data[[#This Row],[Buchung]],"MMM")</f>
        <v>Jan</v>
      </c>
      <c r="I393" s="67">
        <f>YEAR(Data[[#This Row],[Buchung]])</f>
        <v>2016</v>
      </c>
      <c r="J393" s="2">
        <f>ABS(Data[[#This Row],[Betrag]])</f>
        <v>350</v>
      </c>
      <c r="K393" s="66" t="str">
        <f>IF(Data[[#This Row],[Betrag]]&lt;0,"A","E")</f>
        <v>A</v>
      </c>
    </row>
    <row r="394" spans="1:11" x14ac:dyDescent="0.25">
      <c r="A394" s="1">
        <v>42397</v>
      </c>
      <c r="B394" s="66" t="s">
        <v>54</v>
      </c>
      <c r="C394" s="66" t="s">
        <v>55</v>
      </c>
      <c r="D394" t="s">
        <v>56</v>
      </c>
      <c r="E394">
        <v>-120</v>
      </c>
      <c r="F394" s="66" t="s">
        <v>7</v>
      </c>
      <c r="G394" s="66" t="s">
        <v>57</v>
      </c>
      <c r="H394" s="66" t="str">
        <f>TEXT(Data[[#This Row],[Buchung]],"MMM")</f>
        <v>Jan</v>
      </c>
      <c r="I394" s="67">
        <f>YEAR(Data[[#This Row],[Buchung]])</f>
        <v>2016</v>
      </c>
      <c r="J394" s="2">
        <f>ABS(Data[[#This Row],[Betrag]])</f>
        <v>120</v>
      </c>
      <c r="K394" s="66" t="str">
        <f>IF(Data[[#This Row],[Betrag]]&lt;0,"A","E")</f>
        <v>A</v>
      </c>
    </row>
    <row r="395" spans="1:11" x14ac:dyDescent="0.25">
      <c r="A395" s="1">
        <v>42398</v>
      </c>
      <c r="B395" s="66" t="s">
        <v>58</v>
      </c>
      <c r="C395" s="66" t="s">
        <v>59</v>
      </c>
      <c r="D395" t="s">
        <v>60</v>
      </c>
      <c r="E395">
        <v>-70</v>
      </c>
      <c r="F395" s="66" t="s">
        <v>7</v>
      </c>
      <c r="G395" s="66" t="s">
        <v>10</v>
      </c>
      <c r="H395" s="66" t="str">
        <f>TEXT(Data[[#This Row],[Buchung]],"MMM")</f>
        <v>Jan</v>
      </c>
      <c r="I395" s="67">
        <f>YEAR(Data[[#This Row],[Buchung]])</f>
        <v>2016</v>
      </c>
      <c r="J395" s="2">
        <f>ABS(Data[[#This Row],[Betrag]])</f>
        <v>70</v>
      </c>
      <c r="K395" s="66" t="str">
        <f>IF(Data[[#This Row],[Betrag]]&lt;0,"A","E")</f>
        <v>A</v>
      </c>
    </row>
    <row r="396" spans="1:11" x14ac:dyDescent="0.25">
      <c r="A396" s="1">
        <v>42399</v>
      </c>
      <c r="B396" s="66" t="s">
        <v>45</v>
      </c>
      <c r="C396" s="66" t="s">
        <v>46</v>
      </c>
      <c r="D396" t="s">
        <v>47</v>
      </c>
      <c r="E396">
        <v>1000</v>
      </c>
      <c r="F396" s="66" t="s">
        <v>7</v>
      </c>
      <c r="G396" s="66" t="s">
        <v>9</v>
      </c>
      <c r="H396" s="66" t="str">
        <f>TEXT(Data[[#This Row],[Buchung]],"MMM")</f>
        <v>Jan</v>
      </c>
      <c r="I396" s="67">
        <f>YEAR(Data[[#This Row],[Buchung]])</f>
        <v>2016</v>
      </c>
      <c r="J396" s="2">
        <f>ABS(Data[[#This Row],[Betrag]])</f>
        <v>1000</v>
      </c>
      <c r="K396" s="66" t="str">
        <f>IF(Data[[#This Row],[Betrag]]&lt;0,"A","E")</f>
        <v>E</v>
      </c>
    </row>
    <row r="397" spans="1:11" x14ac:dyDescent="0.25">
      <c r="A397" s="1">
        <v>42400</v>
      </c>
      <c r="B397" s="66" t="s">
        <v>61</v>
      </c>
      <c r="C397" s="66" t="s">
        <v>49</v>
      </c>
      <c r="D397" t="s">
        <v>62</v>
      </c>
      <c r="E397">
        <v>-10</v>
      </c>
      <c r="F397" s="66" t="s">
        <v>7</v>
      </c>
      <c r="G397" s="66" t="s">
        <v>8</v>
      </c>
      <c r="H397" s="66" t="str">
        <f>TEXT(Data[[#This Row],[Buchung]],"MMM")</f>
        <v>Jan</v>
      </c>
      <c r="I397" s="67">
        <f>YEAR(Data[[#This Row],[Buchung]])</f>
        <v>2016</v>
      </c>
      <c r="J397" s="2">
        <f>ABS(Data[[#This Row],[Betrag]])</f>
        <v>10</v>
      </c>
      <c r="K397" s="66" t="str">
        <f>IF(Data[[#This Row],[Betrag]]&lt;0,"A","E")</f>
        <v>A</v>
      </c>
    </row>
    <row r="398" spans="1:11" x14ac:dyDescent="0.25">
      <c r="A398" s="1">
        <v>42401</v>
      </c>
      <c r="B398" s="66" t="s">
        <v>63</v>
      </c>
      <c r="C398" s="66" t="s">
        <v>64</v>
      </c>
      <c r="D398" t="s">
        <v>65</v>
      </c>
      <c r="E398">
        <v>-60</v>
      </c>
      <c r="F398" s="66" t="s">
        <v>7</v>
      </c>
      <c r="G398" s="66" t="s">
        <v>11</v>
      </c>
      <c r="H398" s="66" t="str">
        <f>TEXT(Data[[#This Row],[Buchung]],"MMM")</f>
        <v>Feb</v>
      </c>
      <c r="I398" s="67">
        <f>YEAR(Data[[#This Row],[Buchung]])</f>
        <v>2016</v>
      </c>
      <c r="J398" s="2">
        <f>ABS(Data[[#This Row],[Betrag]])</f>
        <v>60</v>
      </c>
      <c r="K398" s="66" t="str">
        <f>IF(Data[[#This Row],[Betrag]]&lt;0,"A","E")</f>
        <v>A</v>
      </c>
    </row>
    <row r="399" spans="1:11" x14ac:dyDescent="0.25">
      <c r="A399" s="1">
        <v>42402</v>
      </c>
      <c r="B399" s="66" t="s">
        <v>54</v>
      </c>
      <c r="C399" s="66" t="s">
        <v>55</v>
      </c>
      <c r="D399" t="s">
        <v>66</v>
      </c>
      <c r="E399">
        <v>-80</v>
      </c>
      <c r="F399" s="66" t="s">
        <v>7</v>
      </c>
      <c r="G399" s="66" t="s">
        <v>57</v>
      </c>
      <c r="H399" s="66" t="str">
        <f>TEXT(Data[[#This Row],[Buchung]],"MMM")</f>
        <v>Feb</v>
      </c>
      <c r="I399" s="67">
        <f>YEAR(Data[[#This Row],[Buchung]])</f>
        <v>2016</v>
      </c>
      <c r="J399" s="2">
        <f>ABS(Data[[#This Row],[Betrag]])</f>
        <v>80</v>
      </c>
      <c r="K399" s="66" t="str">
        <f>IF(Data[[#This Row],[Betrag]]&lt;0,"A","E")</f>
        <v>A</v>
      </c>
    </row>
    <row r="400" spans="1:11" x14ac:dyDescent="0.25">
      <c r="A400" s="1">
        <v>42403</v>
      </c>
      <c r="B400" s="66" t="s">
        <v>67</v>
      </c>
      <c r="C400" s="66" t="s">
        <v>59</v>
      </c>
      <c r="D400" t="s">
        <v>68</v>
      </c>
      <c r="E400">
        <v>-30</v>
      </c>
      <c r="F400" s="66" t="s">
        <v>7</v>
      </c>
      <c r="G400" s="66" t="s">
        <v>10</v>
      </c>
      <c r="H400" s="66" t="str">
        <f>TEXT(Data[[#This Row],[Buchung]],"MMM")</f>
        <v>Feb</v>
      </c>
      <c r="I400" s="67">
        <f>YEAR(Data[[#This Row],[Buchung]])</f>
        <v>2016</v>
      </c>
      <c r="J400" s="2">
        <f>ABS(Data[[#This Row],[Betrag]])</f>
        <v>30</v>
      </c>
      <c r="K400" s="66" t="str">
        <f>IF(Data[[#This Row],[Betrag]]&lt;0,"A","E")</f>
        <v>A</v>
      </c>
    </row>
    <row r="401" spans="1:11" x14ac:dyDescent="0.25">
      <c r="A401" s="1">
        <v>42404</v>
      </c>
      <c r="B401" s="66" t="s">
        <v>45</v>
      </c>
      <c r="C401" s="66" t="s">
        <v>46</v>
      </c>
      <c r="D401" t="s">
        <v>47</v>
      </c>
      <c r="E401">
        <v>1000</v>
      </c>
      <c r="F401" s="66" t="s">
        <v>7</v>
      </c>
      <c r="G401" s="66" t="s">
        <v>9</v>
      </c>
      <c r="H401" s="66" t="str">
        <f>TEXT(Data[[#This Row],[Buchung]],"MMM")</f>
        <v>Feb</v>
      </c>
      <c r="I401" s="67">
        <f>YEAR(Data[[#This Row],[Buchung]])</f>
        <v>2016</v>
      </c>
      <c r="J401" s="2">
        <f>ABS(Data[[#This Row],[Betrag]])</f>
        <v>1000</v>
      </c>
      <c r="K401" s="66" t="str">
        <f>IF(Data[[#This Row],[Betrag]]&lt;0,"A","E")</f>
        <v>E</v>
      </c>
    </row>
    <row r="402" spans="1:11" x14ac:dyDescent="0.25">
      <c r="A402" s="1">
        <v>42405</v>
      </c>
      <c r="B402" s="66" t="s">
        <v>48</v>
      </c>
      <c r="C402" s="66" t="s">
        <v>49</v>
      </c>
      <c r="D402" t="s">
        <v>50</v>
      </c>
      <c r="E402">
        <v>-15</v>
      </c>
      <c r="F402" s="66" t="s">
        <v>7</v>
      </c>
      <c r="G402" s="66" t="s">
        <v>8</v>
      </c>
      <c r="H402" s="66" t="str">
        <f>TEXT(Data[[#This Row],[Buchung]],"MMM")</f>
        <v>Feb</v>
      </c>
      <c r="I402" s="67">
        <f>YEAR(Data[[#This Row],[Buchung]])</f>
        <v>2016</v>
      </c>
      <c r="J402" s="2">
        <f>ABS(Data[[#This Row],[Betrag]])</f>
        <v>15</v>
      </c>
      <c r="K402" s="66" t="str">
        <f>IF(Data[[#This Row],[Betrag]]&lt;0,"A","E")</f>
        <v>A</v>
      </c>
    </row>
    <row r="403" spans="1:11" x14ac:dyDescent="0.25">
      <c r="A403" s="1">
        <v>42406</v>
      </c>
      <c r="B403" s="66" t="s">
        <v>51</v>
      </c>
      <c r="C403" s="66" t="s">
        <v>52</v>
      </c>
      <c r="D403" t="s">
        <v>53</v>
      </c>
      <c r="E403">
        <v>-350</v>
      </c>
      <c r="F403" s="66" t="s">
        <v>7</v>
      </c>
      <c r="G403" s="66" t="s">
        <v>11</v>
      </c>
      <c r="H403" s="66" t="str">
        <f>TEXT(Data[[#This Row],[Buchung]],"MMM")</f>
        <v>Feb</v>
      </c>
      <c r="I403" s="67">
        <f>YEAR(Data[[#This Row],[Buchung]])</f>
        <v>2016</v>
      </c>
      <c r="J403" s="2">
        <f>ABS(Data[[#This Row],[Betrag]])</f>
        <v>350</v>
      </c>
      <c r="K403" s="66" t="str">
        <f>IF(Data[[#This Row],[Betrag]]&lt;0,"A","E")</f>
        <v>A</v>
      </c>
    </row>
    <row r="404" spans="1:11" x14ac:dyDescent="0.25">
      <c r="A404" s="1">
        <v>42407</v>
      </c>
      <c r="B404" s="66" t="s">
        <v>54</v>
      </c>
      <c r="C404" s="66" t="s">
        <v>55</v>
      </c>
      <c r="D404" t="s">
        <v>56</v>
      </c>
      <c r="E404">
        <v>-120</v>
      </c>
      <c r="F404" s="66" t="s">
        <v>7</v>
      </c>
      <c r="G404" s="66" t="s">
        <v>57</v>
      </c>
      <c r="H404" s="66" t="str">
        <f>TEXT(Data[[#This Row],[Buchung]],"MMM")</f>
        <v>Feb</v>
      </c>
      <c r="I404" s="67">
        <f>YEAR(Data[[#This Row],[Buchung]])</f>
        <v>2016</v>
      </c>
      <c r="J404" s="2">
        <f>ABS(Data[[#This Row],[Betrag]])</f>
        <v>120</v>
      </c>
      <c r="K404" s="66" t="str">
        <f>IF(Data[[#This Row],[Betrag]]&lt;0,"A","E")</f>
        <v>A</v>
      </c>
    </row>
    <row r="405" spans="1:11" x14ac:dyDescent="0.25">
      <c r="A405" s="1">
        <v>42408</v>
      </c>
      <c r="B405" s="66" t="s">
        <v>58</v>
      </c>
      <c r="C405" s="66" t="s">
        <v>59</v>
      </c>
      <c r="D405" t="s">
        <v>60</v>
      </c>
      <c r="E405">
        <v>-80</v>
      </c>
      <c r="F405" s="66" t="s">
        <v>7</v>
      </c>
      <c r="G405" s="66" t="s">
        <v>10</v>
      </c>
      <c r="H405" s="66" t="str">
        <f>TEXT(Data[[#This Row],[Buchung]],"MMM")</f>
        <v>Feb</v>
      </c>
      <c r="I405" s="67">
        <f>YEAR(Data[[#This Row],[Buchung]])</f>
        <v>2016</v>
      </c>
      <c r="J405" s="2">
        <f>ABS(Data[[#This Row],[Betrag]])</f>
        <v>80</v>
      </c>
      <c r="K405" s="66" t="str">
        <f>IF(Data[[#This Row],[Betrag]]&lt;0,"A","E")</f>
        <v>A</v>
      </c>
    </row>
    <row r="406" spans="1:11" x14ac:dyDescent="0.25">
      <c r="A406" s="1">
        <v>42409</v>
      </c>
      <c r="B406" s="66" t="s">
        <v>45</v>
      </c>
      <c r="C406" s="66" t="s">
        <v>46</v>
      </c>
      <c r="D406" t="s">
        <v>47</v>
      </c>
      <c r="E406">
        <v>1000</v>
      </c>
      <c r="F406" s="66" t="s">
        <v>7</v>
      </c>
      <c r="G406" s="66" t="s">
        <v>9</v>
      </c>
      <c r="H406" s="66" t="str">
        <f>TEXT(Data[[#This Row],[Buchung]],"MMM")</f>
        <v>Feb</v>
      </c>
      <c r="I406" s="67">
        <f>YEAR(Data[[#This Row],[Buchung]])</f>
        <v>2016</v>
      </c>
      <c r="J406" s="2">
        <f>ABS(Data[[#This Row],[Betrag]])</f>
        <v>1000</v>
      </c>
      <c r="K406" s="66" t="str">
        <f>IF(Data[[#This Row],[Betrag]]&lt;0,"A","E")</f>
        <v>E</v>
      </c>
    </row>
    <row r="407" spans="1:11" x14ac:dyDescent="0.25">
      <c r="A407" s="1">
        <v>42410</v>
      </c>
      <c r="B407" s="66" t="s">
        <v>61</v>
      </c>
      <c r="C407" s="66" t="s">
        <v>49</v>
      </c>
      <c r="D407" t="s">
        <v>62</v>
      </c>
      <c r="E407">
        <v>-10</v>
      </c>
      <c r="F407" s="66" t="s">
        <v>7</v>
      </c>
      <c r="G407" s="66" t="s">
        <v>8</v>
      </c>
      <c r="H407" s="66" t="str">
        <f>TEXT(Data[[#This Row],[Buchung]],"MMM")</f>
        <v>Feb</v>
      </c>
      <c r="I407" s="67">
        <f>YEAR(Data[[#This Row],[Buchung]])</f>
        <v>2016</v>
      </c>
      <c r="J407" s="2">
        <f>ABS(Data[[#This Row],[Betrag]])</f>
        <v>10</v>
      </c>
      <c r="K407" s="66" t="str">
        <f>IF(Data[[#This Row],[Betrag]]&lt;0,"A","E")</f>
        <v>A</v>
      </c>
    </row>
    <row r="408" spans="1:11" x14ac:dyDescent="0.25">
      <c r="A408" s="1">
        <v>42411</v>
      </c>
      <c r="B408" s="66" t="s">
        <v>63</v>
      </c>
      <c r="C408" s="66" t="s">
        <v>64</v>
      </c>
      <c r="D408" t="s">
        <v>65</v>
      </c>
      <c r="E408">
        <v>-65</v>
      </c>
      <c r="F408" s="66" t="s">
        <v>7</v>
      </c>
      <c r="G408" s="66" t="s">
        <v>11</v>
      </c>
      <c r="H408" s="66" t="str">
        <f>TEXT(Data[[#This Row],[Buchung]],"MMM")</f>
        <v>Feb</v>
      </c>
      <c r="I408" s="67">
        <f>YEAR(Data[[#This Row],[Buchung]])</f>
        <v>2016</v>
      </c>
      <c r="J408" s="2">
        <f>ABS(Data[[#This Row],[Betrag]])</f>
        <v>65</v>
      </c>
      <c r="K408" s="66" t="str">
        <f>IF(Data[[#This Row],[Betrag]]&lt;0,"A","E")</f>
        <v>A</v>
      </c>
    </row>
    <row r="409" spans="1:11" x14ac:dyDescent="0.25">
      <c r="A409" s="1">
        <v>42412</v>
      </c>
      <c r="B409" s="66" t="s">
        <v>54</v>
      </c>
      <c r="C409" s="66" t="s">
        <v>55</v>
      </c>
      <c r="D409" t="s">
        <v>66</v>
      </c>
      <c r="E409">
        <v>-80</v>
      </c>
      <c r="F409" s="66" t="s">
        <v>7</v>
      </c>
      <c r="G409" s="66" t="s">
        <v>57</v>
      </c>
      <c r="H409" s="66" t="str">
        <f>TEXT(Data[[#This Row],[Buchung]],"MMM")</f>
        <v>Feb</v>
      </c>
      <c r="I409" s="67">
        <f>YEAR(Data[[#This Row],[Buchung]])</f>
        <v>2016</v>
      </c>
      <c r="J409" s="2">
        <f>ABS(Data[[#This Row],[Betrag]])</f>
        <v>80</v>
      </c>
      <c r="K409" s="66" t="str">
        <f>IF(Data[[#This Row],[Betrag]]&lt;0,"A","E")</f>
        <v>A</v>
      </c>
    </row>
    <row r="410" spans="1:11" x14ac:dyDescent="0.25">
      <c r="A410" s="1">
        <v>42413</v>
      </c>
      <c r="B410" s="66" t="s">
        <v>67</v>
      </c>
      <c r="C410" s="66" t="s">
        <v>59</v>
      </c>
      <c r="D410" t="s">
        <v>68</v>
      </c>
      <c r="E410">
        <v>-35</v>
      </c>
      <c r="F410" s="66" t="s">
        <v>7</v>
      </c>
      <c r="G410" s="66" t="s">
        <v>10</v>
      </c>
      <c r="H410" s="66" t="str">
        <f>TEXT(Data[[#This Row],[Buchung]],"MMM")</f>
        <v>Feb</v>
      </c>
      <c r="I410" s="67">
        <f>YEAR(Data[[#This Row],[Buchung]])</f>
        <v>2016</v>
      </c>
      <c r="J410" s="2">
        <f>ABS(Data[[#This Row],[Betrag]])</f>
        <v>35</v>
      </c>
      <c r="K410" s="66" t="str">
        <f>IF(Data[[#This Row],[Betrag]]&lt;0,"A","E")</f>
        <v>A</v>
      </c>
    </row>
    <row r="411" spans="1:11" x14ac:dyDescent="0.25">
      <c r="A411" s="1">
        <v>42414</v>
      </c>
      <c r="B411" s="66" t="s">
        <v>45</v>
      </c>
      <c r="C411" s="66" t="s">
        <v>46</v>
      </c>
      <c r="D411" t="s">
        <v>47</v>
      </c>
      <c r="E411">
        <v>1000</v>
      </c>
      <c r="F411" s="66" t="s">
        <v>7</v>
      </c>
      <c r="G411" s="66" t="s">
        <v>9</v>
      </c>
      <c r="H411" s="66" t="str">
        <f>TEXT(Data[[#This Row],[Buchung]],"MMM")</f>
        <v>Feb</v>
      </c>
      <c r="I411" s="67">
        <f>YEAR(Data[[#This Row],[Buchung]])</f>
        <v>2016</v>
      </c>
      <c r="J411" s="2">
        <f>ABS(Data[[#This Row],[Betrag]])</f>
        <v>1000</v>
      </c>
      <c r="K411" s="66" t="str">
        <f>IF(Data[[#This Row],[Betrag]]&lt;0,"A","E")</f>
        <v>E</v>
      </c>
    </row>
    <row r="412" spans="1:11" x14ac:dyDescent="0.25">
      <c r="A412" s="1">
        <v>42415</v>
      </c>
      <c r="B412" s="66" t="s">
        <v>45</v>
      </c>
      <c r="C412" s="66" t="s">
        <v>46</v>
      </c>
      <c r="D412" t="s">
        <v>47</v>
      </c>
      <c r="E412">
        <v>1000</v>
      </c>
      <c r="F412" s="66" t="s">
        <v>7</v>
      </c>
      <c r="G412" s="66" t="s">
        <v>9</v>
      </c>
      <c r="H412" s="66" t="str">
        <f>TEXT(Data[[#This Row],[Buchung]],"MMM")</f>
        <v>Feb</v>
      </c>
      <c r="I412" s="67">
        <f>YEAR(Data[[#This Row],[Buchung]])</f>
        <v>2016</v>
      </c>
      <c r="J412" s="2">
        <f>ABS(Data[[#This Row],[Betrag]])</f>
        <v>1000</v>
      </c>
      <c r="K412" s="66" t="str">
        <f>IF(Data[[#This Row],[Betrag]]&lt;0,"A","E")</f>
        <v>E</v>
      </c>
    </row>
    <row r="413" spans="1:11" x14ac:dyDescent="0.25">
      <c r="A413" s="1">
        <v>42416</v>
      </c>
      <c r="B413" s="66" t="s">
        <v>48</v>
      </c>
      <c r="C413" s="66" t="s">
        <v>49</v>
      </c>
      <c r="D413" t="s">
        <v>50</v>
      </c>
      <c r="E413">
        <v>-15</v>
      </c>
      <c r="F413" s="66" t="s">
        <v>7</v>
      </c>
      <c r="G413" s="66" t="s">
        <v>8</v>
      </c>
      <c r="H413" s="66" t="str">
        <f>TEXT(Data[[#This Row],[Buchung]],"MMM")</f>
        <v>Feb</v>
      </c>
      <c r="I413" s="67">
        <f>YEAR(Data[[#This Row],[Buchung]])</f>
        <v>2016</v>
      </c>
      <c r="J413" s="2">
        <f>ABS(Data[[#This Row],[Betrag]])</f>
        <v>15</v>
      </c>
      <c r="K413" s="66" t="str">
        <f>IF(Data[[#This Row],[Betrag]]&lt;0,"A","E")</f>
        <v>A</v>
      </c>
    </row>
    <row r="414" spans="1:11" x14ac:dyDescent="0.25">
      <c r="A414" s="1">
        <v>42417</v>
      </c>
      <c r="B414" s="66" t="s">
        <v>51</v>
      </c>
      <c r="C414" s="66" t="s">
        <v>52</v>
      </c>
      <c r="D414" t="s">
        <v>53</v>
      </c>
      <c r="E414">
        <v>-350</v>
      </c>
      <c r="F414" s="66" t="s">
        <v>7</v>
      </c>
      <c r="G414" s="66" t="s">
        <v>11</v>
      </c>
      <c r="H414" s="66" t="str">
        <f>TEXT(Data[[#This Row],[Buchung]],"MMM")</f>
        <v>Feb</v>
      </c>
      <c r="I414" s="67">
        <f>YEAR(Data[[#This Row],[Buchung]])</f>
        <v>2016</v>
      </c>
      <c r="J414" s="2">
        <f>ABS(Data[[#This Row],[Betrag]])</f>
        <v>350</v>
      </c>
      <c r="K414" s="66" t="str">
        <f>IF(Data[[#This Row],[Betrag]]&lt;0,"A","E")</f>
        <v>A</v>
      </c>
    </row>
    <row r="415" spans="1:11" x14ac:dyDescent="0.25">
      <c r="A415" s="1">
        <v>42418</v>
      </c>
      <c r="B415" s="66" t="s">
        <v>54</v>
      </c>
      <c r="C415" s="66" t="s">
        <v>55</v>
      </c>
      <c r="D415" t="s">
        <v>56</v>
      </c>
      <c r="E415">
        <v>-120</v>
      </c>
      <c r="F415" s="66" t="s">
        <v>7</v>
      </c>
      <c r="G415" s="66" t="s">
        <v>57</v>
      </c>
      <c r="H415" s="66" t="str">
        <f>TEXT(Data[[#This Row],[Buchung]],"MMM")</f>
        <v>Feb</v>
      </c>
      <c r="I415" s="67">
        <f>YEAR(Data[[#This Row],[Buchung]])</f>
        <v>2016</v>
      </c>
      <c r="J415" s="2">
        <f>ABS(Data[[#This Row],[Betrag]])</f>
        <v>120</v>
      </c>
      <c r="K415" s="66" t="str">
        <f>IF(Data[[#This Row],[Betrag]]&lt;0,"A","E")</f>
        <v>A</v>
      </c>
    </row>
    <row r="416" spans="1:11" x14ac:dyDescent="0.25">
      <c r="A416" s="1">
        <v>42419</v>
      </c>
      <c r="B416" s="66" t="s">
        <v>58</v>
      </c>
      <c r="C416" s="66" t="s">
        <v>59</v>
      </c>
      <c r="D416" t="s">
        <v>60</v>
      </c>
      <c r="E416">
        <v>-50</v>
      </c>
      <c r="F416" s="66" t="s">
        <v>7</v>
      </c>
      <c r="G416" s="66" t="s">
        <v>10</v>
      </c>
      <c r="H416" s="66" t="str">
        <f>TEXT(Data[[#This Row],[Buchung]],"MMM")</f>
        <v>Feb</v>
      </c>
      <c r="I416" s="67">
        <f>YEAR(Data[[#This Row],[Buchung]])</f>
        <v>2016</v>
      </c>
      <c r="J416" s="2">
        <f>ABS(Data[[#This Row],[Betrag]])</f>
        <v>50</v>
      </c>
      <c r="K416" s="66" t="str">
        <f>IF(Data[[#This Row],[Betrag]]&lt;0,"A","E")</f>
        <v>A</v>
      </c>
    </row>
    <row r="417" spans="1:11" x14ac:dyDescent="0.25">
      <c r="A417" s="1">
        <v>42420</v>
      </c>
      <c r="B417" s="66" t="s">
        <v>45</v>
      </c>
      <c r="C417" s="66" t="s">
        <v>46</v>
      </c>
      <c r="D417" t="s">
        <v>47</v>
      </c>
      <c r="E417">
        <v>1000</v>
      </c>
      <c r="F417" s="66" t="s">
        <v>7</v>
      </c>
      <c r="G417" s="66" t="s">
        <v>9</v>
      </c>
      <c r="H417" s="66" t="str">
        <f>TEXT(Data[[#This Row],[Buchung]],"MMM")</f>
        <v>Feb</v>
      </c>
      <c r="I417" s="67">
        <f>YEAR(Data[[#This Row],[Buchung]])</f>
        <v>2016</v>
      </c>
      <c r="J417" s="2">
        <f>ABS(Data[[#This Row],[Betrag]])</f>
        <v>1000</v>
      </c>
      <c r="K417" s="66" t="str">
        <f>IF(Data[[#This Row],[Betrag]]&lt;0,"A","E")</f>
        <v>E</v>
      </c>
    </row>
    <row r="418" spans="1:11" x14ac:dyDescent="0.25">
      <c r="A418" s="1">
        <v>42421</v>
      </c>
      <c r="B418" s="66" t="s">
        <v>61</v>
      </c>
      <c r="C418" s="66" t="s">
        <v>49</v>
      </c>
      <c r="D418" t="s">
        <v>62</v>
      </c>
      <c r="E418">
        <v>-10</v>
      </c>
      <c r="F418" s="66" t="s">
        <v>7</v>
      </c>
      <c r="G418" s="66" t="s">
        <v>8</v>
      </c>
      <c r="H418" s="66" t="str">
        <f>TEXT(Data[[#This Row],[Buchung]],"MMM")</f>
        <v>Feb</v>
      </c>
      <c r="I418" s="67">
        <f>YEAR(Data[[#This Row],[Buchung]])</f>
        <v>2016</v>
      </c>
      <c r="J418" s="2">
        <f>ABS(Data[[#This Row],[Betrag]])</f>
        <v>10</v>
      </c>
      <c r="K418" s="66" t="str">
        <f>IF(Data[[#This Row],[Betrag]]&lt;0,"A","E")</f>
        <v>A</v>
      </c>
    </row>
    <row r="419" spans="1:11" x14ac:dyDescent="0.25">
      <c r="A419" s="1">
        <v>42422</v>
      </c>
      <c r="B419" s="66" t="s">
        <v>63</v>
      </c>
      <c r="C419" s="66" t="s">
        <v>64</v>
      </c>
      <c r="D419" t="s">
        <v>65</v>
      </c>
      <c r="E419">
        <v>-60</v>
      </c>
      <c r="F419" s="66" t="s">
        <v>7</v>
      </c>
      <c r="G419" s="66" t="s">
        <v>11</v>
      </c>
      <c r="H419" s="66" t="str">
        <f>TEXT(Data[[#This Row],[Buchung]],"MMM")</f>
        <v>Feb</v>
      </c>
      <c r="I419" s="67">
        <f>YEAR(Data[[#This Row],[Buchung]])</f>
        <v>2016</v>
      </c>
      <c r="J419" s="2">
        <f>ABS(Data[[#This Row],[Betrag]])</f>
        <v>60</v>
      </c>
      <c r="K419" s="66" t="str">
        <f>IF(Data[[#This Row],[Betrag]]&lt;0,"A","E")</f>
        <v>A</v>
      </c>
    </row>
    <row r="420" spans="1:11" x14ac:dyDescent="0.25">
      <c r="A420" s="1">
        <v>42423</v>
      </c>
      <c r="B420" s="66" t="s">
        <v>54</v>
      </c>
      <c r="C420" s="66" t="s">
        <v>55</v>
      </c>
      <c r="D420" t="s">
        <v>66</v>
      </c>
      <c r="E420">
        <v>-80</v>
      </c>
      <c r="F420" s="66" t="s">
        <v>7</v>
      </c>
      <c r="G420" s="66" t="s">
        <v>57</v>
      </c>
      <c r="H420" s="66" t="str">
        <f>TEXT(Data[[#This Row],[Buchung]],"MMM")</f>
        <v>Feb</v>
      </c>
      <c r="I420" s="67">
        <f>YEAR(Data[[#This Row],[Buchung]])</f>
        <v>2016</v>
      </c>
      <c r="J420" s="2">
        <f>ABS(Data[[#This Row],[Betrag]])</f>
        <v>80</v>
      </c>
      <c r="K420" s="66" t="str">
        <f>IF(Data[[#This Row],[Betrag]]&lt;0,"A","E")</f>
        <v>A</v>
      </c>
    </row>
    <row r="421" spans="1:11" x14ac:dyDescent="0.25">
      <c r="A421" s="1">
        <v>42424</v>
      </c>
      <c r="B421" s="66" t="s">
        <v>67</v>
      </c>
      <c r="C421" s="66" t="s">
        <v>59</v>
      </c>
      <c r="D421" t="s">
        <v>68</v>
      </c>
      <c r="E421">
        <v>-20</v>
      </c>
      <c r="F421" s="66" t="s">
        <v>7</v>
      </c>
      <c r="G421" s="66" t="s">
        <v>10</v>
      </c>
      <c r="H421" s="66" t="str">
        <f>TEXT(Data[[#This Row],[Buchung]],"MMM")</f>
        <v>Feb</v>
      </c>
      <c r="I421" s="67">
        <f>YEAR(Data[[#This Row],[Buchung]])</f>
        <v>2016</v>
      </c>
      <c r="J421" s="2">
        <f>ABS(Data[[#This Row],[Betrag]])</f>
        <v>20</v>
      </c>
      <c r="K421" s="66" t="str">
        <f>IF(Data[[#This Row],[Betrag]]&lt;0,"A","E")</f>
        <v>A</v>
      </c>
    </row>
    <row r="422" spans="1:11" x14ac:dyDescent="0.25">
      <c r="A422" s="1">
        <v>42425</v>
      </c>
      <c r="B422" s="66" t="s">
        <v>45</v>
      </c>
      <c r="C422" s="66" t="s">
        <v>46</v>
      </c>
      <c r="D422" t="s">
        <v>47</v>
      </c>
      <c r="E422">
        <v>1000</v>
      </c>
      <c r="F422" s="66" t="s">
        <v>7</v>
      </c>
      <c r="G422" s="66" t="s">
        <v>9</v>
      </c>
      <c r="H422" s="66" t="str">
        <f>TEXT(Data[[#This Row],[Buchung]],"MMM")</f>
        <v>Feb</v>
      </c>
      <c r="I422" s="67">
        <f>YEAR(Data[[#This Row],[Buchung]])</f>
        <v>2016</v>
      </c>
      <c r="J422" s="2">
        <f>ABS(Data[[#This Row],[Betrag]])</f>
        <v>1000</v>
      </c>
      <c r="K422" s="66" t="str">
        <f>IF(Data[[#This Row],[Betrag]]&lt;0,"A","E")</f>
        <v>E</v>
      </c>
    </row>
    <row r="423" spans="1:11" x14ac:dyDescent="0.25">
      <c r="A423" s="1">
        <v>42426</v>
      </c>
      <c r="B423" s="66" t="s">
        <v>48</v>
      </c>
      <c r="C423" s="66" t="s">
        <v>49</v>
      </c>
      <c r="D423" t="s">
        <v>50</v>
      </c>
      <c r="E423">
        <v>-15</v>
      </c>
      <c r="F423" s="66" t="s">
        <v>7</v>
      </c>
      <c r="G423" s="66" t="s">
        <v>8</v>
      </c>
      <c r="H423" s="66" t="str">
        <f>TEXT(Data[[#This Row],[Buchung]],"MMM")</f>
        <v>Feb</v>
      </c>
      <c r="I423" s="67">
        <f>YEAR(Data[[#This Row],[Buchung]])</f>
        <v>2016</v>
      </c>
      <c r="J423" s="2">
        <f>ABS(Data[[#This Row],[Betrag]])</f>
        <v>15</v>
      </c>
      <c r="K423" s="66" t="str">
        <f>IF(Data[[#This Row],[Betrag]]&lt;0,"A","E")</f>
        <v>A</v>
      </c>
    </row>
    <row r="424" spans="1:11" x14ac:dyDescent="0.25">
      <c r="A424" s="1">
        <v>42427</v>
      </c>
      <c r="B424" s="66" t="s">
        <v>51</v>
      </c>
      <c r="C424" s="66" t="s">
        <v>52</v>
      </c>
      <c r="D424" t="s">
        <v>53</v>
      </c>
      <c r="E424">
        <v>-350</v>
      </c>
      <c r="F424" s="66" t="s">
        <v>7</v>
      </c>
      <c r="G424" s="66" t="s">
        <v>11</v>
      </c>
      <c r="H424" s="66" t="str">
        <f>TEXT(Data[[#This Row],[Buchung]],"MMM")</f>
        <v>Feb</v>
      </c>
      <c r="I424" s="67">
        <f>YEAR(Data[[#This Row],[Buchung]])</f>
        <v>2016</v>
      </c>
      <c r="J424" s="2">
        <f>ABS(Data[[#This Row],[Betrag]])</f>
        <v>350</v>
      </c>
      <c r="K424" s="66" t="str">
        <f>IF(Data[[#This Row],[Betrag]]&lt;0,"A","E")</f>
        <v>A</v>
      </c>
    </row>
    <row r="425" spans="1:11" x14ac:dyDescent="0.25">
      <c r="A425" s="1">
        <v>42428</v>
      </c>
      <c r="B425" s="66" t="s">
        <v>54</v>
      </c>
      <c r="C425" s="66" t="s">
        <v>55</v>
      </c>
      <c r="D425" t="s">
        <v>56</v>
      </c>
      <c r="E425">
        <v>-120</v>
      </c>
      <c r="F425" s="66" t="s">
        <v>7</v>
      </c>
      <c r="G425" s="66" t="s">
        <v>57</v>
      </c>
      <c r="H425" s="66" t="str">
        <f>TEXT(Data[[#This Row],[Buchung]],"MMM")</f>
        <v>Feb</v>
      </c>
      <c r="I425" s="67">
        <f>YEAR(Data[[#This Row],[Buchung]])</f>
        <v>2016</v>
      </c>
      <c r="J425" s="2">
        <f>ABS(Data[[#This Row],[Betrag]])</f>
        <v>120</v>
      </c>
      <c r="K425" s="66" t="str">
        <f>IF(Data[[#This Row],[Betrag]]&lt;0,"A","E")</f>
        <v>A</v>
      </c>
    </row>
    <row r="426" spans="1:11" x14ac:dyDescent="0.25">
      <c r="A426" s="1">
        <v>42429</v>
      </c>
      <c r="B426" s="66" t="s">
        <v>58</v>
      </c>
      <c r="C426" s="66" t="s">
        <v>59</v>
      </c>
      <c r="D426" t="s">
        <v>60</v>
      </c>
      <c r="E426">
        <v>-60</v>
      </c>
      <c r="F426" s="66" t="s">
        <v>7</v>
      </c>
      <c r="G426" s="66" t="s">
        <v>10</v>
      </c>
      <c r="H426" s="66" t="str">
        <f>TEXT(Data[[#This Row],[Buchung]],"MMM")</f>
        <v>Feb</v>
      </c>
      <c r="I426" s="67">
        <f>YEAR(Data[[#This Row],[Buchung]])</f>
        <v>2016</v>
      </c>
      <c r="J426" s="2">
        <f>ABS(Data[[#This Row],[Betrag]])</f>
        <v>60</v>
      </c>
      <c r="K426" s="66" t="str">
        <f>IF(Data[[#This Row],[Betrag]]&lt;0,"A","E")</f>
        <v>A</v>
      </c>
    </row>
    <row r="427" spans="1:11" x14ac:dyDescent="0.25">
      <c r="A427" s="1">
        <v>42430</v>
      </c>
      <c r="B427" s="66" t="s">
        <v>45</v>
      </c>
      <c r="C427" s="66" t="s">
        <v>46</v>
      </c>
      <c r="D427" t="s">
        <v>47</v>
      </c>
      <c r="E427">
        <v>1000</v>
      </c>
      <c r="F427" s="66" t="s">
        <v>7</v>
      </c>
      <c r="G427" s="66" t="s">
        <v>9</v>
      </c>
      <c r="H427" s="66" t="str">
        <f>TEXT(Data[[#This Row],[Buchung]],"MMM")</f>
        <v>Mrz</v>
      </c>
      <c r="I427" s="67">
        <f>YEAR(Data[[#This Row],[Buchung]])</f>
        <v>2016</v>
      </c>
      <c r="J427" s="2">
        <f>ABS(Data[[#This Row],[Betrag]])</f>
        <v>1000</v>
      </c>
      <c r="K427" s="66" t="str">
        <f>IF(Data[[#This Row],[Betrag]]&lt;0,"A","E")</f>
        <v>E</v>
      </c>
    </row>
    <row r="428" spans="1:11" x14ac:dyDescent="0.25">
      <c r="A428" s="1">
        <v>42431</v>
      </c>
      <c r="B428" s="66" t="s">
        <v>61</v>
      </c>
      <c r="C428" s="66" t="s">
        <v>49</v>
      </c>
      <c r="D428" t="s">
        <v>62</v>
      </c>
      <c r="E428">
        <v>-10</v>
      </c>
      <c r="F428" s="66" t="s">
        <v>7</v>
      </c>
      <c r="G428" s="66" t="s">
        <v>8</v>
      </c>
      <c r="H428" s="66" t="str">
        <f>TEXT(Data[[#This Row],[Buchung]],"MMM")</f>
        <v>Mrz</v>
      </c>
      <c r="I428" s="67">
        <f>YEAR(Data[[#This Row],[Buchung]])</f>
        <v>2016</v>
      </c>
      <c r="J428" s="2">
        <f>ABS(Data[[#This Row],[Betrag]])</f>
        <v>10</v>
      </c>
      <c r="K428" s="66" t="str">
        <f>IF(Data[[#This Row],[Betrag]]&lt;0,"A","E")</f>
        <v>A</v>
      </c>
    </row>
    <row r="429" spans="1:11" x14ac:dyDescent="0.25">
      <c r="A429" s="1">
        <v>42432</v>
      </c>
      <c r="B429" s="66" t="s">
        <v>63</v>
      </c>
      <c r="C429" s="66" t="s">
        <v>64</v>
      </c>
      <c r="D429" t="s">
        <v>65</v>
      </c>
      <c r="E429">
        <v>-70</v>
      </c>
      <c r="F429" s="66" t="s">
        <v>7</v>
      </c>
      <c r="G429" s="66" t="s">
        <v>11</v>
      </c>
      <c r="H429" s="66" t="str">
        <f>TEXT(Data[[#This Row],[Buchung]],"MMM")</f>
        <v>Mrz</v>
      </c>
      <c r="I429" s="67">
        <f>YEAR(Data[[#This Row],[Buchung]])</f>
        <v>2016</v>
      </c>
      <c r="J429" s="2">
        <f>ABS(Data[[#This Row],[Betrag]])</f>
        <v>70</v>
      </c>
      <c r="K429" s="66" t="str">
        <f>IF(Data[[#This Row],[Betrag]]&lt;0,"A","E")</f>
        <v>A</v>
      </c>
    </row>
    <row r="430" spans="1:11" x14ac:dyDescent="0.25">
      <c r="A430" s="1">
        <v>42433</v>
      </c>
      <c r="B430" s="66" t="s">
        <v>54</v>
      </c>
      <c r="C430" s="66" t="s">
        <v>55</v>
      </c>
      <c r="D430" t="s">
        <v>66</v>
      </c>
      <c r="E430">
        <v>-80</v>
      </c>
      <c r="F430" s="66" t="s">
        <v>7</v>
      </c>
      <c r="G430" s="66" t="s">
        <v>57</v>
      </c>
      <c r="H430" s="66" t="str">
        <f>TEXT(Data[[#This Row],[Buchung]],"MMM")</f>
        <v>Mrz</v>
      </c>
      <c r="I430" s="67">
        <f>YEAR(Data[[#This Row],[Buchung]])</f>
        <v>2016</v>
      </c>
      <c r="J430" s="2">
        <f>ABS(Data[[#This Row],[Betrag]])</f>
        <v>80</v>
      </c>
      <c r="K430" s="66" t="str">
        <f>IF(Data[[#This Row],[Betrag]]&lt;0,"A","E")</f>
        <v>A</v>
      </c>
    </row>
    <row r="431" spans="1:11" x14ac:dyDescent="0.25">
      <c r="A431" s="1">
        <v>42434</v>
      </c>
      <c r="B431" s="66" t="s">
        <v>67</v>
      </c>
      <c r="C431" s="66" t="s">
        <v>59</v>
      </c>
      <c r="D431" t="s">
        <v>68</v>
      </c>
      <c r="E431">
        <v>-25</v>
      </c>
      <c r="F431" s="66" t="s">
        <v>7</v>
      </c>
      <c r="G431" s="66" t="s">
        <v>10</v>
      </c>
      <c r="H431" s="66" t="str">
        <f>TEXT(Data[[#This Row],[Buchung]],"MMM")</f>
        <v>Mrz</v>
      </c>
      <c r="I431" s="67">
        <f>YEAR(Data[[#This Row],[Buchung]])</f>
        <v>2016</v>
      </c>
      <c r="J431" s="2">
        <f>ABS(Data[[#This Row],[Betrag]])</f>
        <v>25</v>
      </c>
      <c r="K431" s="66" t="str">
        <f>IF(Data[[#This Row],[Betrag]]&lt;0,"A","E")</f>
        <v>A</v>
      </c>
    </row>
    <row r="432" spans="1:11" x14ac:dyDescent="0.25">
      <c r="A432" s="1">
        <v>42435</v>
      </c>
      <c r="B432" s="66" t="s">
        <v>45</v>
      </c>
      <c r="C432" s="66" t="s">
        <v>46</v>
      </c>
      <c r="D432" t="s">
        <v>47</v>
      </c>
      <c r="E432">
        <v>1000</v>
      </c>
      <c r="F432" s="66" t="s">
        <v>7</v>
      </c>
      <c r="G432" s="66" t="s">
        <v>9</v>
      </c>
      <c r="H432" s="66" t="str">
        <f>TEXT(Data[[#This Row],[Buchung]],"MMM")</f>
        <v>Mrz</v>
      </c>
      <c r="I432" s="67">
        <f>YEAR(Data[[#This Row],[Buchung]])</f>
        <v>2016</v>
      </c>
      <c r="J432" s="2">
        <f>ABS(Data[[#This Row],[Betrag]])</f>
        <v>1000</v>
      </c>
      <c r="K432" s="66" t="str">
        <f>IF(Data[[#This Row],[Betrag]]&lt;0,"A","E")</f>
        <v>E</v>
      </c>
    </row>
    <row r="433" spans="1:11" x14ac:dyDescent="0.25">
      <c r="A433" s="1">
        <v>42436</v>
      </c>
      <c r="B433" s="66" t="s">
        <v>48</v>
      </c>
      <c r="C433" s="66" t="s">
        <v>49</v>
      </c>
      <c r="D433" t="s">
        <v>50</v>
      </c>
      <c r="E433">
        <v>-15</v>
      </c>
      <c r="F433" s="66" t="s">
        <v>7</v>
      </c>
      <c r="G433" s="66" t="s">
        <v>8</v>
      </c>
      <c r="H433" s="66" t="str">
        <f>TEXT(Data[[#This Row],[Buchung]],"MMM")</f>
        <v>Mrz</v>
      </c>
      <c r="I433" s="67">
        <f>YEAR(Data[[#This Row],[Buchung]])</f>
        <v>2016</v>
      </c>
      <c r="J433" s="2">
        <f>ABS(Data[[#This Row],[Betrag]])</f>
        <v>15</v>
      </c>
      <c r="K433" s="66" t="str">
        <f>IF(Data[[#This Row],[Betrag]]&lt;0,"A","E")</f>
        <v>A</v>
      </c>
    </row>
    <row r="434" spans="1:11" x14ac:dyDescent="0.25">
      <c r="A434" s="1">
        <v>42437</v>
      </c>
      <c r="B434" s="66" t="s">
        <v>51</v>
      </c>
      <c r="C434" s="66" t="s">
        <v>52</v>
      </c>
      <c r="D434" t="s">
        <v>53</v>
      </c>
      <c r="E434">
        <v>-350</v>
      </c>
      <c r="F434" s="66" t="s">
        <v>7</v>
      </c>
      <c r="G434" s="66" t="s">
        <v>11</v>
      </c>
      <c r="H434" s="66" t="str">
        <f>TEXT(Data[[#This Row],[Buchung]],"MMM")</f>
        <v>Mrz</v>
      </c>
      <c r="I434" s="67">
        <f>YEAR(Data[[#This Row],[Buchung]])</f>
        <v>2016</v>
      </c>
      <c r="J434" s="2">
        <f>ABS(Data[[#This Row],[Betrag]])</f>
        <v>350</v>
      </c>
      <c r="K434" s="66" t="str">
        <f>IF(Data[[#This Row],[Betrag]]&lt;0,"A","E")</f>
        <v>A</v>
      </c>
    </row>
    <row r="435" spans="1:11" x14ac:dyDescent="0.25">
      <c r="A435" s="1">
        <v>42438</v>
      </c>
      <c r="B435" s="66" t="s">
        <v>54</v>
      </c>
      <c r="C435" s="66" t="s">
        <v>55</v>
      </c>
      <c r="D435" t="s">
        <v>56</v>
      </c>
      <c r="E435">
        <v>-120</v>
      </c>
      <c r="F435" s="66" t="s">
        <v>7</v>
      </c>
      <c r="G435" s="66" t="s">
        <v>57</v>
      </c>
      <c r="H435" s="66" t="str">
        <f>TEXT(Data[[#This Row],[Buchung]],"MMM")</f>
        <v>Mrz</v>
      </c>
      <c r="I435" s="67">
        <f>YEAR(Data[[#This Row],[Buchung]])</f>
        <v>2016</v>
      </c>
      <c r="J435" s="2">
        <f>ABS(Data[[#This Row],[Betrag]])</f>
        <v>120</v>
      </c>
      <c r="K435" s="66" t="str">
        <f>IF(Data[[#This Row],[Betrag]]&lt;0,"A","E")</f>
        <v>A</v>
      </c>
    </row>
    <row r="436" spans="1:11" x14ac:dyDescent="0.25">
      <c r="A436" s="1">
        <v>42439</v>
      </c>
      <c r="B436" s="66" t="s">
        <v>58</v>
      </c>
      <c r="C436" s="66" t="s">
        <v>59</v>
      </c>
      <c r="D436" t="s">
        <v>60</v>
      </c>
      <c r="E436">
        <v>-70</v>
      </c>
      <c r="F436" s="66" t="s">
        <v>7</v>
      </c>
      <c r="G436" s="66" t="s">
        <v>10</v>
      </c>
      <c r="H436" s="66" t="str">
        <f>TEXT(Data[[#This Row],[Buchung]],"MMM")</f>
        <v>Mrz</v>
      </c>
      <c r="I436" s="67">
        <f>YEAR(Data[[#This Row],[Buchung]])</f>
        <v>2016</v>
      </c>
      <c r="J436" s="2">
        <f>ABS(Data[[#This Row],[Betrag]])</f>
        <v>70</v>
      </c>
      <c r="K436" s="66" t="str">
        <f>IF(Data[[#This Row],[Betrag]]&lt;0,"A","E")</f>
        <v>A</v>
      </c>
    </row>
    <row r="437" spans="1:11" x14ac:dyDescent="0.25">
      <c r="A437" s="1">
        <v>42440</v>
      </c>
      <c r="B437" s="66" t="s">
        <v>45</v>
      </c>
      <c r="C437" s="66" t="s">
        <v>46</v>
      </c>
      <c r="D437" t="s">
        <v>47</v>
      </c>
      <c r="E437">
        <v>1000</v>
      </c>
      <c r="F437" s="66" t="s">
        <v>7</v>
      </c>
      <c r="G437" s="66" t="s">
        <v>9</v>
      </c>
      <c r="H437" s="66" t="str">
        <f>TEXT(Data[[#This Row],[Buchung]],"MMM")</f>
        <v>Mrz</v>
      </c>
      <c r="I437" s="67">
        <f>YEAR(Data[[#This Row],[Buchung]])</f>
        <v>2016</v>
      </c>
      <c r="J437" s="2">
        <f>ABS(Data[[#This Row],[Betrag]])</f>
        <v>1000</v>
      </c>
      <c r="K437" s="66" t="str">
        <f>IF(Data[[#This Row],[Betrag]]&lt;0,"A","E")</f>
        <v>E</v>
      </c>
    </row>
    <row r="438" spans="1:11" x14ac:dyDescent="0.25">
      <c r="A438" s="1">
        <v>42441</v>
      </c>
      <c r="B438" s="66" t="s">
        <v>61</v>
      </c>
      <c r="C438" s="66" t="s">
        <v>49</v>
      </c>
      <c r="D438" t="s">
        <v>62</v>
      </c>
      <c r="E438">
        <v>-10</v>
      </c>
      <c r="F438" s="66" t="s">
        <v>7</v>
      </c>
      <c r="G438" s="66" t="s">
        <v>8</v>
      </c>
      <c r="H438" s="66" t="str">
        <f>TEXT(Data[[#This Row],[Buchung]],"MMM")</f>
        <v>Mrz</v>
      </c>
      <c r="I438" s="67">
        <f>YEAR(Data[[#This Row],[Buchung]])</f>
        <v>2016</v>
      </c>
      <c r="J438" s="2">
        <f>ABS(Data[[#This Row],[Betrag]])</f>
        <v>10</v>
      </c>
      <c r="K438" s="66" t="str">
        <f>IF(Data[[#This Row],[Betrag]]&lt;0,"A","E")</f>
        <v>A</v>
      </c>
    </row>
    <row r="439" spans="1:11" x14ac:dyDescent="0.25">
      <c r="A439" s="1">
        <v>42442</v>
      </c>
      <c r="B439" s="66" t="s">
        <v>63</v>
      </c>
      <c r="C439" s="66" t="s">
        <v>64</v>
      </c>
      <c r="D439" t="s">
        <v>65</v>
      </c>
      <c r="E439">
        <v>-60</v>
      </c>
      <c r="F439" s="66" t="s">
        <v>7</v>
      </c>
      <c r="G439" s="66" t="s">
        <v>11</v>
      </c>
      <c r="H439" s="66" t="str">
        <f>TEXT(Data[[#This Row],[Buchung]],"MMM")</f>
        <v>Mrz</v>
      </c>
      <c r="I439" s="67">
        <f>YEAR(Data[[#This Row],[Buchung]])</f>
        <v>2016</v>
      </c>
      <c r="J439" s="2">
        <f>ABS(Data[[#This Row],[Betrag]])</f>
        <v>60</v>
      </c>
      <c r="K439" s="66" t="str">
        <f>IF(Data[[#This Row],[Betrag]]&lt;0,"A","E")</f>
        <v>A</v>
      </c>
    </row>
    <row r="440" spans="1:11" x14ac:dyDescent="0.25">
      <c r="A440" s="1">
        <v>42443</v>
      </c>
      <c r="B440" s="66" t="s">
        <v>54</v>
      </c>
      <c r="C440" s="66" t="s">
        <v>55</v>
      </c>
      <c r="D440" t="s">
        <v>66</v>
      </c>
      <c r="E440">
        <v>-80</v>
      </c>
      <c r="F440" s="66" t="s">
        <v>7</v>
      </c>
      <c r="G440" s="66" t="s">
        <v>57</v>
      </c>
      <c r="H440" s="66" t="str">
        <f>TEXT(Data[[#This Row],[Buchung]],"MMM")</f>
        <v>Mrz</v>
      </c>
      <c r="I440" s="67">
        <f>YEAR(Data[[#This Row],[Buchung]])</f>
        <v>2016</v>
      </c>
      <c r="J440" s="2">
        <f>ABS(Data[[#This Row],[Betrag]])</f>
        <v>80</v>
      </c>
      <c r="K440" s="66" t="str">
        <f>IF(Data[[#This Row],[Betrag]]&lt;0,"A","E")</f>
        <v>A</v>
      </c>
    </row>
    <row r="441" spans="1:11" x14ac:dyDescent="0.25">
      <c r="A441" s="1">
        <v>42444</v>
      </c>
      <c r="B441" s="66" t="s">
        <v>67</v>
      </c>
      <c r="C441" s="66" t="s">
        <v>59</v>
      </c>
      <c r="D441" t="s">
        <v>68</v>
      </c>
      <c r="E441">
        <v>-30</v>
      </c>
      <c r="F441" s="66" t="s">
        <v>7</v>
      </c>
      <c r="G441" s="66" t="s">
        <v>10</v>
      </c>
      <c r="H441" s="66" t="str">
        <f>TEXT(Data[[#This Row],[Buchung]],"MMM")</f>
        <v>Mrz</v>
      </c>
      <c r="I441" s="67">
        <f>YEAR(Data[[#This Row],[Buchung]])</f>
        <v>2016</v>
      </c>
      <c r="J441" s="2">
        <f>ABS(Data[[#This Row],[Betrag]])</f>
        <v>30</v>
      </c>
      <c r="K441" s="66" t="str">
        <f>IF(Data[[#This Row],[Betrag]]&lt;0,"A","E")</f>
        <v>A</v>
      </c>
    </row>
    <row r="442" spans="1:11" x14ac:dyDescent="0.25">
      <c r="A442" s="1">
        <v>42445</v>
      </c>
      <c r="B442" s="66" t="s">
        <v>45</v>
      </c>
      <c r="C442" s="66" t="s">
        <v>46</v>
      </c>
      <c r="D442" t="s">
        <v>47</v>
      </c>
      <c r="E442">
        <v>1000</v>
      </c>
      <c r="F442" s="66" t="s">
        <v>7</v>
      </c>
      <c r="G442" s="66" t="s">
        <v>9</v>
      </c>
      <c r="H442" s="66" t="str">
        <f>TEXT(Data[[#This Row],[Buchung]],"MMM")</f>
        <v>Mrz</v>
      </c>
      <c r="I442" s="67">
        <f>YEAR(Data[[#This Row],[Buchung]])</f>
        <v>2016</v>
      </c>
      <c r="J442" s="2">
        <f>ABS(Data[[#This Row],[Betrag]])</f>
        <v>1000</v>
      </c>
      <c r="K442" s="66" t="str">
        <f>IF(Data[[#This Row],[Betrag]]&lt;0,"A","E")</f>
        <v>E</v>
      </c>
    </row>
    <row r="443" spans="1:11" x14ac:dyDescent="0.25">
      <c r="A443" s="1">
        <v>42446</v>
      </c>
      <c r="B443" s="66" t="s">
        <v>48</v>
      </c>
      <c r="C443" s="66" t="s">
        <v>49</v>
      </c>
      <c r="D443" t="s">
        <v>50</v>
      </c>
      <c r="E443">
        <v>-15</v>
      </c>
      <c r="F443" s="66" t="s">
        <v>7</v>
      </c>
      <c r="G443" s="66" t="s">
        <v>8</v>
      </c>
      <c r="H443" s="66" t="str">
        <f>TEXT(Data[[#This Row],[Buchung]],"MMM")</f>
        <v>Mrz</v>
      </c>
      <c r="I443" s="67">
        <f>YEAR(Data[[#This Row],[Buchung]])</f>
        <v>2016</v>
      </c>
      <c r="J443" s="2">
        <f>ABS(Data[[#This Row],[Betrag]])</f>
        <v>15</v>
      </c>
      <c r="K443" s="66" t="str">
        <f>IF(Data[[#This Row],[Betrag]]&lt;0,"A","E")</f>
        <v>A</v>
      </c>
    </row>
    <row r="444" spans="1:11" x14ac:dyDescent="0.25">
      <c r="A444" s="1">
        <v>42447</v>
      </c>
      <c r="B444" s="66" t="s">
        <v>51</v>
      </c>
      <c r="C444" s="66" t="s">
        <v>52</v>
      </c>
      <c r="D444" t="s">
        <v>53</v>
      </c>
      <c r="E444">
        <v>-350</v>
      </c>
      <c r="F444" s="66" t="s">
        <v>7</v>
      </c>
      <c r="G444" s="66" t="s">
        <v>11</v>
      </c>
      <c r="H444" s="66" t="str">
        <f>TEXT(Data[[#This Row],[Buchung]],"MMM")</f>
        <v>Mrz</v>
      </c>
      <c r="I444" s="67">
        <f>YEAR(Data[[#This Row],[Buchung]])</f>
        <v>2016</v>
      </c>
      <c r="J444" s="2">
        <f>ABS(Data[[#This Row],[Betrag]])</f>
        <v>350</v>
      </c>
      <c r="K444" s="66" t="str">
        <f>IF(Data[[#This Row],[Betrag]]&lt;0,"A","E")</f>
        <v>A</v>
      </c>
    </row>
    <row r="445" spans="1:11" x14ac:dyDescent="0.25">
      <c r="A445" s="1">
        <v>42448</v>
      </c>
      <c r="B445" s="66" t="s">
        <v>54</v>
      </c>
      <c r="C445" s="66" t="s">
        <v>55</v>
      </c>
      <c r="D445" t="s">
        <v>56</v>
      </c>
      <c r="E445">
        <v>-120</v>
      </c>
      <c r="F445" s="66" t="s">
        <v>7</v>
      </c>
      <c r="G445" s="66" t="s">
        <v>57</v>
      </c>
      <c r="H445" s="66" t="str">
        <f>TEXT(Data[[#This Row],[Buchung]],"MMM")</f>
        <v>Mrz</v>
      </c>
      <c r="I445" s="67">
        <f>YEAR(Data[[#This Row],[Buchung]])</f>
        <v>2016</v>
      </c>
      <c r="J445" s="2">
        <f>ABS(Data[[#This Row],[Betrag]])</f>
        <v>120</v>
      </c>
      <c r="K445" s="66" t="str">
        <f>IF(Data[[#This Row],[Betrag]]&lt;0,"A","E")</f>
        <v>A</v>
      </c>
    </row>
    <row r="446" spans="1:11" x14ac:dyDescent="0.25">
      <c r="A446" s="1">
        <v>42449</v>
      </c>
      <c r="B446" s="66" t="s">
        <v>58</v>
      </c>
      <c r="C446" s="66" t="s">
        <v>59</v>
      </c>
      <c r="D446" t="s">
        <v>60</v>
      </c>
      <c r="E446">
        <v>-80</v>
      </c>
      <c r="F446" s="66" t="s">
        <v>7</v>
      </c>
      <c r="G446" s="66" t="s">
        <v>10</v>
      </c>
      <c r="H446" s="66" t="str">
        <f>TEXT(Data[[#This Row],[Buchung]],"MMM")</f>
        <v>Mrz</v>
      </c>
      <c r="I446" s="67">
        <f>YEAR(Data[[#This Row],[Buchung]])</f>
        <v>2016</v>
      </c>
      <c r="J446" s="2">
        <f>ABS(Data[[#This Row],[Betrag]])</f>
        <v>80</v>
      </c>
      <c r="K446" s="66" t="str">
        <f>IF(Data[[#This Row],[Betrag]]&lt;0,"A","E")</f>
        <v>A</v>
      </c>
    </row>
    <row r="447" spans="1:11" x14ac:dyDescent="0.25">
      <c r="A447" s="1">
        <v>42450</v>
      </c>
      <c r="B447" s="66" t="s">
        <v>45</v>
      </c>
      <c r="C447" s="66" t="s">
        <v>46</v>
      </c>
      <c r="D447" t="s">
        <v>47</v>
      </c>
      <c r="E447">
        <v>1000</v>
      </c>
      <c r="F447" s="66" t="s">
        <v>7</v>
      </c>
      <c r="G447" s="66" t="s">
        <v>9</v>
      </c>
      <c r="H447" s="66" t="str">
        <f>TEXT(Data[[#This Row],[Buchung]],"MMM")</f>
        <v>Mrz</v>
      </c>
      <c r="I447" s="67">
        <f>YEAR(Data[[#This Row],[Buchung]])</f>
        <v>2016</v>
      </c>
      <c r="J447" s="2">
        <f>ABS(Data[[#This Row],[Betrag]])</f>
        <v>1000</v>
      </c>
      <c r="K447" s="66" t="str">
        <f>IF(Data[[#This Row],[Betrag]]&lt;0,"A","E")</f>
        <v>E</v>
      </c>
    </row>
    <row r="448" spans="1:11" x14ac:dyDescent="0.25">
      <c r="A448" s="1">
        <v>42451</v>
      </c>
      <c r="B448" s="66" t="s">
        <v>61</v>
      </c>
      <c r="C448" s="66" t="s">
        <v>49</v>
      </c>
      <c r="D448" t="s">
        <v>62</v>
      </c>
      <c r="E448">
        <v>-10</v>
      </c>
      <c r="F448" s="66" t="s">
        <v>7</v>
      </c>
      <c r="G448" s="66" t="s">
        <v>8</v>
      </c>
      <c r="H448" s="66" t="str">
        <f>TEXT(Data[[#This Row],[Buchung]],"MMM")</f>
        <v>Mrz</v>
      </c>
      <c r="I448" s="67">
        <f>YEAR(Data[[#This Row],[Buchung]])</f>
        <v>2016</v>
      </c>
      <c r="J448" s="2">
        <f>ABS(Data[[#This Row],[Betrag]])</f>
        <v>10</v>
      </c>
      <c r="K448" s="66" t="str">
        <f>IF(Data[[#This Row],[Betrag]]&lt;0,"A","E")</f>
        <v>A</v>
      </c>
    </row>
    <row r="449" spans="1:11" x14ac:dyDescent="0.25">
      <c r="A449" s="1">
        <v>42452</v>
      </c>
      <c r="B449" s="66" t="s">
        <v>63</v>
      </c>
      <c r="C449" s="66" t="s">
        <v>64</v>
      </c>
      <c r="D449" t="s">
        <v>65</v>
      </c>
      <c r="E449">
        <v>-65</v>
      </c>
      <c r="F449" s="66" t="s">
        <v>7</v>
      </c>
      <c r="G449" s="66" t="s">
        <v>11</v>
      </c>
      <c r="H449" s="66" t="str">
        <f>TEXT(Data[[#This Row],[Buchung]],"MMM")</f>
        <v>Mrz</v>
      </c>
      <c r="I449" s="67">
        <f>YEAR(Data[[#This Row],[Buchung]])</f>
        <v>2016</v>
      </c>
      <c r="J449" s="2">
        <f>ABS(Data[[#This Row],[Betrag]])</f>
        <v>65</v>
      </c>
      <c r="K449" s="66" t="str">
        <f>IF(Data[[#This Row],[Betrag]]&lt;0,"A","E")</f>
        <v>A</v>
      </c>
    </row>
    <row r="450" spans="1:11" x14ac:dyDescent="0.25">
      <c r="A450" s="1">
        <v>42453</v>
      </c>
      <c r="B450" s="66" t="s">
        <v>54</v>
      </c>
      <c r="C450" s="66" t="s">
        <v>55</v>
      </c>
      <c r="D450" t="s">
        <v>66</v>
      </c>
      <c r="E450">
        <v>-80</v>
      </c>
      <c r="F450" s="66" t="s">
        <v>7</v>
      </c>
      <c r="G450" s="66" t="s">
        <v>57</v>
      </c>
      <c r="H450" s="66" t="str">
        <f>TEXT(Data[[#This Row],[Buchung]],"MMM")</f>
        <v>Mrz</v>
      </c>
      <c r="I450" s="67">
        <f>YEAR(Data[[#This Row],[Buchung]])</f>
        <v>2016</v>
      </c>
      <c r="J450" s="2">
        <f>ABS(Data[[#This Row],[Betrag]])</f>
        <v>80</v>
      </c>
      <c r="K450" s="66" t="str">
        <f>IF(Data[[#This Row],[Betrag]]&lt;0,"A","E")</f>
        <v>A</v>
      </c>
    </row>
    <row r="451" spans="1:11" x14ac:dyDescent="0.25">
      <c r="A451" s="1">
        <v>42454</v>
      </c>
      <c r="B451" s="66" t="s">
        <v>67</v>
      </c>
      <c r="C451" s="66" t="s">
        <v>59</v>
      </c>
      <c r="D451" t="s">
        <v>68</v>
      </c>
      <c r="E451">
        <v>-35</v>
      </c>
      <c r="F451" s="66" t="s">
        <v>7</v>
      </c>
      <c r="G451" s="66" t="s">
        <v>10</v>
      </c>
      <c r="H451" s="66" t="str">
        <f>TEXT(Data[[#This Row],[Buchung]],"MMM")</f>
        <v>Mrz</v>
      </c>
      <c r="I451" s="67">
        <f>YEAR(Data[[#This Row],[Buchung]])</f>
        <v>2016</v>
      </c>
      <c r="J451" s="2">
        <f>ABS(Data[[#This Row],[Betrag]])</f>
        <v>35</v>
      </c>
      <c r="K451" s="66" t="str">
        <f>IF(Data[[#This Row],[Betrag]]&lt;0,"A","E")</f>
        <v>A</v>
      </c>
    </row>
    <row r="452" spans="1:11" x14ac:dyDescent="0.25">
      <c r="A452" s="1">
        <v>42455</v>
      </c>
      <c r="B452" s="66" t="s">
        <v>45</v>
      </c>
      <c r="C452" s="66" t="s">
        <v>46</v>
      </c>
      <c r="D452" t="s">
        <v>47</v>
      </c>
      <c r="E452">
        <v>1000</v>
      </c>
      <c r="F452" s="66" t="s">
        <v>7</v>
      </c>
      <c r="G452" s="66" t="s">
        <v>9</v>
      </c>
      <c r="H452" s="66" t="str">
        <f>TEXT(Data[[#This Row],[Buchung]],"MMM")</f>
        <v>Mrz</v>
      </c>
      <c r="I452" s="67">
        <f>YEAR(Data[[#This Row],[Buchung]])</f>
        <v>2016</v>
      </c>
      <c r="J452" s="2">
        <f>ABS(Data[[#This Row],[Betrag]])</f>
        <v>1000</v>
      </c>
      <c r="K452" s="66" t="str">
        <f>IF(Data[[#This Row],[Betrag]]&lt;0,"A","E")</f>
        <v>E</v>
      </c>
    </row>
    <row r="453" spans="1:11" x14ac:dyDescent="0.25">
      <c r="A453" s="1">
        <v>42456</v>
      </c>
      <c r="B453" s="66" t="s">
        <v>45</v>
      </c>
      <c r="C453" s="66" t="s">
        <v>46</v>
      </c>
      <c r="D453" t="s">
        <v>47</v>
      </c>
      <c r="E453">
        <v>1000</v>
      </c>
      <c r="F453" s="66" t="s">
        <v>7</v>
      </c>
      <c r="G453" s="66" t="s">
        <v>9</v>
      </c>
      <c r="H453" s="66" t="str">
        <f>TEXT(Data[[#This Row],[Buchung]],"MMM")</f>
        <v>Mrz</v>
      </c>
      <c r="I453" s="67">
        <f>YEAR(Data[[#This Row],[Buchung]])</f>
        <v>2016</v>
      </c>
      <c r="J453" s="2">
        <f>ABS(Data[[#This Row],[Betrag]])</f>
        <v>1000</v>
      </c>
      <c r="K453" s="66" t="str">
        <f>IF(Data[[#This Row],[Betrag]]&lt;0,"A","E")</f>
        <v>E</v>
      </c>
    </row>
    <row r="454" spans="1:11" x14ac:dyDescent="0.25">
      <c r="A454" s="1">
        <v>42457</v>
      </c>
      <c r="B454" s="66" t="s">
        <v>48</v>
      </c>
      <c r="C454" s="66" t="s">
        <v>49</v>
      </c>
      <c r="D454" t="s">
        <v>50</v>
      </c>
      <c r="E454">
        <v>-15</v>
      </c>
      <c r="F454" s="66" t="s">
        <v>7</v>
      </c>
      <c r="G454" s="66" t="s">
        <v>8</v>
      </c>
      <c r="H454" s="66" t="str">
        <f>TEXT(Data[[#This Row],[Buchung]],"MMM")</f>
        <v>Mrz</v>
      </c>
      <c r="I454" s="67">
        <f>YEAR(Data[[#This Row],[Buchung]])</f>
        <v>2016</v>
      </c>
      <c r="J454" s="2">
        <f>ABS(Data[[#This Row],[Betrag]])</f>
        <v>15</v>
      </c>
      <c r="K454" s="66" t="str">
        <f>IF(Data[[#This Row],[Betrag]]&lt;0,"A","E")</f>
        <v>A</v>
      </c>
    </row>
    <row r="455" spans="1:11" x14ac:dyDescent="0.25">
      <c r="A455" s="1">
        <v>42458</v>
      </c>
      <c r="B455" s="66" t="s">
        <v>51</v>
      </c>
      <c r="C455" s="66" t="s">
        <v>52</v>
      </c>
      <c r="D455" t="s">
        <v>53</v>
      </c>
      <c r="E455">
        <v>-350</v>
      </c>
      <c r="F455" s="66" t="s">
        <v>7</v>
      </c>
      <c r="G455" s="66" t="s">
        <v>11</v>
      </c>
      <c r="H455" s="66" t="str">
        <f>TEXT(Data[[#This Row],[Buchung]],"MMM")</f>
        <v>Mrz</v>
      </c>
      <c r="I455" s="67">
        <f>YEAR(Data[[#This Row],[Buchung]])</f>
        <v>2016</v>
      </c>
      <c r="J455" s="2">
        <f>ABS(Data[[#This Row],[Betrag]])</f>
        <v>350</v>
      </c>
      <c r="K455" s="66" t="str">
        <f>IF(Data[[#This Row],[Betrag]]&lt;0,"A","E")</f>
        <v>A</v>
      </c>
    </row>
    <row r="456" spans="1:11" x14ac:dyDescent="0.25">
      <c r="A456" s="1">
        <v>42459</v>
      </c>
      <c r="B456" s="66" t="s">
        <v>54</v>
      </c>
      <c r="C456" s="66" t="s">
        <v>55</v>
      </c>
      <c r="D456" t="s">
        <v>56</v>
      </c>
      <c r="E456">
        <v>-120</v>
      </c>
      <c r="F456" s="66" t="s">
        <v>7</v>
      </c>
      <c r="G456" s="66" t="s">
        <v>57</v>
      </c>
      <c r="H456" s="66" t="str">
        <f>TEXT(Data[[#This Row],[Buchung]],"MMM")</f>
        <v>Mrz</v>
      </c>
      <c r="I456" s="67">
        <f>YEAR(Data[[#This Row],[Buchung]])</f>
        <v>2016</v>
      </c>
      <c r="J456" s="2">
        <f>ABS(Data[[#This Row],[Betrag]])</f>
        <v>120</v>
      </c>
      <c r="K456" s="66" t="str">
        <f>IF(Data[[#This Row],[Betrag]]&lt;0,"A","E")</f>
        <v>A</v>
      </c>
    </row>
    <row r="457" spans="1:11" x14ac:dyDescent="0.25">
      <c r="A457" s="1">
        <v>42460</v>
      </c>
      <c r="B457" s="66" t="s">
        <v>58</v>
      </c>
      <c r="C457" s="66" t="s">
        <v>59</v>
      </c>
      <c r="D457" t="s">
        <v>60</v>
      </c>
      <c r="E457">
        <v>-50</v>
      </c>
      <c r="F457" s="66" t="s">
        <v>7</v>
      </c>
      <c r="G457" s="66" t="s">
        <v>10</v>
      </c>
      <c r="H457" s="66" t="str">
        <f>TEXT(Data[[#This Row],[Buchung]],"MMM")</f>
        <v>Mrz</v>
      </c>
      <c r="I457" s="67">
        <f>YEAR(Data[[#This Row],[Buchung]])</f>
        <v>2016</v>
      </c>
      <c r="J457" s="2">
        <f>ABS(Data[[#This Row],[Betrag]])</f>
        <v>50</v>
      </c>
      <c r="K457" s="66" t="str">
        <f>IF(Data[[#This Row],[Betrag]]&lt;0,"A","E")</f>
        <v>A</v>
      </c>
    </row>
    <row r="458" spans="1:11" x14ac:dyDescent="0.25">
      <c r="A458" s="1">
        <v>42461</v>
      </c>
      <c r="B458" s="66" t="s">
        <v>45</v>
      </c>
      <c r="C458" s="66" t="s">
        <v>46</v>
      </c>
      <c r="D458" t="s">
        <v>47</v>
      </c>
      <c r="E458">
        <v>1000</v>
      </c>
      <c r="F458" s="66" t="s">
        <v>7</v>
      </c>
      <c r="G458" s="66" t="s">
        <v>9</v>
      </c>
      <c r="H458" s="66" t="str">
        <f>TEXT(Data[[#This Row],[Buchung]],"MMM")</f>
        <v>Apr</v>
      </c>
      <c r="I458" s="67">
        <f>YEAR(Data[[#This Row],[Buchung]])</f>
        <v>2016</v>
      </c>
      <c r="J458" s="2">
        <f>ABS(Data[[#This Row],[Betrag]])</f>
        <v>1000</v>
      </c>
      <c r="K458" s="66" t="str">
        <f>IF(Data[[#This Row],[Betrag]]&lt;0,"A","E")</f>
        <v>E</v>
      </c>
    </row>
    <row r="459" spans="1:11" x14ac:dyDescent="0.25">
      <c r="A459" s="1">
        <v>42462</v>
      </c>
      <c r="B459" s="66" t="s">
        <v>61</v>
      </c>
      <c r="C459" s="66" t="s">
        <v>49</v>
      </c>
      <c r="D459" t="s">
        <v>62</v>
      </c>
      <c r="E459">
        <v>-10</v>
      </c>
      <c r="F459" s="66" t="s">
        <v>7</v>
      </c>
      <c r="G459" s="66" t="s">
        <v>8</v>
      </c>
      <c r="H459" s="66" t="str">
        <f>TEXT(Data[[#This Row],[Buchung]],"MMM")</f>
        <v>Apr</v>
      </c>
      <c r="I459" s="67">
        <f>YEAR(Data[[#This Row],[Buchung]])</f>
        <v>2016</v>
      </c>
      <c r="J459" s="2">
        <f>ABS(Data[[#This Row],[Betrag]])</f>
        <v>10</v>
      </c>
      <c r="K459" s="66" t="str">
        <f>IF(Data[[#This Row],[Betrag]]&lt;0,"A","E")</f>
        <v>A</v>
      </c>
    </row>
    <row r="460" spans="1:11" x14ac:dyDescent="0.25">
      <c r="A460" s="1">
        <v>42463</v>
      </c>
      <c r="B460" s="66" t="s">
        <v>63</v>
      </c>
      <c r="C460" s="66" t="s">
        <v>64</v>
      </c>
      <c r="D460" t="s">
        <v>65</v>
      </c>
      <c r="E460">
        <v>-60</v>
      </c>
      <c r="F460" s="66" t="s">
        <v>7</v>
      </c>
      <c r="G460" s="66" t="s">
        <v>11</v>
      </c>
      <c r="H460" s="66" t="str">
        <f>TEXT(Data[[#This Row],[Buchung]],"MMM")</f>
        <v>Apr</v>
      </c>
      <c r="I460" s="67">
        <f>YEAR(Data[[#This Row],[Buchung]])</f>
        <v>2016</v>
      </c>
      <c r="J460" s="2">
        <f>ABS(Data[[#This Row],[Betrag]])</f>
        <v>60</v>
      </c>
      <c r="K460" s="66" t="str">
        <f>IF(Data[[#This Row],[Betrag]]&lt;0,"A","E")</f>
        <v>A</v>
      </c>
    </row>
    <row r="461" spans="1:11" x14ac:dyDescent="0.25">
      <c r="A461" s="1">
        <v>42464</v>
      </c>
      <c r="B461" s="66" t="s">
        <v>54</v>
      </c>
      <c r="C461" s="66" t="s">
        <v>55</v>
      </c>
      <c r="D461" t="s">
        <v>66</v>
      </c>
      <c r="E461">
        <v>-80</v>
      </c>
      <c r="F461" s="66" t="s">
        <v>7</v>
      </c>
      <c r="G461" s="66" t="s">
        <v>57</v>
      </c>
      <c r="H461" s="66" t="str">
        <f>TEXT(Data[[#This Row],[Buchung]],"MMM")</f>
        <v>Apr</v>
      </c>
      <c r="I461" s="67">
        <f>YEAR(Data[[#This Row],[Buchung]])</f>
        <v>2016</v>
      </c>
      <c r="J461" s="2">
        <f>ABS(Data[[#This Row],[Betrag]])</f>
        <v>80</v>
      </c>
      <c r="K461" s="66" t="str">
        <f>IF(Data[[#This Row],[Betrag]]&lt;0,"A","E")</f>
        <v>A</v>
      </c>
    </row>
    <row r="462" spans="1:11" x14ac:dyDescent="0.25">
      <c r="A462" s="1">
        <v>42465</v>
      </c>
      <c r="B462" s="66" t="s">
        <v>67</v>
      </c>
      <c r="C462" s="66" t="s">
        <v>59</v>
      </c>
      <c r="D462" t="s">
        <v>68</v>
      </c>
      <c r="E462">
        <v>-20</v>
      </c>
      <c r="F462" s="66" t="s">
        <v>7</v>
      </c>
      <c r="G462" s="66" t="s">
        <v>10</v>
      </c>
      <c r="H462" s="66" t="str">
        <f>TEXT(Data[[#This Row],[Buchung]],"MMM")</f>
        <v>Apr</v>
      </c>
      <c r="I462" s="67">
        <f>YEAR(Data[[#This Row],[Buchung]])</f>
        <v>2016</v>
      </c>
      <c r="J462" s="2">
        <f>ABS(Data[[#This Row],[Betrag]])</f>
        <v>20</v>
      </c>
      <c r="K462" s="66" t="str">
        <f>IF(Data[[#This Row],[Betrag]]&lt;0,"A","E")</f>
        <v>A</v>
      </c>
    </row>
    <row r="463" spans="1:11" x14ac:dyDescent="0.25">
      <c r="A463" s="1">
        <v>42466</v>
      </c>
      <c r="B463" s="66" t="s">
        <v>45</v>
      </c>
      <c r="C463" s="66" t="s">
        <v>46</v>
      </c>
      <c r="D463" t="s">
        <v>47</v>
      </c>
      <c r="E463">
        <v>1000</v>
      </c>
      <c r="F463" s="66" t="s">
        <v>7</v>
      </c>
      <c r="G463" s="66" t="s">
        <v>9</v>
      </c>
      <c r="H463" s="66" t="str">
        <f>TEXT(Data[[#This Row],[Buchung]],"MMM")</f>
        <v>Apr</v>
      </c>
      <c r="I463" s="67">
        <f>YEAR(Data[[#This Row],[Buchung]])</f>
        <v>2016</v>
      </c>
      <c r="J463" s="2">
        <f>ABS(Data[[#This Row],[Betrag]])</f>
        <v>1000</v>
      </c>
      <c r="K463" s="66" t="str">
        <f>IF(Data[[#This Row],[Betrag]]&lt;0,"A","E")</f>
        <v>E</v>
      </c>
    </row>
    <row r="464" spans="1:11" x14ac:dyDescent="0.25">
      <c r="A464" s="1">
        <v>42467</v>
      </c>
      <c r="B464" s="66" t="s">
        <v>48</v>
      </c>
      <c r="C464" s="66" t="s">
        <v>49</v>
      </c>
      <c r="D464" t="s">
        <v>50</v>
      </c>
      <c r="E464">
        <v>-15</v>
      </c>
      <c r="F464" s="66" t="s">
        <v>7</v>
      </c>
      <c r="G464" s="66" t="s">
        <v>8</v>
      </c>
      <c r="H464" s="66" t="str">
        <f>TEXT(Data[[#This Row],[Buchung]],"MMM")</f>
        <v>Apr</v>
      </c>
      <c r="I464" s="67">
        <f>YEAR(Data[[#This Row],[Buchung]])</f>
        <v>2016</v>
      </c>
      <c r="J464" s="2">
        <f>ABS(Data[[#This Row],[Betrag]])</f>
        <v>15</v>
      </c>
      <c r="K464" s="66" t="str">
        <f>IF(Data[[#This Row],[Betrag]]&lt;0,"A","E")</f>
        <v>A</v>
      </c>
    </row>
    <row r="465" spans="1:11" x14ac:dyDescent="0.25">
      <c r="A465" s="1">
        <v>42468</v>
      </c>
      <c r="B465" s="66" t="s">
        <v>51</v>
      </c>
      <c r="C465" s="66" t="s">
        <v>52</v>
      </c>
      <c r="D465" t="s">
        <v>53</v>
      </c>
      <c r="E465">
        <v>-350</v>
      </c>
      <c r="F465" s="66" t="s">
        <v>7</v>
      </c>
      <c r="G465" s="66" t="s">
        <v>11</v>
      </c>
      <c r="H465" s="66" t="str">
        <f>TEXT(Data[[#This Row],[Buchung]],"MMM")</f>
        <v>Apr</v>
      </c>
      <c r="I465" s="67">
        <f>YEAR(Data[[#This Row],[Buchung]])</f>
        <v>2016</v>
      </c>
      <c r="J465" s="2">
        <f>ABS(Data[[#This Row],[Betrag]])</f>
        <v>350</v>
      </c>
      <c r="K465" s="66" t="str">
        <f>IF(Data[[#This Row],[Betrag]]&lt;0,"A","E")</f>
        <v>A</v>
      </c>
    </row>
    <row r="466" spans="1:11" x14ac:dyDescent="0.25">
      <c r="A466" s="1">
        <v>42469</v>
      </c>
      <c r="B466" s="66" t="s">
        <v>54</v>
      </c>
      <c r="C466" s="66" t="s">
        <v>55</v>
      </c>
      <c r="D466" t="s">
        <v>56</v>
      </c>
      <c r="E466">
        <v>-120</v>
      </c>
      <c r="F466" s="66" t="s">
        <v>7</v>
      </c>
      <c r="G466" s="66" t="s">
        <v>57</v>
      </c>
      <c r="H466" s="66" t="str">
        <f>TEXT(Data[[#This Row],[Buchung]],"MMM")</f>
        <v>Apr</v>
      </c>
      <c r="I466" s="67">
        <f>YEAR(Data[[#This Row],[Buchung]])</f>
        <v>2016</v>
      </c>
      <c r="J466" s="2">
        <f>ABS(Data[[#This Row],[Betrag]])</f>
        <v>120</v>
      </c>
      <c r="K466" s="66" t="str">
        <f>IF(Data[[#This Row],[Betrag]]&lt;0,"A","E")</f>
        <v>A</v>
      </c>
    </row>
    <row r="467" spans="1:11" x14ac:dyDescent="0.25">
      <c r="A467" s="1">
        <v>42470</v>
      </c>
      <c r="B467" s="66" t="s">
        <v>58</v>
      </c>
      <c r="C467" s="66" t="s">
        <v>59</v>
      </c>
      <c r="D467" t="s">
        <v>60</v>
      </c>
      <c r="E467">
        <v>-60</v>
      </c>
      <c r="F467" s="66" t="s">
        <v>7</v>
      </c>
      <c r="G467" s="66" t="s">
        <v>10</v>
      </c>
      <c r="H467" s="66" t="str">
        <f>TEXT(Data[[#This Row],[Buchung]],"MMM")</f>
        <v>Apr</v>
      </c>
      <c r="I467" s="67">
        <f>YEAR(Data[[#This Row],[Buchung]])</f>
        <v>2016</v>
      </c>
      <c r="J467" s="2">
        <f>ABS(Data[[#This Row],[Betrag]])</f>
        <v>60</v>
      </c>
      <c r="K467" s="66" t="str">
        <f>IF(Data[[#This Row],[Betrag]]&lt;0,"A","E")</f>
        <v>A</v>
      </c>
    </row>
    <row r="468" spans="1:11" x14ac:dyDescent="0.25">
      <c r="A468" s="1">
        <v>42471</v>
      </c>
      <c r="B468" s="66" t="s">
        <v>45</v>
      </c>
      <c r="C468" s="66" t="s">
        <v>46</v>
      </c>
      <c r="D468" t="s">
        <v>47</v>
      </c>
      <c r="E468">
        <v>1000</v>
      </c>
      <c r="F468" s="66" t="s">
        <v>7</v>
      </c>
      <c r="G468" s="66" t="s">
        <v>9</v>
      </c>
      <c r="H468" s="66" t="str">
        <f>TEXT(Data[[#This Row],[Buchung]],"MMM")</f>
        <v>Apr</v>
      </c>
      <c r="I468" s="67">
        <f>YEAR(Data[[#This Row],[Buchung]])</f>
        <v>2016</v>
      </c>
      <c r="J468" s="2">
        <f>ABS(Data[[#This Row],[Betrag]])</f>
        <v>1000</v>
      </c>
      <c r="K468" s="66" t="str">
        <f>IF(Data[[#This Row],[Betrag]]&lt;0,"A","E")</f>
        <v>E</v>
      </c>
    </row>
    <row r="469" spans="1:11" x14ac:dyDescent="0.25">
      <c r="A469" s="1">
        <v>42472</v>
      </c>
      <c r="B469" s="66" t="s">
        <v>61</v>
      </c>
      <c r="C469" s="66" t="s">
        <v>49</v>
      </c>
      <c r="D469" t="s">
        <v>62</v>
      </c>
      <c r="E469">
        <v>-10</v>
      </c>
      <c r="F469" s="66" t="s">
        <v>7</v>
      </c>
      <c r="G469" s="66" t="s">
        <v>8</v>
      </c>
      <c r="H469" s="66" t="str">
        <f>TEXT(Data[[#This Row],[Buchung]],"MMM")</f>
        <v>Apr</v>
      </c>
      <c r="I469" s="67">
        <f>YEAR(Data[[#This Row],[Buchung]])</f>
        <v>2016</v>
      </c>
      <c r="J469" s="2">
        <f>ABS(Data[[#This Row],[Betrag]])</f>
        <v>10</v>
      </c>
      <c r="K469" s="66" t="str">
        <f>IF(Data[[#This Row],[Betrag]]&lt;0,"A","E")</f>
        <v>A</v>
      </c>
    </row>
    <row r="470" spans="1:11" x14ac:dyDescent="0.25">
      <c r="A470" s="1">
        <v>42473</v>
      </c>
      <c r="B470" s="66" t="s">
        <v>63</v>
      </c>
      <c r="C470" s="66" t="s">
        <v>64</v>
      </c>
      <c r="D470" t="s">
        <v>65</v>
      </c>
      <c r="E470">
        <v>-70</v>
      </c>
      <c r="F470" s="66" t="s">
        <v>7</v>
      </c>
      <c r="G470" s="66" t="s">
        <v>11</v>
      </c>
      <c r="H470" s="66" t="str">
        <f>TEXT(Data[[#This Row],[Buchung]],"MMM")</f>
        <v>Apr</v>
      </c>
      <c r="I470" s="67">
        <f>YEAR(Data[[#This Row],[Buchung]])</f>
        <v>2016</v>
      </c>
      <c r="J470" s="2">
        <f>ABS(Data[[#This Row],[Betrag]])</f>
        <v>70</v>
      </c>
      <c r="K470" s="66" t="str">
        <f>IF(Data[[#This Row],[Betrag]]&lt;0,"A","E")</f>
        <v>A</v>
      </c>
    </row>
    <row r="471" spans="1:11" x14ac:dyDescent="0.25">
      <c r="A471" s="1">
        <v>42474</v>
      </c>
      <c r="B471" s="66" t="s">
        <v>54</v>
      </c>
      <c r="C471" s="66" t="s">
        <v>55</v>
      </c>
      <c r="D471" t="s">
        <v>66</v>
      </c>
      <c r="E471">
        <v>-80</v>
      </c>
      <c r="F471" s="66" t="s">
        <v>7</v>
      </c>
      <c r="G471" s="66" t="s">
        <v>57</v>
      </c>
      <c r="H471" s="66" t="str">
        <f>TEXT(Data[[#This Row],[Buchung]],"MMM")</f>
        <v>Apr</v>
      </c>
      <c r="I471" s="67">
        <f>YEAR(Data[[#This Row],[Buchung]])</f>
        <v>2016</v>
      </c>
      <c r="J471" s="2">
        <f>ABS(Data[[#This Row],[Betrag]])</f>
        <v>80</v>
      </c>
      <c r="K471" s="66" t="str">
        <f>IF(Data[[#This Row],[Betrag]]&lt;0,"A","E")</f>
        <v>A</v>
      </c>
    </row>
    <row r="472" spans="1:11" x14ac:dyDescent="0.25">
      <c r="A472" s="1">
        <v>42475</v>
      </c>
      <c r="B472" s="66" t="s">
        <v>67</v>
      </c>
      <c r="C472" s="66" t="s">
        <v>59</v>
      </c>
      <c r="D472" t="s">
        <v>68</v>
      </c>
      <c r="E472">
        <v>-25</v>
      </c>
      <c r="F472" s="66" t="s">
        <v>7</v>
      </c>
      <c r="G472" s="66" t="s">
        <v>10</v>
      </c>
      <c r="H472" s="66" t="str">
        <f>TEXT(Data[[#This Row],[Buchung]],"MMM")</f>
        <v>Apr</v>
      </c>
      <c r="I472" s="67">
        <f>YEAR(Data[[#This Row],[Buchung]])</f>
        <v>2016</v>
      </c>
      <c r="J472" s="2">
        <f>ABS(Data[[#This Row],[Betrag]])</f>
        <v>25</v>
      </c>
      <c r="K472" s="66" t="str">
        <f>IF(Data[[#This Row],[Betrag]]&lt;0,"A","E")</f>
        <v>A</v>
      </c>
    </row>
    <row r="473" spans="1:11" x14ac:dyDescent="0.25">
      <c r="A473" s="1">
        <v>42476</v>
      </c>
      <c r="B473" s="66" t="s">
        <v>45</v>
      </c>
      <c r="C473" s="66" t="s">
        <v>46</v>
      </c>
      <c r="D473" t="s">
        <v>47</v>
      </c>
      <c r="E473">
        <v>1000</v>
      </c>
      <c r="F473" s="66" t="s">
        <v>7</v>
      </c>
      <c r="G473" s="66" t="s">
        <v>9</v>
      </c>
      <c r="H473" s="66" t="str">
        <f>TEXT(Data[[#This Row],[Buchung]],"MMM")</f>
        <v>Apr</v>
      </c>
      <c r="I473" s="67">
        <f>YEAR(Data[[#This Row],[Buchung]])</f>
        <v>2016</v>
      </c>
      <c r="J473" s="2">
        <f>ABS(Data[[#This Row],[Betrag]])</f>
        <v>1000</v>
      </c>
      <c r="K473" s="66" t="str">
        <f>IF(Data[[#This Row],[Betrag]]&lt;0,"A","E")</f>
        <v>E</v>
      </c>
    </row>
    <row r="474" spans="1:11" x14ac:dyDescent="0.25">
      <c r="A474" s="1">
        <v>42477</v>
      </c>
      <c r="B474" s="66" t="s">
        <v>48</v>
      </c>
      <c r="C474" s="66" t="s">
        <v>49</v>
      </c>
      <c r="D474" t="s">
        <v>50</v>
      </c>
      <c r="E474">
        <v>-15</v>
      </c>
      <c r="F474" s="66" t="s">
        <v>7</v>
      </c>
      <c r="G474" s="66" t="s">
        <v>8</v>
      </c>
      <c r="H474" s="66" t="str">
        <f>TEXT(Data[[#This Row],[Buchung]],"MMM")</f>
        <v>Apr</v>
      </c>
      <c r="I474" s="67">
        <f>YEAR(Data[[#This Row],[Buchung]])</f>
        <v>2016</v>
      </c>
      <c r="J474" s="2">
        <f>ABS(Data[[#This Row],[Betrag]])</f>
        <v>15</v>
      </c>
      <c r="K474" s="66" t="str">
        <f>IF(Data[[#This Row],[Betrag]]&lt;0,"A","E")</f>
        <v>A</v>
      </c>
    </row>
    <row r="475" spans="1:11" x14ac:dyDescent="0.25">
      <c r="A475" s="1">
        <v>42478</v>
      </c>
      <c r="B475" s="66" t="s">
        <v>51</v>
      </c>
      <c r="C475" s="66" t="s">
        <v>52</v>
      </c>
      <c r="D475" t="s">
        <v>53</v>
      </c>
      <c r="E475">
        <v>-350</v>
      </c>
      <c r="F475" s="66" t="s">
        <v>7</v>
      </c>
      <c r="G475" s="66" t="s">
        <v>11</v>
      </c>
      <c r="H475" s="66" t="str">
        <f>TEXT(Data[[#This Row],[Buchung]],"MMM")</f>
        <v>Apr</v>
      </c>
      <c r="I475" s="67">
        <f>YEAR(Data[[#This Row],[Buchung]])</f>
        <v>2016</v>
      </c>
      <c r="J475" s="2">
        <f>ABS(Data[[#This Row],[Betrag]])</f>
        <v>350</v>
      </c>
      <c r="K475" s="66" t="str">
        <f>IF(Data[[#This Row],[Betrag]]&lt;0,"A","E")</f>
        <v>A</v>
      </c>
    </row>
    <row r="476" spans="1:11" x14ac:dyDescent="0.25">
      <c r="A476" s="1">
        <v>42479</v>
      </c>
      <c r="B476" s="66" t="s">
        <v>54</v>
      </c>
      <c r="C476" s="66" t="s">
        <v>55</v>
      </c>
      <c r="D476" t="s">
        <v>56</v>
      </c>
      <c r="E476">
        <v>-120</v>
      </c>
      <c r="F476" s="66" t="s">
        <v>7</v>
      </c>
      <c r="G476" s="66" t="s">
        <v>57</v>
      </c>
      <c r="H476" s="66" t="str">
        <f>TEXT(Data[[#This Row],[Buchung]],"MMM")</f>
        <v>Apr</v>
      </c>
      <c r="I476" s="67">
        <f>YEAR(Data[[#This Row],[Buchung]])</f>
        <v>2016</v>
      </c>
      <c r="J476" s="2">
        <f>ABS(Data[[#This Row],[Betrag]])</f>
        <v>120</v>
      </c>
      <c r="K476" s="66" t="str">
        <f>IF(Data[[#This Row],[Betrag]]&lt;0,"A","E")</f>
        <v>A</v>
      </c>
    </row>
    <row r="477" spans="1:11" x14ac:dyDescent="0.25">
      <c r="A477" s="1">
        <v>42480</v>
      </c>
      <c r="B477" s="66" t="s">
        <v>58</v>
      </c>
      <c r="C477" s="66" t="s">
        <v>59</v>
      </c>
      <c r="D477" t="s">
        <v>60</v>
      </c>
      <c r="E477">
        <v>-70</v>
      </c>
      <c r="F477" s="66" t="s">
        <v>7</v>
      </c>
      <c r="G477" s="66" t="s">
        <v>10</v>
      </c>
      <c r="H477" s="66" t="str">
        <f>TEXT(Data[[#This Row],[Buchung]],"MMM")</f>
        <v>Apr</v>
      </c>
      <c r="I477" s="67">
        <f>YEAR(Data[[#This Row],[Buchung]])</f>
        <v>2016</v>
      </c>
      <c r="J477" s="2">
        <f>ABS(Data[[#This Row],[Betrag]])</f>
        <v>70</v>
      </c>
      <c r="K477" s="66" t="str">
        <f>IF(Data[[#This Row],[Betrag]]&lt;0,"A","E")</f>
        <v>A</v>
      </c>
    </row>
    <row r="478" spans="1:11" x14ac:dyDescent="0.25">
      <c r="A478" s="1">
        <v>42481</v>
      </c>
      <c r="B478" s="66" t="s">
        <v>45</v>
      </c>
      <c r="C478" s="66" t="s">
        <v>46</v>
      </c>
      <c r="D478" t="s">
        <v>47</v>
      </c>
      <c r="E478">
        <v>1000</v>
      </c>
      <c r="F478" s="66" t="s">
        <v>7</v>
      </c>
      <c r="G478" s="66" t="s">
        <v>9</v>
      </c>
      <c r="H478" s="66" t="str">
        <f>TEXT(Data[[#This Row],[Buchung]],"MMM")</f>
        <v>Apr</v>
      </c>
      <c r="I478" s="67">
        <f>YEAR(Data[[#This Row],[Buchung]])</f>
        <v>2016</v>
      </c>
      <c r="J478" s="2">
        <f>ABS(Data[[#This Row],[Betrag]])</f>
        <v>1000</v>
      </c>
      <c r="K478" s="66" t="str">
        <f>IF(Data[[#This Row],[Betrag]]&lt;0,"A","E")</f>
        <v>E</v>
      </c>
    </row>
    <row r="479" spans="1:11" x14ac:dyDescent="0.25">
      <c r="A479" s="1">
        <v>42482</v>
      </c>
      <c r="B479" s="66" t="s">
        <v>61</v>
      </c>
      <c r="C479" s="66" t="s">
        <v>49</v>
      </c>
      <c r="D479" t="s">
        <v>62</v>
      </c>
      <c r="E479">
        <v>-10</v>
      </c>
      <c r="F479" s="66" t="s">
        <v>7</v>
      </c>
      <c r="G479" s="66" t="s">
        <v>8</v>
      </c>
      <c r="H479" s="66" t="str">
        <f>TEXT(Data[[#This Row],[Buchung]],"MMM")</f>
        <v>Apr</v>
      </c>
      <c r="I479" s="67">
        <f>YEAR(Data[[#This Row],[Buchung]])</f>
        <v>2016</v>
      </c>
      <c r="J479" s="2">
        <f>ABS(Data[[#This Row],[Betrag]])</f>
        <v>10</v>
      </c>
      <c r="K479" s="66" t="str">
        <f>IF(Data[[#This Row],[Betrag]]&lt;0,"A","E")</f>
        <v>A</v>
      </c>
    </row>
    <row r="480" spans="1:11" x14ac:dyDescent="0.25">
      <c r="A480" s="1">
        <v>42483</v>
      </c>
      <c r="B480" s="66" t="s">
        <v>63</v>
      </c>
      <c r="C480" s="66" t="s">
        <v>64</v>
      </c>
      <c r="D480" t="s">
        <v>65</v>
      </c>
      <c r="E480">
        <v>-60</v>
      </c>
      <c r="F480" s="66" t="s">
        <v>7</v>
      </c>
      <c r="G480" s="66" t="s">
        <v>11</v>
      </c>
      <c r="H480" s="66" t="str">
        <f>TEXT(Data[[#This Row],[Buchung]],"MMM")</f>
        <v>Apr</v>
      </c>
      <c r="I480" s="67">
        <f>YEAR(Data[[#This Row],[Buchung]])</f>
        <v>2016</v>
      </c>
      <c r="J480" s="2">
        <f>ABS(Data[[#This Row],[Betrag]])</f>
        <v>60</v>
      </c>
      <c r="K480" s="66" t="str">
        <f>IF(Data[[#This Row],[Betrag]]&lt;0,"A","E")</f>
        <v>A</v>
      </c>
    </row>
    <row r="481" spans="1:11" x14ac:dyDescent="0.25">
      <c r="A481" s="1">
        <v>42484</v>
      </c>
      <c r="B481" s="66" t="s">
        <v>54</v>
      </c>
      <c r="C481" s="66" t="s">
        <v>55</v>
      </c>
      <c r="D481" t="s">
        <v>66</v>
      </c>
      <c r="E481">
        <v>-80</v>
      </c>
      <c r="F481" s="66" t="s">
        <v>7</v>
      </c>
      <c r="G481" s="66" t="s">
        <v>57</v>
      </c>
      <c r="H481" s="66" t="str">
        <f>TEXT(Data[[#This Row],[Buchung]],"MMM")</f>
        <v>Apr</v>
      </c>
      <c r="I481" s="67">
        <f>YEAR(Data[[#This Row],[Buchung]])</f>
        <v>2016</v>
      </c>
      <c r="J481" s="2">
        <f>ABS(Data[[#This Row],[Betrag]])</f>
        <v>80</v>
      </c>
      <c r="K481" s="66" t="str">
        <f>IF(Data[[#This Row],[Betrag]]&lt;0,"A","E")</f>
        <v>A</v>
      </c>
    </row>
    <row r="482" spans="1:11" x14ac:dyDescent="0.25">
      <c r="A482" s="1">
        <v>42485</v>
      </c>
      <c r="B482" s="66" t="s">
        <v>67</v>
      </c>
      <c r="C482" s="66" t="s">
        <v>59</v>
      </c>
      <c r="D482" t="s">
        <v>68</v>
      </c>
      <c r="E482">
        <v>-30</v>
      </c>
      <c r="F482" s="66" t="s">
        <v>7</v>
      </c>
      <c r="G482" s="66" t="s">
        <v>10</v>
      </c>
      <c r="H482" s="66" t="str">
        <f>TEXT(Data[[#This Row],[Buchung]],"MMM")</f>
        <v>Apr</v>
      </c>
      <c r="I482" s="67">
        <f>YEAR(Data[[#This Row],[Buchung]])</f>
        <v>2016</v>
      </c>
      <c r="J482" s="2">
        <f>ABS(Data[[#This Row],[Betrag]])</f>
        <v>30</v>
      </c>
      <c r="K482" s="66" t="str">
        <f>IF(Data[[#This Row],[Betrag]]&lt;0,"A","E")</f>
        <v>A</v>
      </c>
    </row>
    <row r="483" spans="1:11" x14ac:dyDescent="0.25">
      <c r="A483" s="1">
        <v>42486</v>
      </c>
      <c r="B483" s="66" t="s">
        <v>45</v>
      </c>
      <c r="C483" s="66" t="s">
        <v>46</v>
      </c>
      <c r="D483" t="s">
        <v>47</v>
      </c>
      <c r="E483">
        <v>1000</v>
      </c>
      <c r="F483" s="66" t="s">
        <v>7</v>
      </c>
      <c r="G483" s="66" t="s">
        <v>9</v>
      </c>
      <c r="H483" s="66" t="str">
        <f>TEXT(Data[[#This Row],[Buchung]],"MMM")</f>
        <v>Apr</v>
      </c>
      <c r="I483" s="67">
        <f>YEAR(Data[[#This Row],[Buchung]])</f>
        <v>2016</v>
      </c>
      <c r="J483" s="2">
        <f>ABS(Data[[#This Row],[Betrag]])</f>
        <v>1000</v>
      </c>
      <c r="K483" s="66" t="str">
        <f>IF(Data[[#This Row],[Betrag]]&lt;0,"A","E")</f>
        <v>E</v>
      </c>
    </row>
    <row r="484" spans="1:11" x14ac:dyDescent="0.25">
      <c r="A484" s="1">
        <v>42487</v>
      </c>
      <c r="B484" s="66" t="s">
        <v>48</v>
      </c>
      <c r="C484" s="66" t="s">
        <v>49</v>
      </c>
      <c r="D484" t="s">
        <v>50</v>
      </c>
      <c r="E484">
        <v>-15</v>
      </c>
      <c r="F484" s="66" t="s">
        <v>7</v>
      </c>
      <c r="G484" s="66" t="s">
        <v>8</v>
      </c>
      <c r="H484" s="66" t="str">
        <f>TEXT(Data[[#This Row],[Buchung]],"MMM")</f>
        <v>Apr</v>
      </c>
      <c r="I484" s="67">
        <f>YEAR(Data[[#This Row],[Buchung]])</f>
        <v>2016</v>
      </c>
      <c r="J484" s="2">
        <f>ABS(Data[[#This Row],[Betrag]])</f>
        <v>15</v>
      </c>
      <c r="K484" s="66" t="str">
        <f>IF(Data[[#This Row],[Betrag]]&lt;0,"A","E")</f>
        <v>A</v>
      </c>
    </row>
    <row r="485" spans="1:11" x14ac:dyDescent="0.25">
      <c r="A485" s="1">
        <v>42488</v>
      </c>
      <c r="B485" s="66" t="s">
        <v>51</v>
      </c>
      <c r="C485" s="66" t="s">
        <v>52</v>
      </c>
      <c r="D485" t="s">
        <v>53</v>
      </c>
      <c r="E485">
        <v>-350</v>
      </c>
      <c r="F485" s="66" t="s">
        <v>7</v>
      </c>
      <c r="G485" s="66" t="s">
        <v>11</v>
      </c>
      <c r="H485" s="66" t="str">
        <f>TEXT(Data[[#This Row],[Buchung]],"MMM")</f>
        <v>Apr</v>
      </c>
      <c r="I485" s="67">
        <f>YEAR(Data[[#This Row],[Buchung]])</f>
        <v>2016</v>
      </c>
      <c r="J485" s="2">
        <f>ABS(Data[[#This Row],[Betrag]])</f>
        <v>350</v>
      </c>
      <c r="K485" s="66" t="str">
        <f>IF(Data[[#This Row],[Betrag]]&lt;0,"A","E")</f>
        <v>A</v>
      </c>
    </row>
    <row r="486" spans="1:11" x14ac:dyDescent="0.25">
      <c r="A486" s="1">
        <v>42489</v>
      </c>
      <c r="B486" s="66" t="s">
        <v>54</v>
      </c>
      <c r="C486" s="66" t="s">
        <v>55</v>
      </c>
      <c r="D486" t="s">
        <v>56</v>
      </c>
      <c r="E486">
        <v>-120</v>
      </c>
      <c r="F486" s="66" t="s">
        <v>7</v>
      </c>
      <c r="G486" s="66" t="s">
        <v>57</v>
      </c>
      <c r="H486" s="66" t="str">
        <f>TEXT(Data[[#This Row],[Buchung]],"MMM")</f>
        <v>Apr</v>
      </c>
      <c r="I486" s="67">
        <f>YEAR(Data[[#This Row],[Buchung]])</f>
        <v>2016</v>
      </c>
      <c r="J486" s="2">
        <f>ABS(Data[[#This Row],[Betrag]])</f>
        <v>120</v>
      </c>
      <c r="K486" s="66" t="str">
        <f>IF(Data[[#This Row],[Betrag]]&lt;0,"A","E")</f>
        <v>A</v>
      </c>
    </row>
    <row r="487" spans="1:11" x14ac:dyDescent="0.25">
      <c r="A487" s="1">
        <v>42490</v>
      </c>
      <c r="B487" s="66" t="s">
        <v>58</v>
      </c>
      <c r="C487" s="66" t="s">
        <v>59</v>
      </c>
      <c r="D487" t="s">
        <v>60</v>
      </c>
      <c r="E487">
        <v>-80</v>
      </c>
      <c r="F487" s="66" t="s">
        <v>7</v>
      </c>
      <c r="G487" s="66" t="s">
        <v>10</v>
      </c>
      <c r="H487" s="66" t="str">
        <f>TEXT(Data[[#This Row],[Buchung]],"MMM")</f>
        <v>Apr</v>
      </c>
      <c r="I487" s="67">
        <f>YEAR(Data[[#This Row],[Buchung]])</f>
        <v>2016</v>
      </c>
      <c r="J487" s="2">
        <f>ABS(Data[[#This Row],[Betrag]])</f>
        <v>80</v>
      </c>
      <c r="K487" s="66" t="str">
        <f>IF(Data[[#This Row],[Betrag]]&lt;0,"A","E")</f>
        <v>A</v>
      </c>
    </row>
    <row r="488" spans="1:11" x14ac:dyDescent="0.25">
      <c r="A488" s="1">
        <v>42491</v>
      </c>
      <c r="B488" s="66" t="s">
        <v>45</v>
      </c>
      <c r="C488" s="66" t="s">
        <v>46</v>
      </c>
      <c r="D488" t="s">
        <v>47</v>
      </c>
      <c r="E488">
        <v>1000</v>
      </c>
      <c r="F488" s="66" t="s">
        <v>7</v>
      </c>
      <c r="G488" s="66" t="s">
        <v>9</v>
      </c>
      <c r="H488" s="66" t="str">
        <f>TEXT(Data[[#This Row],[Buchung]],"MMM")</f>
        <v>Mai</v>
      </c>
      <c r="I488" s="67">
        <f>YEAR(Data[[#This Row],[Buchung]])</f>
        <v>2016</v>
      </c>
      <c r="J488" s="2">
        <f>ABS(Data[[#This Row],[Betrag]])</f>
        <v>1000</v>
      </c>
      <c r="K488" s="66" t="str">
        <f>IF(Data[[#This Row],[Betrag]]&lt;0,"A","E")</f>
        <v>E</v>
      </c>
    </row>
    <row r="489" spans="1:11" x14ac:dyDescent="0.25">
      <c r="A489" s="1">
        <v>42492</v>
      </c>
      <c r="B489" s="66" t="s">
        <v>61</v>
      </c>
      <c r="C489" s="66" t="s">
        <v>49</v>
      </c>
      <c r="D489" t="s">
        <v>62</v>
      </c>
      <c r="E489">
        <v>-10</v>
      </c>
      <c r="F489" s="66" t="s">
        <v>7</v>
      </c>
      <c r="G489" s="66" t="s">
        <v>8</v>
      </c>
      <c r="H489" s="66" t="str">
        <f>TEXT(Data[[#This Row],[Buchung]],"MMM")</f>
        <v>Mai</v>
      </c>
      <c r="I489" s="67">
        <f>YEAR(Data[[#This Row],[Buchung]])</f>
        <v>2016</v>
      </c>
      <c r="J489" s="2">
        <f>ABS(Data[[#This Row],[Betrag]])</f>
        <v>10</v>
      </c>
      <c r="K489" s="66" t="str">
        <f>IF(Data[[#This Row],[Betrag]]&lt;0,"A","E")</f>
        <v>A</v>
      </c>
    </row>
    <row r="490" spans="1:11" x14ac:dyDescent="0.25">
      <c r="A490" s="1">
        <v>42493</v>
      </c>
      <c r="B490" s="66" t="s">
        <v>63</v>
      </c>
      <c r="C490" s="66" t="s">
        <v>64</v>
      </c>
      <c r="D490" t="s">
        <v>65</v>
      </c>
      <c r="E490">
        <v>-65</v>
      </c>
      <c r="F490" s="66" t="s">
        <v>7</v>
      </c>
      <c r="G490" s="66" t="s">
        <v>11</v>
      </c>
      <c r="H490" s="66" t="str">
        <f>TEXT(Data[[#This Row],[Buchung]],"MMM")</f>
        <v>Mai</v>
      </c>
      <c r="I490" s="67">
        <f>YEAR(Data[[#This Row],[Buchung]])</f>
        <v>2016</v>
      </c>
      <c r="J490" s="2">
        <f>ABS(Data[[#This Row],[Betrag]])</f>
        <v>65</v>
      </c>
      <c r="K490" s="66" t="str">
        <f>IF(Data[[#This Row],[Betrag]]&lt;0,"A","E")</f>
        <v>A</v>
      </c>
    </row>
    <row r="491" spans="1:11" x14ac:dyDescent="0.25">
      <c r="A491" s="1">
        <v>42494</v>
      </c>
      <c r="B491" s="66" t="s">
        <v>54</v>
      </c>
      <c r="C491" s="66" t="s">
        <v>55</v>
      </c>
      <c r="D491" t="s">
        <v>66</v>
      </c>
      <c r="E491">
        <v>-80</v>
      </c>
      <c r="F491" s="66" t="s">
        <v>7</v>
      </c>
      <c r="G491" s="66" t="s">
        <v>57</v>
      </c>
      <c r="H491" s="66" t="str">
        <f>TEXT(Data[[#This Row],[Buchung]],"MMM")</f>
        <v>Mai</v>
      </c>
      <c r="I491" s="67">
        <f>YEAR(Data[[#This Row],[Buchung]])</f>
        <v>2016</v>
      </c>
      <c r="J491" s="2">
        <f>ABS(Data[[#This Row],[Betrag]])</f>
        <v>80</v>
      </c>
      <c r="K491" s="66" t="str">
        <f>IF(Data[[#This Row],[Betrag]]&lt;0,"A","E")</f>
        <v>A</v>
      </c>
    </row>
    <row r="492" spans="1:11" x14ac:dyDescent="0.25">
      <c r="A492" s="1">
        <v>42495</v>
      </c>
      <c r="B492" s="66" t="s">
        <v>67</v>
      </c>
      <c r="C492" s="66" t="s">
        <v>59</v>
      </c>
      <c r="D492" t="s">
        <v>68</v>
      </c>
      <c r="E492">
        <v>-35</v>
      </c>
      <c r="F492" s="66" t="s">
        <v>7</v>
      </c>
      <c r="G492" s="66" t="s">
        <v>10</v>
      </c>
      <c r="H492" s="66" t="str">
        <f>TEXT(Data[[#This Row],[Buchung]],"MMM")</f>
        <v>Mai</v>
      </c>
      <c r="I492" s="67">
        <f>YEAR(Data[[#This Row],[Buchung]])</f>
        <v>2016</v>
      </c>
      <c r="J492" s="2">
        <f>ABS(Data[[#This Row],[Betrag]])</f>
        <v>35</v>
      </c>
      <c r="K492" s="66" t="str">
        <f>IF(Data[[#This Row],[Betrag]]&lt;0,"A","E")</f>
        <v>A</v>
      </c>
    </row>
    <row r="493" spans="1:11" x14ac:dyDescent="0.25">
      <c r="A493" s="1">
        <v>42496</v>
      </c>
      <c r="B493" s="66" t="s">
        <v>45</v>
      </c>
      <c r="C493" s="66" t="s">
        <v>46</v>
      </c>
      <c r="D493" t="s">
        <v>47</v>
      </c>
      <c r="E493">
        <v>1000</v>
      </c>
      <c r="F493" s="66" t="s">
        <v>7</v>
      </c>
      <c r="G493" s="66" t="s">
        <v>9</v>
      </c>
      <c r="H493" s="66" t="str">
        <f>TEXT(Data[[#This Row],[Buchung]],"MMM")</f>
        <v>Mai</v>
      </c>
      <c r="I493" s="67">
        <f>YEAR(Data[[#This Row],[Buchung]])</f>
        <v>2016</v>
      </c>
      <c r="J493" s="2">
        <f>ABS(Data[[#This Row],[Betrag]])</f>
        <v>1000</v>
      </c>
      <c r="K493" s="66" t="str">
        <f>IF(Data[[#This Row],[Betrag]]&lt;0,"A","E")</f>
        <v>E</v>
      </c>
    </row>
    <row r="494" spans="1:11" x14ac:dyDescent="0.25">
      <c r="A494" s="1">
        <v>42497</v>
      </c>
      <c r="B494" s="66" t="s">
        <v>45</v>
      </c>
      <c r="C494" s="66" t="s">
        <v>46</v>
      </c>
      <c r="D494" t="s">
        <v>47</v>
      </c>
      <c r="E494">
        <v>1000</v>
      </c>
      <c r="F494" s="66" t="s">
        <v>7</v>
      </c>
      <c r="G494" s="66" t="s">
        <v>9</v>
      </c>
      <c r="H494" s="66" t="str">
        <f>TEXT(Data[[#This Row],[Buchung]],"MMM")</f>
        <v>Mai</v>
      </c>
      <c r="I494" s="67">
        <f>YEAR(Data[[#This Row],[Buchung]])</f>
        <v>2016</v>
      </c>
      <c r="J494" s="2">
        <f>ABS(Data[[#This Row],[Betrag]])</f>
        <v>1000</v>
      </c>
      <c r="K494" s="66" t="str">
        <f>IF(Data[[#This Row],[Betrag]]&lt;0,"A","E")</f>
        <v>E</v>
      </c>
    </row>
    <row r="495" spans="1:11" x14ac:dyDescent="0.25">
      <c r="A495" s="1">
        <v>42498</v>
      </c>
      <c r="B495" s="66" t="s">
        <v>48</v>
      </c>
      <c r="C495" s="66" t="s">
        <v>49</v>
      </c>
      <c r="D495" t="s">
        <v>50</v>
      </c>
      <c r="E495">
        <v>-15</v>
      </c>
      <c r="F495" s="66" t="s">
        <v>7</v>
      </c>
      <c r="G495" s="66" t="s">
        <v>8</v>
      </c>
      <c r="H495" s="66" t="str">
        <f>TEXT(Data[[#This Row],[Buchung]],"MMM")</f>
        <v>Mai</v>
      </c>
      <c r="I495" s="67">
        <f>YEAR(Data[[#This Row],[Buchung]])</f>
        <v>2016</v>
      </c>
      <c r="J495" s="2">
        <f>ABS(Data[[#This Row],[Betrag]])</f>
        <v>15</v>
      </c>
      <c r="K495" s="66" t="str">
        <f>IF(Data[[#This Row],[Betrag]]&lt;0,"A","E")</f>
        <v>A</v>
      </c>
    </row>
    <row r="496" spans="1:11" x14ac:dyDescent="0.25">
      <c r="A496" s="1">
        <v>42499</v>
      </c>
      <c r="B496" s="66" t="s">
        <v>51</v>
      </c>
      <c r="C496" s="66" t="s">
        <v>52</v>
      </c>
      <c r="D496" t="s">
        <v>53</v>
      </c>
      <c r="E496">
        <v>-350</v>
      </c>
      <c r="F496" s="66" t="s">
        <v>7</v>
      </c>
      <c r="G496" s="66" t="s">
        <v>11</v>
      </c>
      <c r="H496" s="66" t="str">
        <f>TEXT(Data[[#This Row],[Buchung]],"MMM")</f>
        <v>Mai</v>
      </c>
      <c r="I496" s="67">
        <f>YEAR(Data[[#This Row],[Buchung]])</f>
        <v>2016</v>
      </c>
      <c r="J496" s="2">
        <f>ABS(Data[[#This Row],[Betrag]])</f>
        <v>350</v>
      </c>
      <c r="K496" s="66" t="str">
        <f>IF(Data[[#This Row],[Betrag]]&lt;0,"A","E")</f>
        <v>A</v>
      </c>
    </row>
    <row r="497" spans="1:11" x14ac:dyDescent="0.25">
      <c r="A497" s="1">
        <v>42500</v>
      </c>
      <c r="B497" s="66" t="s">
        <v>54</v>
      </c>
      <c r="C497" s="66" t="s">
        <v>55</v>
      </c>
      <c r="D497" t="s">
        <v>56</v>
      </c>
      <c r="E497">
        <v>-120</v>
      </c>
      <c r="F497" s="66" t="s">
        <v>7</v>
      </c>
      <c r="G497" s="66" t="s">
        <v>57</v>
      </c>
      <c r="H497" s="66" t="str">
        <f>TEXT(Data[[#This Row],[Buchung]],"MMM")</f>
        <v>Mai</v>
      </c>
      <c r="I497" s="67">
        <f>YEAR(Data[[#This Row],[Buchung]])</f>
        <v>2016</v>
      </c>
      <c r="J497" s="2">
        <f>ABS(Data[[#This Row],[Betrag]])</f>
        <v>120</v>
      </c>
      <c r="K497" s="66" t="str">
        <f>IF(Data[[#This Row],[Betrag]]&lt;0,"A","E")</f>
        <v>A</v>
      </c>
    </row>
    <row r="498" spans="1:11" x14ac:dyDescent="0.25">
      <c r="A498" s="1">
        <v>42501</v>
      </c>
      <c r="B498" s="66" t="s">
        <v>58</v>
      </c>
      <c r="C498" s="66" t="s">
        <v>59</v>
      </c>
      <c r="D498" t="s">
        <v>60</v>
      </c>
      <c r="E498">
        <v>-50</v>
      </c>
      <c r="F498" s="66" t="s">
        <v>7</v>
      </c>
      <c r="G498" s="66" t="s">
        <v>10</v>
      </c>
      <c r="H498" s="66" t="str">
        <f>TEXT(Data[[#This Row],[Buchung]],"MMM")</f>
        <v>Mai</v>
      </c>
      <c r="I498" s="67">
        <f>YEAR(Data[[#This Row],[Buchung]])</f>
        <v>2016</v>
      </c>
      <c r="J498" s="2">
        <f>ABS(Data[[#This Row],[Betrag]])</f>
        <v>50</v>
      </c>
      <c r="K498" s="66" t="str">
        <f>IF(Data[[#This Row],[Betrag]]&lt;0,"A","E")</f>
        <v>A</v>
      </c>
    </row>
    <row r="499" spans="1:11" x14ac:dyDescent="0.25">
      <c r="A499" s="1">
        <v>42502</v>
      </c>
      <c r="B499" s="66" t="s">
        <v>45</v>
      </c>
      <c r="C499" s="66" t="s">
        <v>46</v>
      </c>
      <c r="D499" t="s">
        <v>47</v>
      </c>
      <c r="E499">
        <v>1000</v>
      </c>
      <c r="F499" s="66" t="s">
        <v>7</v>
      </c>
      <c r="G499" s="66" t="s">
        <v>9</v>
      </c>
      <c r="H499" s="66" t="str">
        <f>TEXT(Data[[#This Row],[Buchung]],"MMM")</f>
        <v>Mai</v>
      </c>
      <c r="I499" s="67">
        <f>YEAR(Data[[#This Row],[Buchung]])</f>
        <v>2016</v>
      </c>
      <c r="J499" s="2">
        <f>ABS(Data[[#This Row],[Betrag]])</f>
        <v>1000</v>
      </c>
      <c r="K499" s="66" t="str">
        <f>IF(Data[[#This Row],[Betrag]]&lt;0,"A","E")</f>
        <v>E</v>
      </c>
    </row>
    <row r="500" spans="1:11" x14ac:dyDescent="0.25">
      <c r="A500" s="1">
        <v>42503</v>
      </c>
      <c r="B500" s="66" t="s">
        <v>61</v>
      </c>
      <c r="C500" s="66" t="s">
        <v>49</v>
      </c>
      <c r="D500" t="s">
        <v>62</v>
      </c>
      <c r="E500">
        <v>-10</v>
      </c>
      <c r="F500" s="66" t="s">
        <v>7</v>
      </c>
      <c r="G500" s="66" t="s">
        <v>8</v>
      </c>
      <c r="H500" s="66" t="str">
        <f>TEXT(Data[[#This Row],[Buchung]],"MMM")</f>
        <v>Mai</v>
      </c>
      <c r="I500" s="67">
        <f>YEAR(Data[[#This Row],[Buchung]])</f>
        <v>2016</v>
      </c>
      <c r="J500" s="2">
        <f>ABS(Data[[#This Row],[Betrag]])</f>
        <v>10</v>
      </c>
      <c r="K500" s="66" t="str">
        <f>IF(Data[[#This Row],[Betrag]]&lt;0,"A","E")</f>
        <v>A</v>
      </c>
    </row>
    <row r="501" spans="1:11" x14ac:dyDescent="0.25">
      <c r="A501" s="1">
        <v>42504</v>
      </c>
      <c r="B501" s="66" t="s">
        <v>63</v>
      </c>
      <c r="C501" s="66" t="s">
        <v>64</v>
      </c>
      <c r="D501" t="s">
        <v>65</v>
      </c>
      <c r="E501">
        <v>-60</v>
      </c>
      <c r="F501" s="66" t="s">
        <v>7</v>
      </c>
      <c r="G501" s="66" t="s">
        <v>11</v>
      </c>
      <c r="H501" s="66" t="str">
        <f>TEXT(Data[[#This Row],[Buchung]],"MMM")</f>
        <v>Mai</v>
      </c>
      <c r="I501" s="67">
        <f>YEAR(Data[[#This Row],[Buchung]])</f>
        <v>2016</v>
      </c>
      <c r="J501" s="2">
        <f>ABS(Data[[#This Row],[Betrag]])</f>
        <v>60</v>
      </c>
      <c r="K501" s="66" t="str">
        <f>IF(Data[[#This Row],[Betrag]]&lt;0,"A","E")</f>
        <v>A</v>
      </c>
    </row>
    <row r="502" spans="1:11" x14ac:dyDescent="0.25">
      <c r="A502" s="1">
        <v>42505</v>
      </c>
      <c r="B502" s="66" t="s">
        <v>54</v>
      </c>
      <c r="C502" s="66" t="s">
        <v>55</v>
      </c>
      <c r="D502" t="s">
        <v>66</v>
      </c>
      <c r="E502">
        <v>-80</v>
      </c>
      <c r="F502" s="66" t="s">
        <v>7</v>
      </c>
      <c r="G502" s="66" t="s">
        <v>57</v>
      </c>
      <c r="H502" s="66" t="str">
        <f>TEXT(Data[[#This Row],[Buchung]],"MMM")</f>
        <v>Mai</v>
      </c>
      <c r="I502" s="67">
        <f>YEAR(Data[[#This Row],[Buchung]])</f>
        <v>2016</v>
      </c>
      <c r="J502" s="2">
        <f>ABS(Data[[#This Row],[Betrag]])</f>
        <v>80</v>
      </c>
      <c r="K502" s="66" t="str">
        <f>IF(Data[[#This Row],[Betrag]]&lt;0,"A","E")</f>
        <v>A</v>
      </c>
    </row>
    <row r="503" spans="1:11" x14ac:dyDescent="0.25">
      <c r="A503" s="1">
        <v>42506</v>
      </c>
      <c r="B503" s="66" t="s">
        <v>67</v>
      </c>
      <c r="C503" s="66" t="s">
        <v>59</v>
      </c>
      <c r="D503" t="s">
        <v>68</v>
      </c>
      <c r="E503">
        <v>-20</v>
      </c>
      <c r="F503" s="66" t="s">
        <v>7</v>
      </c>
      <c r="G503" s="66" t="s">
        <v>10</v>
      </c>
      <c r="H503" s="66" t="str">
        <f>TEXT(Data[[#This Row],[Buchung]],"MMM")</f>
        <v>Mai</v>
      </c>
      <c r="I503" s="67">
        <f>YEAR(Data[[#This Row],[Buchung]])</f>
        <v>2016</v>
      </c>
      <c r="J503" s="2">
        <f>ABS(Data[[#This Row],[Betrag]])</f>
        <v>20</v>
      </c>
      <c r="K503" s="66" t="str">
        <f>IF(Data[[#This Row],[Betrag]]&lt;0,"A","E")</f>
        <v>A</v>
      </c>
    </row>
    <row r="504" spans="1:11" x14ac:dyDescent="0.25">
      <c r="A504" s="1">
        <v>42507</v>
      </c>
      <c r="B504" s="66" t="s">
        <v>45</v>
      </c>
      <c r="C504" s="66" t="s">
        <v>46</v>
      </c>
      <c r="D504" t="s">
        <v>47</v>
      </c>
      <c r="E504">
        <v>1000</v>
      </c>
      <c r="F504" s="66" t="s">
        <v>7</v>
      </c>
      <c r="G504" s="66" t="s">
        <v>9</v>
      </c>
      <c r="H504" s="66" t="str">
        <f>TEXT(Data[[#This Row],[Buchung]],"MMM")</f>
        <v>Mai</v>
      </c>
      <c r="I504" s="67">
        <f>YEAR(Data[[#This Row],[Buchung]])</f>
        <v>2016</v>
      </c>
      <c r="J504" s="2">
        <f>ABS(Data[[#This Row],[Betrag]])</f>
        <v>1000</v>
      </c>
      <c r="K504" s="66" t="str">
        <f>IF(Data[[#This Row],[Betrag]]&lt;0,"A","E")</f>
        <v>E</v>
      </c>
    </row>
    <row r="505" spans="1:11" x14ac:dyDescent="0.25">
      <c r="A505" s="1">
        <v>42508</v>
      </c>
      <c r="B505" s="66" t="s">
        <v>48</v>
      </c>
      <c r="C505" s="66" t="s">
        <v>49</v>
      </c>
      <c r="D505" t="s">
        <v>50</v>
      </c>
      <c r="E505">
        <v>-15</v>
      </c>
      <c r="F505" s="66" t="s">
        <v>7</v>
      </c>
      <c r="G505" s="66" t="s">
        <v>8</v>
      </c>
      <c r="H505" s="66" t="str">
        <f>TEXT(Data[[#This Row],[Buchung]],"MMM")</f>
        <v>Mai</v>
      </c>
      <c r="I505" s="67">
        <f>YEAR(Data[[#This Row],[Buchung]])</f>
        <v>2016</v>
      </c>
      <c r="J505" s="2">
        <f>ABS(Data[[#This Row],[Betrag]])</f>
        <v>15</v>
      </c>
      <c r="K505" s="66" t="str">
        <f>IF(Data[[#This Row],[Betrag]]&lt;0,"A","E")</f>
        <v>A</v>
      </c>
    </row>
    <row r="506" spans="1:11" x14ac:dyDescent="0.25">
      <c r="A506" s="1">
        <v>42509</v>
      </c>
      <c r="B506" s="66" t="s">
        <v>51</v>
      </c>
      <c r="C506" s="66" t="s">
        <v>52</v>
      </c>
      <c r="D506" t="s">
        <v>53</v>
      </c>
      <c r="E506">
        <v>-350</v>
      </c>
      <c r="F506" s="66" t="s">
        <v>7</v>
      </c>
      <c r="G506" s="66" t="s">
        <v>11</v>
      </c>
      <c r="H506" s="66" t="str">
        <f>TEXT(Data[[#This Row],[Buchung]],"MMM")</f>
        <v>Mai</v>
      </c>
      <c r="I506" s="67">
        <f>YEAR(Data[[#This Row],[Buchung]])</f>
        <v>2016</v>
      </c>
      <c r="J506" s="2">
        <f>ABS(Data[[#This Row],[Betrag]])</f>
        <v>350</v>
      </c>
      <c r="K506" s="66" t="str">
        <f>IF(Data[[#This Row],[Betrag]]&lt;0,"A","E")</f>
        <v>A</v>
      </c>
    </row>
    <row r="507" spans="1:11" x14ac:dyDescent="0.25">
      <c r="A507" s="1">
        <v>42510</v>
      </c>
      <c r="B507" s="66" t="s">
        <v>54</v>
      </c>
      <c r="C507" s="66" t="s">
        <v>55</v>
      </c>
      <c r="D507" t="s">
        <v>56</v>
      </c>
      <c r="E507">
        <v>-120</v>
      </c>
      <c r="F507" s="66" t="s">
        <v>7</v>
      </c>
      <c r="G507" s="66" t="s">
        <v>57</v>
      </c>
      <c r="H507" s="66" t="str">
        <f>TEXT(Data[[#This Row],[Buchung]],"MMM")</f>
        <v>Mai</v>
      </c>
      <c r="I507" s="67">
        <f>YEAR(Data[[#This Row],[Buchung]])</f>
        <v>2016</v>
      </c>
      <c r="J507" s="2">
        <f>ABS(Data[[#This Row],[Betrag]])</f>
        <v>120</v>
      </c>
      <c r="K507" s="66" t="str">
        <f>IF(Data[[#This Row],[Betrag]]&lt;0,"A","E")</f>
        <v>A</v>
      </c>
    </row>
    <row r="508" spans="1:11" x14ac:dyDescent="0.25">
      <c r="A508" s="1">
        <v>42511</v>
      </c>
      <c r="B508" s="66" t="s">
        <v>58</v>
      </c>
      <c r="C508" s="66" t="s">
        <v>59</v>
      </c>
      <c r="D508" t="s">
        <v>60</v>
      </c>
      <c r="E508">
        <v>-60</v>
      </c>
      <c r="F508" s="66" t="s">
        <v>7</v>
      </c>
      <c r="G508" s="66" t="s">
        <v>10</v>
      </c>
      <c r="H508" s="66" t="str">
        <f>TEXT(Data[[#This Row],[Buchung]],"MMM")</f>
        <v>Mai</v>
      </c>
      <c r="I508" s="67">
        <f>YEAR(Data[[#This Row],[Buchung]])</f>
        <v>2016</v>
      </c>
      <c r="J508" s="2">
        <f>ABS(Data[[#This Row],[Betrag]])</f>
        <v>60</v>
      </c>
      <c r="K508" s="66" t="str">
        <f>IF(Data[[#This Row],[Betrag]]&lt;0,"A","E")</f>
        <v>A</v>
      </c>
    </row>
    <row r="509" spans="1:11" x14ac:dyDescent="0.25">
      <c r="A509" s="1">
        <v>42512</v>
      </c>
      <c r="B509" s="66" t="s">
        <v>45</v>
      </c>
      <c r="C509" s="66" t="s">
        <v>46</v>
      </c>
      <c r="D509" t="s">
        <v>47</v>
      </c>
      <c r="E509">
        <v>1000</v>
      </c>
      <c r="F509" s="66" t="s">
        <v>7</v>
      </c>
      <c r="G509" s="66" t="s">
        <v>9</v>
      </c>
      <c r="H509" s="66" t="str">
        <f>TEXT(Data[[#This Row],[Buchung]],"MMM")</f>
        <v>Mai</v>
      </c>
      <c r="I509" s="67">
        <f>YEAR(Data[[#This Row],[Buchung]])</f>
        <v>2016</v>
      </c>
      <c r="J509" s="2">
        <f>ABS(Data[[#This Row],[Betrag]])</f>
        <v>1000</v>
      </c>
      <c r="K509" s="66" t="str">
        <f>IF(Data[[#This Row],[Betrag]]&lt;0,"A","E")</f>
        <v>E</v>
      </c>
    </row>
    <row r="510" spans="1:11" x14ac:dyDescent="0.25">
      <c r="A510" s="1">
        <v>42513</v>
      </c>
      <c r="B510" s="66" t="s">
        <v>61</v>
      </c>
      <c r="C510" s="66" t="s">
        <v>49</v>
      </c>
      <c r="D510" t="s">
        <v>62</v>
      </c>
      <c r="E510">
        <v>-10</v>
      </c>
      <c r="F510" s="66" t="s">
        <v>7</v>
      </c>
      <c r="G510" s="66" t="s">
        <v>8</v>
      </c>
      <c r="H510" s="66" t="str">
        <f>TEXT(Data[[#This Row],[Buchung]],"MMM")</f>
        <v>Mai</v>
      </c>
      <c r="I510" s="67">
        <f>YEAR(Data[[#This Row],[Buchung]])</f>
        <v>2016</v>
      </c>
      <c r="J510" s="2">
        <f>ABS(Data[[#This Row],[Betrag]])</f>
        <v>10</v>
      </c>
      <c r="K510" s="66" t="str">
        <f>IF(Data[[#This Row],[Betrag]]&lt;0,"A","E")</f>
        <v>A</v>
      </c>
    </row>
    <row r="511" spans="1:11" x14ac:dyDescent="0.25">
      <c r="A511" s="1">
        <v>42514</v>
      </c>
      <c r="B511" s="66" t="s">
        <v>63</v>
      </c>
      <c r="C511" s="66" t="s">
        <v>64</v>
      </c>
      <c r="D511" t="s">
        <v>65</v>
      </c>
      <c r="E511">
        <v>-70</v>
      </c>
      <c r="F511" s="66" t="s">
        <v>7</v>
      </c>
      <c r="G511" s="66" t="s">
        <v>11</v>
      </c>
      <c r="H511" s="66" t="str">
        <f>TEXT(Data[[#This Row],[Buchung]],"MMM")</f>
        <v>Mai</v>
      </c>
      <c r="I511" s="67">
        <f>YEAR(Data[[#This Row],[Buchung]])</f>
        <v>2016</v>
      </c>
      <c r="J511" s="2">
        <f>ABS(Data[[#This Row],[Betrag]])</f>
        <v>70</v>
      </c>
      <c r="K511" s="66" t="str">
        <f>IF(Data[[#This Row],[Betrag]]&lt;0,"A","E")</f>
        <v>A</v>
      </c>
    </row>
    <row r="512" spans="1:11" x14ac:dyDescent="0.25">
      <c r="A512" s="1">
        <v>42515</v>
      </c>
      <c r="B512" s="66" t="s">
        <v>54</v>
      </c>
      <c r="C512" s="66" t="s">
        <v>55</v>
      </c>
      <c r="D512" t="s">
        <v>66</v>
      </c>
      <c r="E512">
        <v>-80</v>
      </c>
      <c r="F512" s="66" t="s">
        <v>7</v>
      </c>
      <c r="G512" s="66" t="s">
        <v>57</v>
      </c>
      <c r="H512" s="66" t="str">
        <f>TEXT(Data[[#This Row],[Buchung]],"MMM")</f>
        <v>Mai</v>
      </c>
      <c r="I512" s="67">
        <f>YEAR(Data[[#This Row],[Buchung]])</f>
        <v>2016</v>
      </c>
      <c r="J512" s="2">
        <f>ABS(Data[[#This Row],[Betrag]])</f>
        <v>80</v>
      </c>
      <c r="K512" s="66" t="str">
        <f>IF(Data[[#This Row],[Betrag]]&lt;0,"A","E")</f>
        <v>A</v>
      </c>
    </row>
    <row r="513" spans="1:11" x14ac:dyDescent="0.25">
      <c r="A513" s="1">
        <v>42516</v>
      </c>
      <c r="B513" s="66" t="s">
        <v>67</v>
      </c>
      <c r="C513" s="66" t="s">
        <v>59</v>
      </c>
      <c r="D513" t="s">
        <v>68</v>
      </c>
      <c r="E513">
        <v>-25</v>
      </c>
      <c r="F513" s="66" t="s">
        <v>7</v>
      </c>
      <c r="G513" s="66" t="s">
        <v>10</v>
      </c>
      <c r="H513" s="66" t="str">
        <f>TEXT(Data[[#This Row],[Buchung]],"MMM")</f>
        <v>Mai</v>
      </c>
      <c r="I513" s="67">
        <f>YEAR(Data[[#This Row],[Buchung]])</f>
        <v>2016</v>
      </c>
      <c r="J513" s="2">
        <f>ABS(Data[[#This Row],[Betrag]])</f>
        <v>25</v>
      </c>
      <c r="K513" s="66" t="str">
        <f>IF(Data[[#This Row],[Betrag]]&lt;0,"A","E")</f>
        <v>A</v>
      </c>
    </row>
    <row r="514" spans="1:11" x14ac:dyDescent="0.25">
      <c r="A514" s="1">
        <v>42517</v>
      </c>
      <c r="B514" s="66" t="s">
        <v>45</v>
      </c>
      <c r="C514" s="66" t="s">
        <v>46</v>
      </c>
      <c r="D514" t="s">
        <v>47</v>
      </c>
      <c r="E514">
        <v>1000</v>
      </c>
      <c r="F514" s="66" t="s">
        <v>7</v>
      </c>
      <c r="G514" s="66" t="s">
        <v>9</v>
      </c>
      <c r="H514" s="66" t="str">
        <f>TEXT(Data[[#This Row],[Buchung]],"MMM")</f>
        <v>Mai</v>
      </c>
      <c r="I514" s="67">
        <f>YEAR(Data[[#This Row],[Buchung]])</f>
        <v>2016</v>
      </c>
      <c r="J514" s="2">
        <f>ABS(Data[[#This Row],[Betrag]])</f>
        <v>1000</v>
      </c>
      <c r="K514" s="66" t="str">
        <f>IF(Data[[#This Row],[Betrag]]&lt;0,"A","E")</f>
        <v>E</v>
      </c>
    </row>
    <row r="515" spans="1:11" x14ac:dyDescent="0.25">
      <c r="A515" s="1">
        <v>42518</v>
      </c>
      <c r="B515" s="66" t="s">
        <v>48</v>
      </c>
      <c r="C515" s="66" t="s">
        <v>49</v>
      </c>
      <c r="D515" t="s">
        <v>50</v>
      </c>
      <c r="E515">
        <v>-15</v>
      </c>
      <c r="F515" s="66" t="s">
        <v>7</v>
      </c>
      <c r="G515" s="66" t="s">
        <v>8</v>
      </c>
      <c r="H515" s="66" t="str">
        <f>TEXT(Data[[#This Row],[Buchung]],"MMM")</f>
        <v>Mai</v>
      </c>
      <c r="I515" s="67">
        <f>YEAR(Data[[#This Row],[Buchung]])</f>
        <v>2016</v>
      </c>
      <c r="J515" s="2">
        <f>ABS(Data[[#This Row],[Betrag]])</f>
        <v>15</v>
      </c>
      <c r="K515" s="66" t="str">
        <f>IF(Data[[#This Row],[Betrag]]&lt;0,"A","E")</f>
        <v>A</v>
      </c>
    </row>
    <row r="516" spans="1:11" x14ac:dyDescent="0.25">
      <c r="A516" s="1">
        <v>42519</v>
      </c>
      <c r="B516" s="66" t="s">
        <v>51</v>
      </c>
      <c r="C516" s="66" t="s">
        <v>52</v>
      </c>
      <c r="D516" t="s">
        <v>53</v>
      </c>
      <c r="E516">
        <v>-350</v>
      </c>
      <c r="F516" s="66" t="s">
        <v>7</v>
      </c>
      <c r="G516" s="66" t="s">
        <v>11</v>
      </c>
      <c r="H516" s="66" t="str">
        <f>TEXT(Data[[#This Row],[Buchung]],"MMM")</f>
        <v>Mai</v>
      </c>
      <c r="I516" s="67">
        <f>YEAR(Data[[#This Row],[Buchung]])</f>
        <v>2016</v>
      </c>
      <c r="J516" s="2">
        <f>ABS(Data[[#This Row],[Betrag]])</f>
        <v>350</v>
      </c>
      <c r="K516" s="66" t="str">
        <f>IF(Data[[#This Row],[Betrag]]&lt;0,"A","E")</f>
        <v>A</v>
      </c>
    </row>
    <row r="517" spans="1:11" x14ac:dyDescent="0.25">
      <c r="A517" s="1">
        <v>42520</v>
      </c>
      <c r="B517" s="66" t="s">
        <v>54</v>
      </c>
      <c r="C517" s="66" t="s">
        <v>55</v>
      </c>
      <c r="D517" t="s">
        <v>56</v>
      </c>
      <c r="E517">
        <v>-120</v>
      </c>
      <c r="F517" s="66" t="s">
        <v>7</v>
      </c>
      <c r="G517" s="66" t="s">
        <v>57</v>
      </c>
      <c r="H517" s="66" t="str">
        <f>TEXT(Data[[#This Row],[Buchung]],"MMM")</f>
        <v>Mai</v>
      </c>
      <c r="I517" s="67">
        <f>YEAR(Data[[#This Row],[Buchung]])</f>
        <v>2016</v>
      </c>
      <c r="J517" s="2">
        <f>ABS(Data[[#This Row],[Betrag]])</f>
        <v>120</v>
      </c>
      <c r="K517" s="66" t="str">
        <f>IF(Data[[#This Row],[Betrag]]&lt;0,"A","E")</f>
        <v>A</v>
      </c>
    </row>
    <row r="518" spans="1:11" x14ac:dyDescent="0.25">
      <c r="A518" s="1">
        <v>42521</v>
      </c>
      <c r="B518" s="66" t="s">
        <v>58</v>
      </c>
      <c r="C518" s="66" t="s">
        <v>59</v>
      </c>
      <c r="D518" t="s">
        <v>60</v>
      </c>
      <c r="E518">
        <v>-70</v>
      </c>
      <c r="F518" s="66" t="s">
        <v>7</v>
      </c>
      <c r="G518" s="66" t="s">
        <v>10</v>
      </c>
      <c r="H518" s="66" t="str">
        <f>TEXT(Data[[#This Row],[Buchung]],"MMM")</f>
        <v>Mai</v>
      </c>
      <c r="I518" s="67">
        <f>YEAR(Data[[#This Row],[Buchung]])</f>
        <v>2016</v>
      </c>
      <c r="J518" s="2">
        <f>ABS(Data[[#This Row],[Betrag]])</f>
        <v>70</v>
      </c>
      <c r="K518" s="66" t="str">
        <f>IF(Data[[#This Row],[Betrag]]&lt;0,"A","E")</f>
        <v>A</v>
      </c>
    </row>
    <row r="519" spans="1:11" x14ac:dyDescent="0.25">
      <c r="A519" s="1">
        <v>42522</v>
      </c>
      <c r="B519" s="66" t="s">
        <v>45</v>
      </c>
      <c r="C519" s="66" t="s">
        <v>46</v>
      </c>
      <c r="D519" t="s">
        <v>47</v>
      </c>
      <c r="E519">
        <v>1000</v>
      </c>
      <c r="F519" s="66" t="s">
        <v>7</v>
      </c>
      <c r="G519" s="66" t="s">
        <v>9</v>
      </c>
      <c r="H519" s="66" t="str">
        <f>TEXT(Data[[#This Row],[Buchung]],"MMM")</f>
        <v>Jun</v>
      </c>
      <c r="I519" s="67">
        <f>YEAR(Data[[#This Row],[Buchung]])</f>
        <v>2016</v>
      </c>
      <c r="J519" s="2">
        <f>ABS(Data[[#This Row],[Betrag]])</f>
        <v>1000</v>
      </c>
      <c r="K519" s="66" t="str">
        <f>IF(Data[[#This Row],[Betrag]]&lt;0,"A","E")</f>
        <v>E</v>
      </c>
    </row>
    <row r="520" spans="1:11" x14ac:dyDescent="0.25">
      <c r="A520" s="1">
        <v>42523</v>
      </c>
      <c r="B520" s="66" t="s">
        <v>61</v>
      </c>
      <c r="C520" s="66" t="s">
        <v>49</v>
      </c>
      <c r="D520" t="s">
        <v>62</v>
      </c>
      <c r="E520">
        <v>-10</v>
      </c>
      <c r="F520" s="66" t="s">
        <v>7</v>
      </c>
      <c r="G520" s="66" t="s">
        <v>8</v>
      </c>
      <c r="H520" s="66" t="str">
        <f>TEXT(Data[[#This Row],[Buchung]],"MMM")</f>
        <v>Jun</v>
      </c>
      <c r="I520" s="67">
        <f>YEAR(Data[[#This Row],[Buchung]])</f>
        <v>2016</v>
      </c>
      <c r="J520" s="2">
        <f>ABS(Data[[#This Row],[Betrag]])</f>
        <v>10</v>
      </c>
      <c r="K520" s="66" t="str">
        <f>IF(Data[[#This Row],[Betrag]]&lt;0,"A","E")</f>
        <v>A</v>
      </c>
    </row>
    <row r="521" spans="1:11" x14ac:dyDescent="0.25">
      <c r="A521" s="1">
        <v>42524</v>
      </c>
      <c r="B521" s="66" t="s">
        <v>63</v>
      </c>
      <c r="C521" s="66" t="s">
        <v>64</v>
      </c>
      <c r="D521" t="s">
        <v>65</v>
      </c>
      <c r="E521">
        <v>-60</v>
      </c>
      <c r="F521" s="66" t="s">
        <v>7</v>
      </c>
      <c r="G521" s="66" t="s">
        <v>11</v>
      </c>
      <c r="H521" s="66" t="str">
        <f>TEXT(Data[[#This Row],[Buchung]],"MMM")</f>
        <v>Jun</v>
      </c>
      <c r="I521" s="67">
        <f>YEAR(Data[[#This Row],[Buchung]])</f>
        <v>2016</v>
      </c>
      <c r="J521" s="2">
        <f>ABS(Data[[#This Row],[Betrag]])</f>
        <v>60</v>
      </c>
      <c r="K521" s="66" t="str">
        <f>IF(Data[[#This Row],[Betrag]]&lt;0,"A","E")</f>
        <v>A</v>
      </c>
    </row>
    <row r="522" spans="1:11" x14ac:dyDescent="0.25">
      <c r="A522" s="1">
        <v>42525</v>
      </c>
      <c r="B522" s="66" t="s">
        <v>54</v>
      </c>
      <c r="C522" s="66" t="s">
        <v>55</v>
      </c>
      <c r="D522" t="s">
        <v>66</v>
      </c>
      <c r="E522">
        <v>-80</v>
      </c>
      <c r="F522" s="66" t="s">
        <v>7</v>
      </c>
      <c r="G522" s="66" t="s">
        <v>57</v>
      </c>
      <c r="H522" s="66" t="str">
        <f>TEXT(Data[[#This Row],[Buchung]],"MMM")</f>
        <v>Jun</v>
      </c>
      <c r="I522" s="67">
        <f>YEAR(Data[[#This Row],[Buchung]])</f>
        <v>2016</v>
      </c>
      <c r="J522" s="2">
        <f>ABS(Data[[#This Row],[Betrag]])</f>
        <v>80</v>
      </c>
      <c r="K522" s="66" t="str">
        <f>IF(Data[[#This Row],[Betrag]]&lt;0,"A","E")</f>
        <v>A</v>
      </c>
    </row>
    <row r="523" spans="1:11" x14ac:dyDescent="0.25">
      <c r="A523" s="1">
        <v>42526</v>
      </c>
      <c r="B523" s="66" t="s">
        <v>67</v>
      </c>
      <c r="C523" s="66" t="s">
        <v>59</v>
      </c>
      <c r="D523" t="s">
        <v>68</v>
      </c>
      <c r="E523">
        <v>-30</v>
      </c>
      <c r="F523" s="66" t="s">
        <v>7</v>
      </c>
      <c r="G523" s="66" t="s">
        <v>10</v>
      </c>
      <c r="H523" s="66" t="str">
        <f>TEXT(Data[[#This Row],[Buchung]],"MMM")</f>
        <v>Jun</v>
      </c>
      <c r="I523" s="67">
        <f>YEAR(Data[[#This Row],[Buchung]])</f>
        <v>2016</v>
      </c>
      <c r="J523" s="2">
        <f>ABS(Data[[#This Row],[Betrag]])</f>
        <v>30</v>
      </c>
      <c r="K523" s="66" t="str">
        <f>IF(Data[[#This Row],[Betrag]]&lt;0,"A","E")</f>
        <v>A</v>
      </c>
    </row>
    <row r="524" spans="1:11" x14ac:dyDescent="0.25">
      <c r="A524" s="1">
        <v>42527</v>
      </c>
      <c r="B524" s="66" t="s">
        <v>45</v>
      </c>
      <c r="C524" s="66" t="s">
        <v>46</v>
      </c>
      <c r="D524" t="s">
        <v>47</v>
      </c>
      <c r="E524">
        <v>1000</v>
      </c>
      <c r="F524" s="66" t="s">
        <v>7</v>
      </c>
      <c r="G524" s="66" t="s">
        <v>9</v>
      </c>
      <c r="H524" s="66" t="str">
        <f>TEXT(Data[[#This Row],[Buchung]],"MMM")</f>
        <v>Jun</v>
      </c>
      <c r="I524" s="67">
        <f>YEAR(Data[[#This Row],[Buchung]])</f>
        <v>2016</v>
      </c>
      <c r="J524" s="2">
        <f>ABS(Data[[#This Row],[Betrag]])</f>
        <v>1000</v>
      </c>
      <c r="K524" s="66" t="str">
        <f>IF(Data[[#This Row],[Betrag]]&lt;0,"A","E")</f>
        <v>E</v>
      </c>
    </row>
    <row r="525" spans="1:11" x14ac:dyDescent="0.25">
      <c r="A525" s="1">
        <v>42528</v>
      </c>
      <c r="B525" s="66" t="s">
        <v>48</v>
      </c>
      <c r="C525" s="66" t="s">
        <v>49</v>
      </c>
      <c r="D525" t="s">
        <v>50</v>
      </c>
      <c r="E525">
        <v>-15</v>
      </c>
      <c r="F525" s="66" t="s">
        <v>7</v>
      </c>
      <c r="G525" s="66" t="s">
        <v>8</v>
      </c>
      <c r="H525" s="66" t="str">
        <f>TEXT(Data[[#This Row],[Buchung]],"MMM")</f>
        <v>Jun</v>
      </c>
      <c r="I525" s="67">
        <f>YEAR(Data[[#This Row],[Buchung]])</f>
        <v>2016</v>
      </c>
      <c r="J525" s="2">
        <f>ABS(Data[[#This Row],[Betrag]])</f>
        <v>15</v>
      </c>
      <c r="K525" s="66" t="str">
        <f>IF(Data[[#This Row],[Betrag]]&lt;0,"A","E")</f>
        <v>A</v>
      </c>
    </row>
    <row r="526" spans="1:11" x14ac:dyDescent="0.25">
      <c r="A526" s="1">
        <v>42529</v>
      </c>
      <c r="B526" s="66" t="s">
        <v>51</v>
      </c>
      <c r="C526" s="66" t="s">
        <v>52</v>
      </c>
      <c r="D526" t="s">
        <v>53</v>
      </c>
      <c r="E526">
        <v>-350</v>
      </c>
      <c r="F526" s="66" t="s">
        <v>7</v>
      </c>
      <c r="G526" s="66" t="s">
        <v>11</v>
      </c>
      <c r="H526" s="66" t="str">
        <f>TEXT(Data[[#This Row],[Buchung]],"MMM")</f>
        <v>Jun</v>
      </c>
      <c r="I526" s="67">
        <f>YEAR(Data[[#This Row],[Buchung]])</f>
        <v>2016</v>
      </c>
      <c r="J526" s="2">
        <f>ABS(Data[[#This Row],[Betrag]])</f>
        <v>350</v>
      </c>
      <c r="K526" s="66" t="str">
        <f>IF(Data[[#This Row],[Betrag]]&lt;0,"A","E")</f>
        <v>A</v>
      </c>
    </row>
    <row r="527" spans="1:11" x14ac:dyDescent="0.25">
      <c r="A527" s="1">
        <v>42530</v>
      </c>
      <c r="B527" s="66" t="s">
        <v>54</v>
      </c>
      <c r="C527" s="66" t="s">
        <v>55</v>
      </c>
      <c r="D527" t="s">
        <v>56</v>
      </c>
      <c r="E527">
        <v>-120</v>
      </c>
      <c r="F527" s="66" t="s">
        <v>7</v>
      </c>
      <c r="G527" s="66" t="s">
        <v>57</v>
      </c>
      <c r="H527" s="66" t="str">
        <f>TEXT(Data[[#This Row],[Buchung]],"MMM")</f>
        <v>Jun</v>
      </c>
      <c r="I527" s="67">
        <f>YEAR(Data[[#This Row],[Buchung]])</f>
        <v>2016</v>
      </c>
      <c r="J527" s="2">
        <f>ABS(Data[[#This Row],[Betrag]])</f>
        <v>120</v>
      </c>
      <c r="K527" s="66" t="str">
        <f>IF(Data[[#This Row],[Betrag]]&lt;0,"A","E")</f>
        <v>A</v>
      </c>
    </row>
    <row r="528" spans="1:11" x14ac:dyDescent="0.25">
      <c r="A528" s="1">
        <v>42531</v>
      </c>
      <c r="B528" s="66" t="s">
        <v>58</v>
      </c>
      <c r="C528" s="66" t="s">
        <v>59</v>
      </c>
      <c r="D528" t="s">
        <v>60</v>
      </c>
      <c r="E528">
        <v>-80</v>
      </c>
      <c r="F528" s="66" t="s">
        <v>7</v>
      </c>
      <c r="G528" s="66" t="s">
        <v>10</v>
      </c>
      <c r="H528" s="66" t="str">
        <f>TEXT(Data[[#This Row],[Buchung]],"MMM")</f>
        <v>Jun</v>
      </c>
      <c r="I528" s="67">
        <f>YEAR(Data[[#This Row],[Buchung]])</f>
        <v>2016</v>
      </c>
      <c r="J528" s="2">
        <f>ABS(Data[[#This Row],[Betrag]])</f>
        <v>80</v>
      </c>
      <c r="K528" s="66" t="str">
        <f>IF(Data[[#This Row],[Betrag]]&lt;0,"A","E")</f>
        <v>A</v>
      </c>
    </row>
    <row r="529" spans="1:11" x14ac:dyDescent="0.25">
      <c r="A529" s="1">
        <v>42532</v>
      </c>
      <c r="B529" s="66" t="s">
        <v>45</v>
      </c>
      <c r="C529" s="66" t="s">
        <v>46</v>
      </c>
      <c r="D529" t="s">
        <v>47</v>
      </c>
      <c r="E529">
        <v>1000</v>
      </c>
      <c r="F529" s="66" t="s">
        <v>7</v>
      </c>
      <c r="G529" s="66" t="s">
        <v>9</v>
      </c>
      <c r="H529" s="66" t="str">
        <f>TEXT(Data[[#This Row],[Buchung]],"MMM")</f>
        <v>Jun</v>
      </c>
      <c r="I529" s="67">
        <f>YEAR(Data[[#This Row],[Buchung]])</f>
        <v>2016</v>
      </c>
      <c r="J529" s="2">
        <f>ABS(Data[[#This Row],[Betrag]])</f>
        <v>1000</v>
      </c>
      <c r="K529" s="66" t="str">
        <f>IF(Data[[#This Row],[Betrag]]&lt;0,"A","E")</f>
        <v>E</v>
      </c>
    </row>
    <row r="530" spans="1:11" x14ac:dyDescent="0.25">
      <c r="A530" s="1">
        <v>42533</v>
      </c>
      <c r="B530" s="66" t="s">
        <v>61</v>
      </c>
      <c r="C530" s="66" t="s">
        <v>49</v>
      </c>
      <c r="D530" t="s">
        <v>62</v>
      </c>
      <c r="E530">
        <v>-10</v>
      </c>
      <c r="F530" s="66" t="s">
        <v>7</v>
      </c>
      <c r="G530" s="66" t="s">
        <v>8</v>
      </c>
      <c r="H530" s="66" t="str">
        <f>TEXT(Data[[#This Row],[Buchung]],"MMM")</f>
        <v>Jun</v>
      </c>
      <c r="I530" s="67">
        <f>YEAR(Data[[#This Row],[Buchung]])</f>
        <v>2016</v>
      </c>
      <c r="J530" s="2">
        <f>ABS(Data[[#This Row],[Betrag]])</f>
        <v>10</v>
      </c>
      <c r="K530" s="66" t="str">
        <f>IF(Data[[#This Row],[Betrag]]&lt;0,"A","E")</f>
        <v>A</v>
      </c>
    </row>
    <row r="531" spans="1:11" x14ac:dyDescent="0.25">
      <c r="A531" s="1">
        <v>42534</v>
      </c>
      <c r="B531" s="66" t="s">
        <v>63</v>
      </c>
      <c r="C531" s="66" t="s">
        <v>64</v>
      </c>
      <c r="D531" t="s">
        <v>65</v>
      </c>
      <c r="E531">
        <v>-65</v>
      </c>
      <c r="F531" s="66" t="s">
        <v>7</v>
      </c>
      <c r="G531" s="66" t="s">
        <v>11</v>
      </c>
      <c r="H531" s="66" t="str">
        <f>TEXT(Data[[#This Row],[Buchung]],"MMM")</f>
        <v>Jun</v>
      </c>
      <c r="I531" s="67">
        <f>YEAR(Data[[#This Row],[Buchung]])</f>
        <v>2016</v>
      </c>
      <c r="J531" s="2">
        <f>ABS(Data[[#This Row],[Betrag]])</f>
        <v>65</v>
      </c>
      <c r="K531" s="66" t="str">
        <f>IF(Data[[#This Row],[Betrag]]&lt;0,"A","E")</f>
        <v>A</v>
      </c>
    </row>
    <row r="532" spans="1:11" x14ac:dyDescent="0.25">
      <c r="A532" s="1">
        <v>42535</v>
      </c>
      <c r="B532" s="66" t="s">
        <v>54</v>
      </c>
      <c r="C532" s="66" t="s">
        <v>55</v>
      </c>
      <c r="D532" t="s">
        <v>66</v>
      </c>
      <c r="E532">
        <v>-80</v>
      </c>
      <c r="F532" s="66" t="s">
        <v>7</v>
      </c>
      <c r="G532" s="66" t="s">
        <v>57</v>
      </c>
      <c r="H532" s="66" t="str">
        <f>TEXT(Data[[#This Row],[Buchung]],"MMM")</f>
        <v>Jun</v>
      </c>
      <c r="I532" s="67">
        <f>YEAR(Data[[#This Row],[Buchung]])</f>
        <v>2016</v>
      </c>
      <c r="J532" s="2">
        <f>ABS(Data[[#This Row],[Betrag]])</f>
        <v>80</v>
      </c>
      <c r="K532" s="66" t="str">
        <f>IF(Data[[#This Row],[Betrag]]&lt;0,"A","E")</f>
        <v>A</v>
      </c>
    </row>
    <row r="533" spans="1:11" x14ac:dyDescent="0.25">
      <c r="A533" s="1">
        <v>42536</v>
      </c>
      <c r="B533" s="66" t="s">
        <v>67</v>
      </c>
      <c r="C533" s="66" t="s">
        <v>59</v>
      </c>
      <c r="D533" t="s">
        <v>68</v>
      </c>
      <c r="E533">
        <v>-35</v>
      </c>
      <c r="F533" s="66" t="s">
        <v>7</v>
      </c>
      <c r="G533" s="66" t="s">
        <v>10</v>
      </c>
      <c r="H533" s="66" t="str">
        <f>TEXT(Data[[#This Row],[Buchung]],"MMM")</f>
        <v>Jun</v>
      </c>
      <c r="I533" s="67">
        <f>YEAR(Data[[#This Row],[Buchung]])</f>
        <v>2016</v>
      </c>
      <c r="J533" s="2">
        <f>ABS(Data[[#This Row],[Betrag]])</f>
        <v>35</v>
      </c>
      <c r="K533" s="66" t="str">
        <f>IF(Data[[#This Row],[Betrag]]&lt;0,"A","E")</f>
        <v>A</v>
      </c>
    </row>
    <row r="534" spans="1:11" x14ac:dyDescent="0.25">
      <c r="A534" s="1">
        <v>42537</v>
      </c>
      <c r="B534" s="66" t="s">
        <v>45</v>
      </c>
      <c r="C534" s="66" t="s">
        <v>46</v>
      </c>
      <c r="D534" t="s">
        <v>47</v>
      </c>
      <c r="E534">
        <v>1000</v>
      </c>
      <c r="F534" s="66" t="s">
        <v>7</v>
      </c>
      <c r="G534" s="66" t="s">
        <v>9</v>
      </c>
      <c r="H534" s="66" t="str">
        <f>TEXT(Data[[#This Row],[Buchung]],"MMM")</f>
        <v>Jun</v>
      </c>
      <c r="I534" s="67">
        <f>YEAR(Data[[#This Row],[Buchung]])</f>
        <v>2016</v>
      </c>
      <c r="J534" s="2">
        <f>ABS(Data[[#This Row],[Betrag]])</f>
        <v>1000</v>
      </c>
      <c r="K534" s="66" t="str">
        <f>IF(Data[[#This Row],[Betrag]]&lt;0,"A","E")</f>
        <v>E</v>
      </c>
    </row>
    <row r="535" spans="1:11" x14ac:dyDescent="0.25">
      <c r="A535" s="1">
        <v>42538</v>
      </c>
      <c r="B535" s="66" t="s">
        <v>45</v>
      </c>
      <c r="C535" s="66" t="s">
        <v>46</v>
      </c>
      <c r="D535" t="s">
        <v>47</v>
      </c>
      <c r="E535">
        <v>1000</v>
      </c>
      <c r="F535" s="66" t="s">
        <v>7</v>
      </c>
      <c r="G535" s="66" t="s">
        <v>9</v>
      </c>
      <c r="H535" s="66" t="str">
        <f>TEXT(Data[[#This Row],[Buchung]],"MMM")</f>
        <v>Jun</v>
      </c>
      <c r="I535" s="67">
        <f>YEAR(Data[[#This Row],[Buchung]])</f>
        <v>2016</v>
      </c>
      <c r="J535" s="2">
        <f>ABS(Data[[#This Row],[Betrag]])</f>
        <v>1000</v>
      </c>
      <c r="K535" s="66" t="str">
        <f>IF(Data[[#This Row],[Betrag]]&lt;0,"A","E")</f>
        <v>E</v>
      </c>
    </row>
    <row r="536" spans="1:11" x14ac:dyDescent="0.25">
      <c r="A536" s="1">
        <v>42539</v>
      </c>
      <c r="B536" s="66" t="s">
        <v>48</v>
      </c>
      <c r="C536" s="66" t="s">
        <v>49</v>
      </c>
      <c r="D536" t="s">
        <v>50</v>
      </c>
      <c r="E536">
        <v>-15</v>
      </c>
      <c r="F536" s="66" t="s">
        <v>7</v>
      </c>
      <c r="G536" s="66" t="s">
        <v>8</v>
      </c>
      <c r="H536" s="66" t="str">
        <f>TEXT(Data[[#This Row],[Buchung]],"MMM")</f>
        <v>Jun</v>
      </c>
      <c r="I536" s="67">
        <f>YEAR(Data[[#This Row],[Buchung]])</f>
        <v>2016</v>
      </c>
      <c r="J536" s="2">
        <f>ABS(Data[[#This Row],[Betrag]])</f>
        <v>15</v>
      </c>
      <c r="K536" s="66" t="str">
        <f>IF(Data[[#This Row],[Betrag]]&lt;0,"A","E")</f>
        <v>A</v>
      </c>
    </row>
    <row r="537" spans="1:11" x14ac:dyDescent="0.25">
      <c r="A537" s="1">
        <v>42540</v>
      </c>
      <c r="B537" s="66" t="s">
        <v>51</v>
      </c>
      <c r="C537" s="66" t="s">
        <v>52</v>
      </c>
      <c r="D537" t="s">
        <v>53</v>
      </c>
      <c r="E537">
        <v>-350</v>
      </c>
      <c r="F537" s="66" t="s">
        <v>7</v>
      </c>
      <c r="G537" s="66" t="s">
        <v>11</v>
      </c>
      <c r="H537" s="66" t="str">
        <f>TEXT(Data[[#This Row],[Buchung]],"MMM")</f>
        <v>Jun</v>
      </c>
      <c r="I537" s="67">
        <f>YEAR(Data[[#This Row],[Buchung]])</f>
        <v>2016</v>
      </c>
      <c r="J537" s="2">
        <f>ABS(Data[[#This Row],[Betrag]])</f>
        <v>350</v>
      </c>
      <c r="K537" s="66" t="str">
        <f>IF(Data[[#This Row],[Betrag]]&lt;0,"A","E")</f>
        <v>A</v>
      </c>
    </row>
    <row r="538" spans="1:11" x14ac:dyDescent="0.25">
      <c r="A538" s="1">
        <v>42541</v>
      </c>
      <c r="B538" s="66" t="s">
        <v>54</v>
      </c>
      <c r="C538" s="66" t="s">
        <v>55</v>
      </c>
      <c r="D538" t="s">
        <v>56</v>
      </c>
      <c r="E538">
        <v>-120</v>
      </c>
      <c r="F538" s="66" t="s">
        <v>7</v>
      </c>
      <c r="G538" s="66" t="s">
        <v>57</v>
      </c>
      <c r="H538" s="66" t="str">
        <f>TEXT(Data[[#This Row],[Buchung]],"MMM")</f>
        <v>Jun</v>
      </c>
      <c r="I538" s="67">
        <f>YEAR(Data[[#This Row],[Buchung]])</f>
        <v>2016</v>
      </c>
      <c r="J538" s="2">
        <f>ABS(Data[[#This Row],[Betrag]])</f>
        <v>120</v>
      </c>
      <c r="K538" s="66" t="str">
        <f>IF(Data[[#This Row],[Betrag]]&lt;0,"A","E")</f>
        <v>A</v>
      </c>
    </row>
    <row r="539" spans="1:11" x14ac:dyDescent="0.25">
      <c r="A539" s="1">
        <v>42542</v>
      </c>
      <c r="B539" s="66" t="s">
        <v>58</v>
      </c>
      <c r="C539" s="66" t="s">
        <v>59</v>
      </c>
      <c r="D539" t="s">
        <v>60</v>
      </c>
      <c r="E539">
        <v>-50</v>
      </c>
      <c r="F539" s="66" t="s">
        <v>7</v>
      </c>
      <c r="G539" s="66" t="s">
        <v>10</v>
      </c>
      <c r="H539" s="66" t="str">
        <f>TEXT(Data[[#This Row],[Buchung]],"MMM")</f>
        <v>Jun</v>
      </c>
      <c r="I539" s="67">
        <f>YEAR(Data[[#This Row],[Buchung]])</f>
        <v>2016</v>
      </c>
      <c r="J539" s="2">
        <f>ABS(Data[[#This Row],[Betrag]])</f>
        <v>50</v>
      </c>
      <c r="K539" s="66" t="str">
        <f>IF(Data[[#This Row],[Betrag]]&lt;0,"A","E")</f>
        <v>A</v>
      </c>
    </row>
    <row r="540" spans="1:11" x14ac:dyDescent="0.25">
      <c r="A540" s="1">
        <v>42543</v>
      </c>
      <c r="B540" s="66" t="s">
        <v>45</v>
      </c>
      <c r="C540" s="66" t="s">
        <v>46</v>
      </c>
      <c r="D540" t="s">
        <v>47</v>
      </c>
      <c r="E540">
        <v>1000</v>
      </c>
      <c r="F540" s="66" t="s">
        <v>7</v>
      </c>
      <c r="G540" s="66" t="s">
        <v>9</v>
      </c>
      <c r="H540" s="66" t="str">
        <f>TEXT(Data[[#This Row],[Buchung]],"MMM")</f>
        <v>Jun</v>
      </c>
      <c r="I540" s="67">
        <f>YEAR(Data[[#This Row],[Buchung]])</f>
        <v>2016</v>
      </c>
      <c r="J540" s="2">
        <f>ABS(Data[[#This Row],[Betrag]])</f>
        <v>1000</v>
      </c>
      <c r="K540" s="66" t="str">
        <f>IF(Data[[#This Row],[Betrag]]&lt;0,"A","E")</f>
        <v>E</v>
      </c>
    </row>
    <row r="541" spans="1:11" x14ac:dyDescent="0.25">
      <c r="A541" s="1">
        <v>42544</v>
      </c>
      <c r="B541" s="66" t="s">
        <v>61</v>
      </c>
      <c r="C541" s="66" t="s">
        <v>49</v>
      </c>
      <c r="D541" t="s">
        <v>62</v>
      </c>
      <c r="E541">
        <v>-10</v>
      </c>
      <c r="F541" s="66" t="s">
        <v>7</v>
      </c>
      <c r="G541" s="66" t="s">
        <v>8</v>
      </c>
      <c r="H541" s="66" t="str">
        <f>TEXT(Data[[#This Row],[Buchung]],"MMM")</f>
        <v>Jun</v>
      </c>
      <c r="I541" s="67">
        <f>YEAR(Data[[#This Row],[Buchung]])</f>
        <v>2016</v>
      </c>
      <c r="J541" s="2">
        <f>ABS(Data[[#This Row],[Betrag]])</f>
        <v>10</v>
      </c>
      <c r="K541" s="66" t="str">
        <f>IF(Data[[#This Row],[Betrag]]&lt;0,"A","E")</f>
        <v>A</v>
      </c>
    </row>
    <row r="542" spans="1:11" x14ac:dyDescent="0.25">
      <c r="A542" s="1">
        <v>42545</v>
      </c>
      <c r="B542" s="66" t="s">
        <v>63</v>
      </c>
      <c r="C542" s="66" t="s">
        <v>64</v>
      </c>
      <c r="D542" t="s">
        <v>65</v>
      </c>
      <c r="E542">
        <v>-60</v>
      </c>
      <c r="F542" s="66" t="s">
        <v>7</v>
      </c>
      <c r="G542" s="66" t="s">
        <v>11</v>
      </c>
      <c r="H542" s="66" t="str">
        <f>TEXT(Data[[#This Row],[Buchung]],"MMM")</f>
        <v>Jun</v>
      </c>
      <c r="I542" s="67">
        <f>YEAR(Data[[#This Row],[Buchung]])</f>
        <v>2016</v>
      </c>
      <c r="J542" s="2">
        <f>ABS(Data[[#This Row],[Betrag]])</f>
        <v>60</v>
      </c>
      <c r="K542" s="66" t="str">
        <f>IF(Data[[#This Row],[Betrag]]&lt;0,"A","E")</f>
        <v>A</v>
      </c>
    </row>
    <row r="543" spans="1:11" x14ac:dyDescent="0.25">
      <c r="A543" s="1">
        <v>42546</v>
      </c>
      <c r="B543" s="66" t="s">
        <v>54</v>
      </c>
      <c r="C543" s="66" t="s">
        <v>55</v>
      </c>
      <c r="D543" t="s">
        <v>66</v>
      </c>
      <c r="E543">
        <v>-80</v>
      </c>
      <c r="F543" s="66" t="s">
        <v>7</v>
      </c>
      <c r="G543" s="66" t="s">
        <v>57</v>
      </c>
      <c r="H543" s="66" t="str">
        <f>TEXT(Data[[#This Row],[Buchung]],"MMM")</f>
        <v>Jun</v>
      </c>
      <c r="I543" s="67">
        <f>YEAR(Data[[#This Row],[Buchung]])</f>
        <v>2016</v>
      </c>
      <c r="J543" s="2">
        <f>ABS(Data[[#This Row],[Betrag]])</f>
        <v>80</v>
      </c>
      <c r="K543" s="66" t="str">
        <f>IF(Data[[#This Row],[Betrag]]&lt;0,"A","E")</f>
        <v>A</v>
      </c>
    </row>
    <row r="544" spans="1:11" x14ac:dyDescent="0.25">
      <c r="A544" s="1">
        <v>42547</v>
      </c>
      <c r="B544" s="66" t="s">
        <v>67</v>
      </c>
      <c r="C544" s="66" t="s">
        <v>59</v>
      </c>
      <c r="D544" t="s">
        <v>68</v>
      </c>
      <c r="E544">
        <v>-20</v>
      </c>
      <c r="F544" s="66" t="s">
        <v>7</v>
      </c>
      <c r="G544" s="66" t="s">
        <v>10</v>
      </c>
      <c r="H544" s="66" t="str">
        <f>TEXT(Data[[#This Row],[Buchung]],"MMM")</f>
        <v>Jun</v>
      </c>
      <c r="I544" s="67">
        <f>YEAR(Data[[#This Row],[Buchung]])</f>
        <v>2016</v>
      </c>
      <c r="J544" s="2">
        <f>ABS(Data[[#This Row],[Betrag]])</f>
        <v>20</v>
      </c>
      <c r="K544" s="66" t="str">
        <f>IF(Data[[#This Row],[Betrag]]&lt;0,"A","E")</f>
        <v>A</v>
      </c>
    </row>
    <row r="545" spans="1:11" x14ac:dyDescent="0.25">
      <c r="A545" s="1">
        <v>42548</v>
      </c>
      <c r="B545" s="66" t="s">
        <v>45</v>
      </c>
      <c r="C545" s="66" t="s">
        <v>46</v>
      </c>
      <c r="D545" t="s">
        <v>47</v>
      </c>
      <c r="E545">
        <v>1000</v>
      </c>
      <c r="F545" s="66" t="s">
        <v>7</v>
      </c>
      <c r="G545" s="66" t="s">
        <v>9</v>
      </c>
      <c r="H545" s="66" t="str">
        <f>TEXT(Data[[#This Row],[Buchung]],"MMM")</f>
        <v>Jun</v>
      </c>
      <c r="I545" s="67">
        <f>YEAR(Data[[#This Row],[Buchung]])</f>
        <v>2016</v>
      </c>
      <c r="J545" s="2">
        <f>ABS(Data[[#This Row],[Betrag]])</f>
        <v>1000</v>
      </c>
      <c r="K545" s="66" t="str">
        <f>IF(Data[[#This Row],[Betrag]]&lt;0,"A","E")</f>
        <v>E</v>
      </c>
    </row>
    <row r="546" spans="1:11" x14ac:dyDescent="0.25">
      <c r="A546" s="1">
        <v>42549</v>
      </c>
      <c r="B546" s="66" t="s">
        <v>48</v>
      </c>
      <c r="C546" s="66" t="s">
        <v>49</v>
      </c>
      <c r="D546" t="s">
        <v>50</v>
      </c>
      <c r="E546">
        <v>-15</v>
      </c>
      <c r="F546" s="66" t="s">
        <v>7</v>
      </c>
      <c r="G546" s="66" t="s">
        <v>8</v>
      </c>
      <c r="H546" s="66" t="str">
        <f>TEXT(Data[[#This Row],[Buchung]],"MMM")</f>
        <v>Jun</v>
      </c>
      <c r="I546" s="67">
        <f>YEAR(Data[[#This Row],[Buchung]])</f>
        <v>2016</v>
      </c>
      <c r="J546" s="2">
        <f>ABS(Data[[#This Row],[Betrag]])</f>
        <v>15</v>
      </c>
      <c r="K546" s="66" t="str">
        <f>IF(Data[[#This Row],[Betrag]]&lt;0,"A","E")</f>
        <v>A</v>
      </c>
    </row>
    <row r="547" spans="1:11" x14ac:dyDescent="0.25">
      <c r="A547" s="1">
        <v>42550</v>
      </c>
      <c r="B547" s="66" t="s">
        <v>51</v>
      </c>
      <c r="C547" s="66" t="s">
        <v>52</v>
      </c>
      <c r="D547" t="s">
        <v>53</v>
      </c>
      <c r="E547">
        <v>-350</v>
      </c>
      <c r="F547" s="66" t="s">
        <v>7</v>
      </c>
      <c r="G547" s="66" t="s">
        <v>11</v>
      </c>
      <c r="H547" s="66" t="str">
        <f>TEXT(Data[[#This Row],[Buchung]],"MMM")</f>
        <v>Jun</v>
      </c>
      <c r="I547" s="67">
        <f>YEAR(Data[[#This Row],[Buchung]])</f>
        <v>2016</v>
      </c>
      <c r="J547" s="2">
        <f>ABS(Data[[#This Row],[Betrag]])</f>
        <v>350</v>
      </c>
      <c r="K547" s="66" t="str">
        <f>IF(Data[[#This Row],[Betrag]]&lt;0,"A","E")</f>
        <v>A</v>
      </c>
    </row>
    <row r="548" spans="1:11" x14ac:dyDescent="0.25">
      <c r="A548" s="1">
        <v>42551</v>
      </c>
      <c r="B548" s="66" t="s">
        <v>54</v>
      </c>
      <c r="C548" s="66" t="s">
        <v>55</v>
      </c>
      <c r="D548" t="s">
        <v>56</v>
      </c>
      <c r="E548">
        <v>-120</v>
      </c>
      <c r="F548" s="66" t="s">
        <v>7</v>
      </c>
      <c r="G548" s="66" t="s">
        <v>57</v>
      </c>
      <c r="H548" s="66" t="str">
        <f>TEXT(Data[[#This Row],[Buchung]],"MMM")</f>
        <v>Jun</v>
      </c>
      <c r="I548" s="67">
        <f>YEAR(Data[[#This Row],[Buchung]])</f>
        <v>2016</v>
      </c>
      <c r="J548" s="2">
        <f>ABS(Data[[#This Row],[Betrag]])</f>
        <v>120</v>
      </c>
      <c r="K548" s="66" t="str">
        <f>IF(Data[[#This Row],[Betrag]]&lt;0,"A","E")</f>
        <v>A</v>
      </c>
    </row>
    <row r="549" spans="1:11" x14ac:dyDescent="0.25">
      <c r="A549" s="1">
        <v>42552</v>
      </c>
      <c r="B549" s="66" t="s">
        <v>58</v>
      </c>
      <c r="C549" s="66" t="s">
        <v>59</v>
      </c>
      <c r="D549" t="s">
        <v>60</v>
      </c>
      <c r="E549">
        <v>-60</v>
      </c>
      <c r="F549" s="66" t="s">
        <v>7</v>
      </c>
      <c r="G549" s="66" t="s">
        <v>10</v>
      </c>
      <c r="H549" s="66" t="str">
        <f>TEXT(Data[[#This Row],[Buchung]],"MMM")</f>
        <v>Jul</v>
      </c>
      <c r="I549" s="67">
        <f>YEAR(Data[[#This Row],[Buchung]])</f>
        <v>2016</v>
      </c>
      <c r="J549" s="2">
        <f>ABS(Data[[#This Row],[Betrag]])</f>
        <v>60</v>
      </c>
      <c r="K549" s="66" t="str">
        <f>IF(Data[[#This Row],[Betrag]]&lt;0,"A","E")</f>
        <v>A</v>
      </c>
    </row>
    <row r="550" spans="1:11" x14ac:dyDescent="0.25">
      <c r="A550" s="1">
        <v>42553</v>
      </c>
      <c r="B550" s="66" t="s">
        <v>45</v>
      </c>
      <c r="C550" s="66" t="s">
        <v>46</v>
      </c>
      <c r="D550" t="s">
        <v>47</v>
      </c>
      <c r="E550">
        <v>1000</v>
      </c>
      <c r="F550" s="66" t="s">
        <v>7</v>
      </c>
      <c r="G550" s="66" t="s">
        <v>9</v>
      </c>
      <c r="H550" s="66" t="str">
        <f>TEXT(Data[[#This Row],[Buchung]],"MMM")</f>
        <v>Jul</v>
      </c>
      <c r="I550" s="67">
        <f>YEAR(Data[[#This Row],[Buchung]])</f>
        <v>2016</v>
      </c>
      <c r="J550" s="2">
        <f>ABS(Data[[#This Row],[Betrag]])</f>
        <v>1000</v>
      </c>
      <c r="K550" s="66" t="str">
        <f>IF(Data[[#This Row],[Betrag]]&lt;0,"A","E")</f>
        <v>E</v>
      </c>
    </row>
    <row r="551" spans="1:11" x14ac:dyDescent="0.25">
      <c r="A551" s="1">
        <v>42554</v>
      </c>
      <c r="B551" s="66" t="s">
        <v>61</v>
      </c>
      <c r="C551" s="66" t="s">
        <v>49</v>
      </c>
      <c r="D551" t="s">
        <v>62</v>
      </c>
      <c r="E551">
        <v>-10</v>
      </c>
      <c r="F551" s="66" t="s">
        <v>7</v>
      </c>
      <c r="G551" s="66" t="s">
        <v>8</v>
      </c>
      <c r="H551" s="66" t="str">
        <f>TEXT(Data[[#This Row],[Buchung]],"MMM")</f>
        <v>Jul</v>
      </c>
      <c r="I551" s="67">
        <f>YEAR(Data[[#This Row],[Buchung]])</f>
        <v>2016</v>
      </c>
      <c r="J551" s="2">
        <f>ABS(Data[[#This Row],[Betrag]])</f>
        <v>10</v>
      </c>
      <c r="K551" s="66" t="str">
        <f>IF(Data[[#This Row],[Betrag]]&lt;0,"A","E")</f>
        <v>A</v>
      </c>
    </row>
    <row r="552" spans="1:11" x14ac:dyDescent="0.25">
      <c r="A552" s="1">
        <v>42555</v>
      </c>
      <c r="B552" s="66" t="s">
        <v>63</v>
      </c>
      <c r="C552" s="66" t="s">
        <v>64</v>
      </c>
      <c r="D552" t="s">
        <v>65</v>
      </c>
      <c r="E552">
        <v>-70</v>
      </c>
      <c r="F552" s="66" t="s">
        <v>7</v>
      </c>
      <c r="G552" s="66" t="s">
        <v>11</v>
      </c>
      <c r="H552" s="66" t="str">
        <f>TEXT(Data[[#This Row],[Buchung]],"MMM")</f>
        <v>Jul</v>
      </c>
      <c r="I552" s="67">
        <f>YEAR(Data[[#This Row],[Buchung]])</f>
        <v>2016</v>
      </c>
      <c r="J552" s="2">
        <f>ABS(Data[[#This Row],[Betrag]])</f>
        <v>70</v>
      </c>
      <c r="K552" s="66" t="str">
        <f>IF(Data[[#This Row],[Betrag]]&lt;0,"A","E")</f>
        <v>A</v>
      </c>
    </row>
    <row r="553" spans="1:11" x14ac:dyDescent="0.25">
      <c r="A553" s="1">
        <v>42556</v>
      </c>
      <c r="B553" s="66" t="s">
        <v>54</v>
      </c>
      <c r="C553" s="66" t="s">
        <v>55</v>
      </c>
      <c r="D553" t="s">
        <v>66</v>
      </c>
      <c r="E553">
        <v>-80</v>
      </c>
      <c r="F553" s="66" t="s">
        <v>7</v>
      </c>
      <c r="G553" s="66" t="s">
        <v>57</v>
      </c>
      <c r="H553" s="66" t="str">
        <f>TEXT(Data[[#This Row],[Buchung]],"MMM")</f>
        <v>Jul</v>
      </c>
      <c r="I553" s="67">
        <f>YEAR(Data[[#This Row],[Buchung]])</f>
        <v>2016</v>
      </c>
      <c r="J553" s="2">
        <f>ABS(Data[[#This Row],[Betrag]])</f>
        <v>80</v>
      </c>
      <c r="K553" s="66" t="str">
        <f>IF(Data[[#This Row],[Betrag]]&lt;0,"A","E")</f>
        <v>A</v>
      </c>
    </row>
    <row r="554" spans="1:11" x14ac:dyDescent="0.25">
      <c r="A554" s="1">
        <v>42557</v>
      </c>
      <c r="B554" s="66" t="s">
        <v>67</v>
      </c>
      <c r="C554" s="66" t="s">
        <v>59</v>
      </c>
      <c r="D554" t="s">
        <v>68</v>
      </c>
      <c r="E554">
        <v>-25</v>
      </c>
      <c r="F554" s="66" t="s">
        <v>7</v>
      </c>
      <c r="G554" s="66" t="s">
        <v>10</v>
      </c>
      <c r="H554" s="66" t="str">
        <f>TEXT(Data[[#This Row],[Buchung]],"MMM")</f>
        <v>Jul</v>
      </c>
      <c r="I554" s="67">
        <f>YEAR(Data[[#This Row],[Buchung]])</f>
        <v>2016</v>
      </c>
      <c r="J554" s="2">
        <f>ABS(Data[[#This Row],[Betrag]])</f>
        <v>25</v>
      </c>
      <c r="K554" s="66" t="str">
        <f>IF(Data[[#This Row],[Betrag]]&lt;0,"A","E")</f>
        <v>A</v>
      </c>
    </row>
    <row r="555" spans="1:11" x14ac:dyDescent="0.25">
      <c r="A555" s="1">
        <v>42558</v>
      </c>
      <c r="B555" s="66" t="s">
        <v>45</v>
      </c>
      <c r="C555" s="66" t="s">
        <v>46</v>
      </c>
      <c r="D555" t="s">
        <v>47</v>
      </c>
      <c r="E555">
        <v>1000</v>
      </c>
      <c r="F555" s="66" t="s">
        <v>7</v>
      </c>
      <c r="G555" s="66" t="s">
        <v>9</v>
      </c>
      <c r="H555" s="66" t="str">
        <f>TEXT(Data[[#This Row],[Buchung]],"MMM")</f>
        <v>Jul</v>
      </c>
      <c r="I555" s="67">
        <f>YEAR(Data[[#This Row],[Buchung]])</f>
        <v>2016</v>
      </c>
      <c r="J555" s="2">
        <f>ABS(Data[[#This Row],[Betrag]])</f>
        <v>1000</v>
      </c>
      <c r="K555" s="66" t="str">
        <f>IF(Data[[#This Row],[Betrag]]&lt;0,"A","E")</f>
        <v>E</v>
      </c>
    </row>
    <row r="556" spans="1:11" x14ac:dyDescent="0.25">
      <c r="A556" s="1">
        <v>42559</v>
      </c>
      <c r="B556" s="66" t="s">
        <v>48</v>
      </c>
      <c r="C556" s="66" t="s">
        <v>49</v>
      </c>
      <c r="D556" t="s">
        <v>50</v>
      </c>
      <c r="E556">
        <v>-15</v>
      </c>
      <c r="F556" s="66" t="s">
        <v>7</v>
      </c>
      <c r="G556" s="66" t="s">
        <v>8</v>
      </c>
      <c r="H556" s="66" t="str">
        <f>TEXT(Data[[#This Row],[Buchung]],"MMM")</f>
        <v>Jul</v>
      </c>
      <c r="I556" s="67">
        <f>YEAR(Data[[#This Row],[Buchung]])</f>
        <v>2016</v>
      </c>
      <c r="J556" s="2">
        <f>ABS(Data[[#This Row],[Betrag]])</f>
        <v>15</v>
      </c>
      <c r="K556" s="66" t="str">
        <f>IF(Data[[#This Row],[Betrag]]&lt;0,"A","E")</f>
        <v>A</v>
      </c>
    </row>
    <row r="557" spans="1:11" x14ac:dyDescent="0.25">
      <c r="A557" s="1">
        <v>42560</v>
      </c>
      <c r="B557" s="66" t="s">
        <v>51</v>
      </c>
      <c r="C557" s="66" t="s">
        <v>52</v>
      </c>
      <c r="D557" t="s">
        <v>53</v>
      </c>
      <c r="E557">
        <v>-350</v>
      </c>
      <c r="F557" s="66" t="s">
        <v>7</v>
      </c>
      <c r="G557" s="66" t="s">
        <v>11</v>
      </c>
      <c r="H557" s="66" t="str">
        <f>TEXT(Data[[#This Row],[Buchung]],"MMM")</f>
        <v>Jul</v>
      </c>
      <c r="I557" s="67">
        <f>YEAR(Data[[#This Row],[Buchung]])</f>
        <v>2016</v>
      </c>
      <c r="J557" s="2">
        <f>ABS(Data[[#This Row],[Betrag]])</f>
        <v>350</v>
      </c>
      <c r="K557" s="66" t="str">
        <f>IF(Data[[#This Row],[Betrag]]&lt;0,"A","E")</f>
        <v>A</v>
      </c>
    </row>
    <row r="558" spans="1:11" x14ac:dyDescent="0.25">
      <c r="A558" s="1">
        <v>42561</v>
      </c>
      <c r="B558" s="66" t="s">
        <v>54</v>
      </c>
      <c r="C558" s="66" t="s">
        <v>55</v>
      </c>
      <c r="D558" t="s">
        <v>56</v>
      </c>
      <c r="E558">
        <v>-120</v>
      </c>
      <c r="F558" s="66" t="s">
        <v>7</v>
      </c>
      <c r="G558" s="66" t="s">
        <v>57</v>
      </c>
      <c r="H558" s="66" t="str">
        <f>TEXT(Data[[#This Row],[Buchung]],"MMM")</f>
        <v>Jul</v>
      </c>
      <c r="I558" s="67">
        <f>YEAR(Data[[#This Row],[Buchung]])</f>
        <v>2016</v>
      </c>
      <c r="J558" s="2">
        <f>ABS(Data[[#This Row],[Betrag]])</f>
        <v>120</v>
      </c>
      <c r="K558" s="66" t="str">
        <f>IF(Data[[#This Row],[Betrag]]&lt;0,"A","E")</f>
        <v>A</v>
      </c>
    </row>
    <row r="559" spans="1:11" x14ac:dyDescent="0.25">
      <c r="A559" s="1">
        <v>42562</v>
      </c>
      <c r="B559" s="66" t="s">
        <v>58</v>
      </c>
      <c r="C559" s="66" t="s">
        <v>59</v>
      </c>
      <c r="D559" t="s">
        <v>60</v>
      </c>
      <c r="E559">
        <v>-70</v>
      </c>
      <c r="F559" s="66" t="s">
        <v>7</v>
      </c>
      <c r="G559" s="66" t="s">
        <v>10</v>
      </c>
      <c r="H559" s="66" t="str">
        <f>TEXT(Data[[#This Row],[Buchung]],"MMM")</f>
        <v>Jul</v>
      </c>
      <c r="I559" s="67">
        <f>YEAR(Data[[#This Row],[Buchung]])</f>
        <v>2016</v>
      </c>
      <c r="J559" s="2">
        <f>ABS(Data[[#This Row],[Betrag]])</f>
        <v>70</v>
      </c>
      <c r="K559" s="66" t="str">
        <f>IF(Data[[#This Row],[Betrag]]&lt;0,"A","E")</f>
        <v>A</v>
      </c>
    </row>
    <row r="560" spans="1:11" x14ac:dyDescent="0.25">
      <c r="A560" s="1">
        <v>42563</v>
      </c>
      <c r="B560" s="66" t="s">
        <v>45</v>
      </c>
      <c r="C560" s="66" t="s">
        <v>46</v>
      </c>
      <c r="D560" t="s">
        <v>47</v>
      </c>
      <c r="E560">
        <v>1000</v>
      </c>
      <c r="F560" s="66" t="s">
        <v>7</v>
      </c>
      <c r="G560" s="66" t="s">
        <v>9</v>
      </c>
      <c r="H560" s="66" t="str">
        <f>TEXT(Data[[#This Row],[Buchung]],"MMM")</f>
        <v>Jul</v>
      </c>
      <c r="I560" s="67">
        <f>YEAR(Data[[#This Row],[Buchung]])</f>
        <v>2016</v>
      </c>
      <c r="J560" s="2">
        <f>ABS(Data[[#This Row],[Betrag]])</f>
        <v>1000</v>
      </c>
      <c r="K560" s="66" t="str">
        <f>IF(Data[[#This Row],[Betrag]]&lt;0,"A","E")</f>
        <v>E</v>
      </c>
    </row>
    <row r="561" spans="1:11" x14ac:dyDescent="0.25">
      <c r="A561" s="1">
        <v>42564</v>
      </c>
      <c r="B561" s="66" t="s">
        <v>61</v>
      </c>
      <c r="C561" s="66" t="s">
        <v>49</v>
      </c>
      <c r="D561" t="s">
        <v>62</v>
      </c>
      <c r="E561">
        <v>-10</v>
      </c>
      <c r="F561" s="66" t="s">
        <v>7</v>
      </c>
      <c r="G561" s="66" t="s">
        <v>8</v>
      </c>
      <c r="H561" s="66" t="str">
        <f>TEXT(Data[[#This Row],[Buchung]],"MMM")</f>
        <v>Jul</v>
      </c>
      <c r="I561" s="67">
        <f>YEAR(Data[[#This Row],[Buchung]])</f>
        <v>2016</v>
      </c>
      <c r="J561" s="2">
        <f>ABS(Data[[#This Row],[Betrag]])</f>
        <v>10</v>
      </c>
      <c r="K561" s="66" t="str">
        <f>IF(Data[[#This Row],[Betrag]]&lt;0,"A","E")</f>
        <v>A</v>
      </c>
    </row>
    <row r="562" spans="1:11" x14ac:dyDescent="0.25">
      <c r="A562" s="1">
        <v>42565</v>
      </c>
      <c r="B562" s="66" t="s">
        <v>63</v>
      </c>
      <c r="C562" s="66" t="s">
        <v>64</v>
      </c>
      <c r="D562" t="s">
        <v>65</v>
      </c>
      <c r="E562">
        <v>-60</v>
      </c>
      <c r="F562" s="66" t="s">
        <v>7</v>
      </c>
      <c r="G562" s="66" t="s">
        <v>11</v>
      </c>
      <c r="H562" s="66" t="str">
        <f>TEXT(Data[[#This Row],[Buchung]],"MMM")</f>
        <v>Jul</v>
      </c>
      <c r="I562" s="67">
        <f>YEAR(Data[[#This Row],[Buchung]])</f>
        <v>2016</v>
      </c>
      <c r="J562" s="2">
        <f>ABS(Data[[#This Row],[Betrag]])</f>
        <v>60</v>
      </c>
      <c r="K562" s="66" t="str">
        <f>IF(Data[[#This Row],[Betrag]]&lt;0,"A","E")</f>
        <v>A</v>
      </c>
    </row>
    <row r="563" spans="1:11" x14ac:dyDescent="0.25">
      <c r="A563" s="1">
        <v>42566</v>
      </c>
      <c r="B563" s="66" t="s">
        <v>54</v>
      </c>
      <c r="C563" s="66" t="s">
        <v>55</v>
      </c>
      <c r="D563" t="s">
        <v>66</v>
      </c>
      <c r="E563">
        <v>-80</v>
      </c>
      <c r="F563" s="66" t="s">
        <v>7</v>
      </c>
      <c r="G563" s="66" t="s">
        <v>57</v>
      </c>
      <c r="H563" s="66" t="str">
        <f>TEXT(Data[[#This Row],[Buchung]],"MMM")</f>
        <v>Jul</v>
      </c>
      <c r="I563" s="67">
        <f>YEAR(Data[[#This Row],[Buchung]])</f>
        <v>2016</v>
      </c>
      <c r="J563" s="2">
        <f>ABS(Data[[#This Row],[Betrag]])</f>
        <v>80</v>
      </c>
      <c r="K563" s="66" t="str">
        <f>IF(Data[[#This Row],[Betrag]]&lt;0,"A","E")</f>
        <v>A</v>
      </c>
    </row>
    <row r="564" spans="1:11" x14ac:dyDescent="0.25">
      <c r="A564" s="1">
        <v>42567</v>
      </c>
      <c r="B564" s="66" t="s">
        <v>67</v>
      </c>
      <c r="C564" s="66" t="s">
        <v>59</v>
      </c>
      <c r="D564" t="s">
        <v>68</v>
      </c>
      <c r="E564">
        <v>-30</v>
      </c>
      <c r="F564" s="66" t="s">
        <v>7</v>
      </c>
      <c r="G564" s="66" t="s">
        <v>10</v>
      </c>
      <c r="H564" s="66" t="str">
        <f>TEXT(Data[[#This Row],[Buchung]],"MMM")</f>
        <v>Jul</v>
      </c>
      <c r="I564" s="67">
        <f>YEAR(Data[[#This Row],[Buchung]])</f>
        <v>2016</v>
      </c>
      <c r="J564" s="2">
        <f>ABS(Data[[#This Row],[Betrag]])</f>
        <v>30</v>
      </c>
      <c r="K564" s="66" t="str">
        <f>IF(Data[[#This Row],[Betrag]]&lt;0,"A","E")</f>
        <v>A</v>
      </c>
    </row>
    <row r="565" spans="1:11" x14ac:dyDescent="0.25">
      <c r="A565" s="1">
        <v>42568</v>
      </c>
      <c r="B565" s="66" t="s">
        <v>45</v>
      </c>
      <c r="C565" s="66" t="s">
        <v>46</v>
      </c>
      <c r="D565" t="s">
        <v>47</v>
      </c>
      <c r="E565">
        <v>1000</v>
      </c>
      <c r="F565" s="66" t="s">
        <v>7</v>
      </c>
      <c r="G565" s="66" t="s">
        <v>9</v>
      </c>
      <c r="H565" s="66" t="str">
        <f>TEXT(Data[[#This Row],[Buchung]],"MMM")</f>
        <v>Jul</v>
      </c>
      <c r="I565" s="67">
        <f>YEAR(Data[[#This Row],[Buchung]])</f>
        <v>2016</v>
      </c>
      <c r="J565" s="2">
        <f>ABS(Data[[#This Row],[Betrag]])</f>
        <v>1000</v>
      </c>
      <c r="K565" s="66" t="str">
        <f>IF(Data[[#This Row],[Betrag]]&lt;0,"A","E")</f>
        <v>E</v>
      </c>
    </row>
    <row r="566" spans="1:11" x14ac:dyDescent="0.25">
      <c r="A566" s="1">
        <v>42569</v>
      </c>
      <c r="B566" s="66" t="s">
        <v>48</v>
      </c>
      <c r="C566" s="66" t="s">
        <v>49</v>
      </c>
      <c r="D566" t="s">
        <v>50</v>
      </c>
      <c r="E566">
        <v>-15</v>
      </c>
      <c r="F566" s="66" t="s">
        <v>7</v>
      </c>
      <c r="G566" s="66" t="s">
        <v>8</v>
      </c>
      <c r="H566" s="66" t="str">
        <f>TEXT(Data[[#This Row],[Buchung]],"MMM")</f>
        <v>Jul</v>
      </c>
      <c r="I566" s="67">
        <f>YEAR(Data[[#This Row],[Buchung]])</f>
        <v>2016</v>
      </c>
      <c r="J566" s="2">
        <f>ABS(Data[[#This Row],[Betrag]])</f>
        <v>15</v>
      </c>
      <c r="K566" s="66" t="str">
        <f>IF(Data[[#This Row],[Betrag]]&lt;0,"A","E")</f>
        <v>A</v>
      </c>
    </row>
    <row r="567" spans="1:11" x14ac:dyDescent="0.25">
      <c r="A567" s="1">
        <v>42570</v>
      </c>
      <c r="B567" s="66" t="s">
        <v>51</v>
      </c>
      <c r="C567" s="66" t="s">
        <v>52</v>
      </c>
      <c r="D567" t="s">
        <v>53</v>
      </c>
      <c r="E567">
        <v>-350</v>
      </c>
      <c r="F567" s="66" t="s">
        <v>7</v>
      </c>
      <c r="G567" s="66" t="s">
        <v>11</v>
      </c>
      <c r="H567" s="66" t="str">
        <f>TEXT(Data[[#This Row],[Buchung]],"MMM")</f>
        <v>Jul</v>
      </c>
      <c r="I567" s="67">
        <f>YEAR(Data[[#This Row],[Buchung]])</f>
        <v>2016</v>
      </c>
      <c r="J567" s="2">
        <f>ABS(Data[[#This Row],[Betrag]])</f>
        <v>350</v>
      </c>
      <c r="K567" s="66" t="str">
        <f>IF(Data[[#This Row],[Betrag]]&lt;0,"A","E")</f>
        <v>A</v>
      </c>
    </row>
    <row r="568" spans="1:11" x14ac:dyDescent="0.25">
      <c r="A568" s="1">
        <v>42571</v>
      </c>
      <c r="B568" s="66" t="s">
        <v>54</v>
      </c>
      <c r="C568" s="66" t="s">
        <v>55</v>
      </c>
      <c r="D568" t="s">
        <v>56</v>
      </c>
      <c r="E568">
        <v>-120</v>
      </c>
      <c r="F568" s="66" t="s">
        <v>7</v>
      </c>
      <c r="G568" s="66" t="s">
        <v>57</v>
      </c>
      <c r="H568" s="66" t="str">
        <f>TEXT(Data[[#This Row],[Buchung]],"MMM")</f>
        <v>Jul</v>
      </c>
      <c r="I568" s="67">
        <f>YEAR(Data[[#This Row],[Buchung]])</f>
        <v>2016</v>
      </c>
      <c r="J568" s="2">
        <f>ABS(Data[[#This Row],[Betrag]])</f>
        <v>120</v>
      </c>
      <c r="K568" s="66" t="str">
        <f>IF(Data[[#This Row],[Betrag]]&lt;0,"A","E")</f>
        <v>A</v>
      </c>
    </row>
    <row r="569" spans="1:11" x14ac:dyDescent="0.25">
      <c r="A569" s="1">
        <v>42572</v>
      </c>
      <c r="B569" s="66" t="s">
        <v>58</v>
      </c>
      <c r="C569" s="66" t="s">
        <v>59</v>
      </c>
      <c r="D569" t="s">
        <v>60</v>
      </c>
      <c r="E569">
        <v>-80</v>
      </c>
      <c r="F569" s="66" t="s">
        <v>7</v>
      </c>
      <c r="G569" s="66" t="s">
        <v>10</v>
      </c>
      <c r="H569" s="66" t="str">
        <f>TEXT(Data[[#This Row],[Buchung]],"MMM")</f>
        <v>Jul</v>
      </c>
      <c r="I569" s="67">
        <f>YEAR(Data[[#This Row],[Buchung]])</f>
        <v>2016</v>
      </c>
      <c r="J569" s="2">
        <f>ABS(Data[[#This Row],[Betrag]])</f>
        <v>80</v>
      </c>
      <c r="K569" s="66" t="str">
        <f>IF(Data[[#This Row],[Betrag]]&lt;0,"A","E")</f>
        <v>A</v>
      </c>
    </row>
    <row r="570" spans="1:11" x14ac:dyDescent="0.25">
      <c r="A570" s="1">
        <v>42573</v>
      </c>
      <c r="B570" s="66" t="s">
        <v>45</v>
      </c>
      <c r="C570" s="66" t="s">
        <v>46</v>
      </c>
      <c r="D570" t="s">
        <v>47</v>
      </c>
      <c r="E570">
        <v>1000</v>
      </c>
      <c r="F570" s="66" t="s">
        <v>7</v>
      </c>
      <c r="G570" s="66" t="s">
        <v>9</v>
      </c>
      <c r="H570" s="66" t="str">
        <f>TEXT(Data[[#This Row],[Buchung]],"MMM")</f>
        <v>Jul</v>
      </c>
      <c r="I570" s="67">
        <f>YEAR(Data[[#This Row],[Buchung]])</f>
        <v>2016</v>
      </c>
      <c r="J570" s="2">
        <f>ABS(Data[[#This Row],[Betrag]])</f>
        <v>1000</v>
      </c>
      <c r="K570" s="66" t="str">
        <f>IF(Data[[#This Row],[Betrag]]&lt;0,"A","E")</f>
        <v>E</v>
      </c>
    </row>
    <row r="571" spans="1:11" x14ac:dyDescent="0.25">
      <c r="A571" s="1">
        <v>42574</v>
      </c>
      <c r="B571" s="66" t="s">
        <v>61</v>
      </c>
      <c r="C571" s="66" t="s">
        <v>49</v>
      </c>
      <c r="D571" t="s">
        <v>62</v>
      </c>
      <c r="E571">
        <v>-10</v>
      </c>
      <c r="F571" s="66" t="s">
        <v>7</v>
      </c>
      <c r="G571" s="66" t="s">
        <v>8</v>
      </c>
      <c r="H571" s="66" t="str">
        <f>TEXT(Data[[#This Row],[Buchung]],"MMM")</f>
        <v>Jul</v>
      </c>
      <c r="I571" s="67">
        <f>YEAR(Data[[#This Row],[Buchung]])</f>
        <v>2016</v>
      </c>
      <c r="J571" s="2">
        <f>ABS(Data[[#This Row],[Betrag]])</f>
        <v>10</v>
      </c>
      <c r="K571" s="66" t="str">
        <f>IF(Data[[#This Row],[Betrag]]&lt;0,"A","E")</f>
        <v>A</v>
      </c>
    </row>
    <row r="572" spans="1:11" x14ac:dyDescent="0.25">
      <c r="A572" s="1">
        <v>42575</v>
      </c>
      <c r="B572" s="66" t="s">
        <v>63</v>
      </c>
      <c r="C572" s="66" t="s">
        <v>64</v>
      </c>
      <c r="D572" t="s">
        <v>65</v>
      </c>
      <c r="E572">
        <v>-65</v>
      </c>
      <c r="F572" s="66" t="s">
        <v>7</v>
      </c>
      <c r="G572" s="66" t="s">
        <v>11</v>
      </c>
      <c r="H572" s="66" t="str">
        <f>TEXT(Data[[#This Row],[Buchung]],"MMM")</f>
        <v>Jul</v>
      </c>
      <c r="I572" s="67">
        <f>YEAR(Data[[#This Row],[Buchung]])</f>
        <v>2016</v>
      </c>
      <c r="J572" s="2">
        <f>ABS(Data[[#This Row],[Betrag]])</f>
        <v>65</v>
      </c>
      <c r="K572" s="66" t="str">
        <f>IF(Data[[#This Row],[Betrag]]&lt;0,"A","E")</f>
        <v>A</v>
      </c>
    </row>
    <row r="573" spans="1:11" x14ac:dyDescent="0.25">
      <c r="A573" s="1">
        <v>42576</v>
      </c>
      <c r="B573" s="66" t="s">
        <v>54</v>
      </c>
      <c r="C573" s="66" t="s">
        <v>55</v>
      </c>
      <c r="D573" t="s">
        <v>66</v>
      </c>
      <c r="E573">
        <v>-80</v>
      </c>
      <c r="F573" s="66" t="s">
        <v>7</v>
      </c>
      <c r="G573" s="66" t="s">
        <v>57</v>
      </c>
      <c r="H573" s="66" t="str">
        <f>TEXT(Data[[#This Row],[Buchung]],"MMM")</f>
        <v>Jul</v>
      </c>
      <c r="I573" s="67">
        <f>YEAR(Data[[#This Row],[Buchung]])</f>
        <v>2016</v>
      </c>
      <c r="J573" s="2">
        <f>ABS(Data[[#This Row],[Betrag]])</f>
        <v>80</v>
      </c>
      <c r="K573" s="66" t="str">
        <f>IF(Data[[#This Row],[Betrag]]&lt;0,"A","E")</f>
        <v>A</v>
      </c>
    </row>
    <row r="574" spans="1:11" x14ac:dyDescent="0.25">
      <c r="A574" s="1">
        <v>42577</v>
      </c>
      <c r="B574" s="66" t="s">
        <v>67</v>
      </c>
      <c r="C574" s="66" t="s">
        <v>59</v>
      </c>
      <c r="D574" t="s">
        <v>68</v>
      </c>
      <c r="E574">
        <v>-35</v>
      </c>
      <c r="F574" s="66" t="s">
        <v>7</v>
      </c>
      <c r="G574" s="66" t="s">
        <v>10</v>
      </c>
      <c r="H574" s="66" t="str">
        <f>TEXT(Data[[#This Row],[Buchung]],"MMM")</f>
        <v>Jul</v>
      </c>
      <c r="I574" s="67">
        <f>YEAR(Data[[#This Row],[Buchung]])</f>
        <v>2016</v>
      </c>
      <c r="J574" s="2">
        <f>ABS(Data[[#This Row],[Betrag]])</f>
        <v>35</v>
      </c>
      <c r="K574" s="66" t="str">
        <f>IF(Data[[#This Row],[Betrag]]&lt;0,"A","E")</f>
        <v>A</v>
      </c>
    </row>
    <row r="575" spans="1:11" x14ac:dyDescent="0.25">
      <c r="A575" s="1">
        <v>42578</v>
      </c>
      <c r="B575" s="66" t="s">
        <v>45</v>
      </c>
      <c r="C575" s="66" t="s">
        <v>46</v>
      </c>
      <c r="D575" t="s">
        <v>47</v>
      </c>
      <c r="E575">
        <v>1000</v>
      </c>
      <c r="F575" s="66" t="s">
        <v>7</v>
      </c>
      <c r="G575" s="66" t="s">
        <v>9</v>
      </c>
      <c r="H575" s="66" t="str">
        <f>TEXT(Data[[#This Row],[Buchung]],"MMM")</f>
        <v>Jul</v>
      </c>
      <c r="I575" s="67">
        <f>YEAR(Data[[#This Row],[Buchung]])</f>
        <v>2016</v>
      </c>
      <c r="J575" s="2">
        <f>ABS(Data[[#This Row],[Betrag]])</f>
        <v>1000</v>
      </c>
      <c r="K575" s="66" t="str">
        <f>IF(Data[[#This Row],[Betrag]]&lt;0,"A","E")</f>
        <v>E</v>
      </c>
    </row>
    <row r="576" spans="1:11" x14ac:dyDescent="0.25">
      <c r="A576" s="1">
        <v>42579</v>
      </c>
      <c r="B576" s="66" t="s">
        <v>45</v>
      </c>
      <c r="C576" s="66" t="s">
        <v>46</v>
      </c>
      <c r="D576" t="s">
        <v>47</v>
      </c>
      <c r="E576">
        <v>1000</v>
      </c>
      <c r="F576" s="66" t="s">
        <v>7</v>
      </c>
      <c r="G576" s="66" t="s">
        <v>9</v>
      </c>
      <c r="H576" s="66" t="str">
        <f>TEXT(Data[[#This Row],[Buchung]],"MMM")</f>
        <v>Jul</v>
      </c>
      <c r="I576" s="67">
        <f>YEAR(Data[[#This Row],[Buchung]])</f>
        <v>2016</v>
      </c>
      <c r="J576" s="2">
        <f>ABS(Data[[#This Row],[Betrag]])</f>
        <v>1000</v>
      </c>
      <c r="K576" s="66" t="str">
        <f>IF(Data[[#This Row],[Betrag]]&lt;0,"A","E")</f>
        <v>E</v>
      </c>
    </row>
    <row r="577" spans="1:11" x14ac:dyDescent="0.25">
      <c r="A577" s="1">
        <v>42580</v>
      </c>
      <c r="B577" s="66" t="s">
        <v>48</v>
      </c>
      <c r="C577" s="66" t="s">
        <v>49</v>
      </c>
      <c r="D577" t="s">
        <v>50</v>
      </c>
      <c r="E577">
        <v>-15</v>
      </c>
      <c r="F577" s="66" t="s">
        <v>7</v>
      </c>
      <c r="G577" s="66" t="s">
        <v>8</v>
      </c>
      <c r="H577" s="66" t="str">
        <f>TEXT(Data[[#This Row],[Buchung]],"MMM")</f>
        <v>Jul</v>
      </c>
      <c r="I577" s="67">
        <f>YEAR(Data[[#This Row],[Buchung]])</f>
        <v>2016</v>
      </c>
      <c r="J577" s="2">
        <f>ABS(Data[[#This Row],[Betrag]])</f>
        <v>15</v>
      </c>
      <c r="K577" s="66" t="str">
        <f>IF(Data[[#This Row],[Betrag]]&lt;0,"A","E")</f>
        <v>A</v>
      </c>
    </row>
    <row r="578" spans="1:11" x14ac:dyDescent="0.25">
      <c r="A578" s="1">
        <v>42581</v>
      </c>
      <c r="B578" s="66" t="s">
        <v>51</v>
      </c>
      <c r="C578" s="66" t="s">
        <v>52</v>
      </c>
      <c r="D578" t="s">
        <v>53</v>
      </c>
      <c r="E578">
        <v>-350</v>
      </c>
      <c r="F578" s="66" t="s">
        <v>7</v>
      </c>
      <c r="G578" s="66" t="s">
        <v>11</v>
      </c>
      <c r="H578" s="66" t="str">
        <f>TEXT(Data[[#This Row],[Buchung]],"MMM")</f>
        <v>Jul</v>
      </c>
      <c r="I578" s="67">
        <f>YEAR(Data[[#This Row],[Buchung]])</f>
        <v>2016</v>
      </c>
      <c r="J578" s="2">
        <f>ABS(Data[[#This Row],[Betrag]])</f>
        <v>350</v>
      </c>
      <c r="K578" s="66" t="str">
        <f>IF(Data[[#This Row],[Betrag]]&lt;0,"A","E")</f>
        <v>A</v>
      </c>
    </row>
    <row r="579" spans="1:11" x14ac:dyDescent="0.25">
      <c r="A579" s="1">
        <v>42582</v>
      </c>
      <c r="B579" s="66" t="s">
        <v>54</v>
      </c>
      <c r="C579" s="66" t="s">
        <v>55</v>
      </c>
      <c r="D579" t="s">
        <v>56</v>
      </c>
      <c r="E579">
        <v>-120</v>
      </c>
      <c r="F579" s="66" t="s">
        <v>7</v>
      </c>
      <c r="G579" s="66" t="s">
        <v>57</v>
      </c>
      <c r="H579" s="66" t="str">
        <f>TEXT(Data[[#This Row],[Buchung]],"MMM")</f>
        <v>Jul</v>
      </c>
      <c r="I579" s="67">
        <f>YEAR(Data[[#This Row],[Buchung]])</f>
        <v>2016</v>
      </c>
      <c r="J579" s="2">
        <f>ABS(Data[[#This Row],[Betrag]])</f>
        <v>120</v>
      </c>
      <c r="K579" s="66" t="str">
        <f>IF(Data[[#This Row],[Betrag]]&lt;0,"A","E")</f>
        <v>A</v>
      </c>
    </row>
    <row r="580" spans="1:11" x14ac:dyDescent="0.25">
      <c r="A580" s="1">
        <v>42583</v>
      </c>
      <c r="B580" s="66" t="s">
        <v>58</v>
      </c>
      <c r="C580" s="66" t="s">
        <v>59</v>
      </c>
      <c r="D580" t="s">
        <v>60</v>
      </c>
      <c r="E580">
        <v>-50</v>
      </c>
      <c r="F580" s="66" t="s">
        <v>7</v>
      </c>
      <c r="G580" s="66" t="s">
        <v>10</v>
      </c>
      <c r="H580" s="66" t="str">
        <f>TEXT(Data[[#This Row],[Buchung]],"MMM")</f>
        <v>Aug</v>
      </c>
      <c r="I580" s="67">
        <f>YEAR(Data[[#This Row],[Buchung]])</f>
        <v>2016</v>
      </c>
      <c r="J580" s="2">
        <f>ABS(Data[[#This Row],[Betrag]])</f>
        <v>50</v>
      </c>
      <c r="K580" s="66" t="str">
        <f>IF(Data[[#This Row],[Betrag]]&lt;0,"A","E")</f>
        <v>A</v>
      </c>
    </row>
    <row r="581" spans="1:11" x14ac:dyDescent="0.25">
      <c r="A581" s="1">
        <v>42584</v>
      </c>
      <c r="B581" s="66" t="s">
        <v>45</v>
      </c>
      <c r="C581" s="66" t="s">
        <v>46</v>
      </c>
      <c r="D581" t="s">
        <v>47</v>
      </c>
      <c r="E581">
        <v>1000</v>
      </c>
      <c r="F581" s="66" t="s">
        <v>7</v>
      </c>
      <c r="G581" s="66" t="s">
        <v>9</v>
      </c>
      <c r="H581" s="66" t="str">
        <f>TEXT(Data[[#This Row],[Buchung]],"MMM")</f>
        <v>Aug</v>
      </c>
      <c r="I581" s="67">
        <f>YEAR(Data[[#This Row],[Buchung]])</f>
        <v>2016</v>
      </c>
      <c r="J581" s="2">
        <f>ABS(Data[[#This Row],[Betrag]])</f>
        <v>1000</v>
      </c>
      <c r="K581" s="66" t="str">
        <f>IF(Data[[#This Row],[Betrag]]&lt;0,"A","E")</f>
        <v>E</v>
      </c>
    </row>
    <row r="582" spans="1:11" x14ac:dyDescent="0.25">
      <c r="A582" s="1">
        <v>42585</v>
      </c>
      <c r="B582" s="66" t="s">
        <v>61</v>
      </c>
      <c r="C582" s="66" t="s">
        <v>49</v>
      </c>
      <c r="D582" t="s">
        <v>62</v>
      </c>
      <c r="E582">
        <v>-10</v>
      </c>
      <c r="F582" s="66" t="s">
        <v>7</v>
      </c>
      <c r="G582" s="66" t="s">
        <v>8</v>
      </c>
      <c r="H582" s="66" t="str">
        <f>TEXT(Data[[#This Row],[Buchung]],"MMM")</f>
        <v>Aug</v>
      </c>
      <c r="I582" s="67">
        <f>YEAR(Data[[#This Row],[Buchung]])</f>
        <v>2016</v>
      </c>
      <c r="J582" s="2">
        <f>ABS(Data[[#This Row],[Betrag]])</f>
        <v>10</v>
      </c>
      <c r="K582" s="66" t="str">
        <f>IF(Data[[#This Row],[Betrag]]&lt;0,"A","E")</f>
        <v>A</v>
      </c>
    </row>
    <row r="583" spans="1:11" x14ac:dyDescent="0.25">
      <c r="A583" s="1">
        <v>42586</v>
      </c>
      <c r="B583" s="66" t="s">
        <v>63</v>
      </c>
      <c r="C583" s="66" t="s">
        <v>64</v>
      </c>
      <c r="D583" t="s">
        <v>65</v>
      </c>
      <c r="E583">
        <v>-60</v>
      </c>
      <c r="F583" s="66" t="s">
        <v>7</v>
      </c>
      <c r="G583" s="66" t="s">
        <v>11</v>
      </c>
      <c r="H583" s="66" t="str">
        <f>TEXT(Data[[#This Row],[Buchung]],"MMM")</f>
        <v>Aug</v>
      </c>
      <c r="I583" s="67">
        <f>YEAR(Data[[#This Row],[Buchung]])</f>
        <v>2016</v>
      </c>
      <c r="J583" s="2">
        <f>ABS(Data[[#This Row],[Betrag]])</f>
        <v>60</v>
      </c>
      <c r="K583" s="66" t="str">
        <f>IF(Data[[#This Row],[Betrag]]&lt;0,"A","E")</f>
        <v>A</v>
      </c>
    </row>
    <row r="584" spans="1:11" x14ac:dyDescent="0.25">
      <c r="A584" s="1">
        <v>42587</v>
      </c>
      <c r="B584" s="66" t="s">
        <v>54</v>
      </c>
      <c r="C584" s="66" t="s">
        <v>55</v>
      </c>
      <c r="D584" t="s">
        <v>66</v>
      </c>
      <c r="E584">
        <v>-80</v>
      </c>
      <c r="F584" s="66" t="s">
        <v>7</v>
      </c>
      <c r="G584" s="66" t="s">
        <v>57</v>
      </c>
      <c r="H584" s="66" t="str">
        <f>TEXT(Data[[#This Row],[Buchung]],"MMM")</f>
        <v>Aug</v>
      </c>
      <c r="I584" s="67">
        <f>YEAR(Data[[#This Row],[Buchung]])</f>
        <v>2016</v>
      </c>
      <c r="J584" s="2">
        <f>ABS(Data[[#This Row],[Betrag]])</f>
        <v>80</v>
      </c>
      <c r="K584" s="66" t="str">
        <f>IF(Data[[#This Row],[Betrag]]&lt;0,"A","E")</f>
        <v>A</v>
      </c>
    </row>
    <row r="585" spans="1:11" x14ac:dyDescent="0.25">
      <c r="A585" s="1">
        <v>42588</v>
      </c>
      <c r="B585" s="66" t="s">
        <v>67</v>
      </c>
      <c r="C585" s="66" t="s">
        <v>59</v>
      </c>
      <c r="D585" t="s">
        <v>68</v>
      </c>
      <c r="E585">
        <v>-20</v>
      </c>
      <c r="F585" s="66" t="s">
        <v>7</v>
      </c>
      <c r="G585" s="66" t="s">
        <v>10</v>
      </c>
      <c r="H585" s="66" t="str">
        <f>TEXT(Data[[#This Row],[Buchung]],"MMM")</f>
        <v>Aug</v>
      </c>
      <c r="I585" s="67">
        <f>YEAR(Data[[#This Row],[Buchung]])</f>
        <v>2016</v>
      </c>
      <c r="J585" s="2">
        <f>ABS(Data[[#This Row],[Betrag]])</f>
        <v>20</v>
      </c>
      <c r="K585" s="66" t="str">
        <f>IF(Data[[#This Row],[Betrag]]&lt;0,"A","E")</f>
        <v>A</v>
      </c>
    </row>
    <row r="586" spans="1:11" x14ac:dyDescent="0.25">
      <c r="A586" s="1">
        <v>42589</v>
      </c>
      <c r="B586" s="66" t="s">
        <v>45</v>
      </c>
      <c r="C586" s="66" t="s">
        <v>46</v>
      </c>
      <c r="D586" t="s">
        <v>47</v>
      </c>
      <c r="E586">
        <v>1000</v>
      </c>
      <c r="F586" s="66" t="s">
        <v>7</v>
      </c>
      <c r="G586" s="66" t="s">
        <v>9</v>
      </c>
      <c r="H586" s="66" t="str">
        <f>TEXT(Data[[#This Row],[Buchung]],"MMM")</f>
        <v>Aug</v>
      </c>
      <c r="I586" s="67">
        <f>YEAR(Data[[#This Row],[Buchung]])</f>
        <v>2016</v>
      </c>
      <c r="J586" s="2">
        <f>ABS(Data[[#This Row],[Betrag]])</f>
        <v>1000</v>
      </c>
      <c r="K586" s="66" t="str">
        <f>IF(Data[[#This Row],[Betrag]]&lt;0,"A","E")</f>
        <v>E</v>
      </c>
    </row>
    <row r="587" spans="1:11" x14ac:dyDescent="0.25">
      <c r="A587" s="1">
        <v>42590</v>
      </c>
      <c r="B587" s="66" t="s">
        <v>48</v>
      </c>
      <c r="C587" s="66" t="s">
        <v>49</v>
      </c>
      <c r="D587" t="s">
        <v>50</v>
      </c>
      <c r="E587">
        <v>-15</v>
      </c>
      <c r="F587" s="66" t="s">
        <v>7</v>
      </c>
      <c r="G587" s="66" t="s">
        <v>8</v>
      </c>
      <c r="H587" s="66" t="str">
        <f>TEXT(Data[[#This Row],[Buchung]],"MMM")</f>
        <v>Aug</v>
      </c>
      <c r="I587" s="67">
        <f>YEAR(Data[[#This Row],[Buchung]])</f>
        <v>2016</v>
      </c>
      <c r="J587" s="2">
        <f>ABS(Data[[#This Row],[Betrag]])</f>
        <v>15</v>
      </c>
      <c r="K587" s="66" t="str">
        <f>IF(Data[[#This Row],[Betrag]]&lt;0,"A","E")</f>
        <v>A</v>
      </c>
    </row>
    <row r="588" spans="1:11" x14ac:dyDescent="0.25">
      <c r="A588" s="1">
        <v>42591</v>
      </c>
      <c r="B588" s="66" t="s">
        <v>51</v>
      </c>
      <c r="C588" s="66" t="s">
        <v>52</v>
      </c>
      <c r="D588" t="s">
        <v>53</v>
      </c>
      <c r="E588">
        <v>-350</v>
      </c>
      <c r="F588" s="66" t="s">
        <v>7</v>
      </c>
      <c r="G588" s="66" t="s">
        <v>11</v>
      </c>
      <c r="H588" s="66" t="str">
        <f>TEXT(Data[[#This Row],[Buchung]],"MMM")</f>
        <v>Aug</v>
      </c>
      <c r="I588" s="67">
        <f>YEAR(Data[[#This Row],[Buchung]])</f>
        <v>2016</v>
      </c>
      <c r="J588" s="2">
        <f>ABS(Data[[#This Row],[Betrag]])</f>
        <v>350</v>
      </c>
      <c r="K588" s="66" t="str">
        <f>IF(Data[[#This Row],[Betrag]]&lt;0,"A","E")</f>
        <v>A</v>
      </c>
    </row>
    <row r="589" spans="1:11" x14ac:dyDescent="0.25">
      <c r="A589" s="1">
        <v>42592</v>
      </c>
      <c r="B589" s="66" t="s">
        <v>54</v>
      </c>
      <c r="C589" s="66" t="s">
        <v>55</v>
      </c>
      <c r="D589" t="s">
        <v>56</v>
      </c>
      <c r="E589">
        <v>-120</v>
      </c>
      <c r="F589" s="66" t="s">
        <v>7</v>
      </c>
      <c r="G589" s="66" t="s">
        <v>57</v>
      </c>
      <c r="H589" s="66" t="str">
        <f>TEXT(Data[[#This Row],[Buchung]],"MMM")</f>
        <v>Aug</v>
      </c>
      <c r="I589" s="67">
        <f>YEAR(Data[[#This Row],[Buchung]])</f>
        <v>2016</v>
      </c>
      <c r="J589" s="2">
        <f>ABS(Data[[#This Row],[Betrag]])</f>
        <v>120</v>
      </c>
      <c r="K589" s="66" t="str">
        <f>IF(Data[[#This Row],[Betrag]]&lt;0,"A","E")</f>
        <v>A</v>
      </c>
    </row>
    <row r="590" spans="1:11" x14ac:dyDescent="0.25">
      <c r="A590" s="1">
        <v>42593</v>
      </c>
      <c r="B590" s="66" t="s">
        <v>58</v>
      </c>
      <c r="C590" s="66" t="s">
        <v>59</v>
      </c>
      <c r="D590" t="s">
        <v>60</v>
      </c>
      <c r="E590">
        <v>-60</v>
      </c>
      <c r="F590" s="66" t="s">
        <v>7</v>
      </c>
      <c r="G590" s="66" t="s">
        <v>10</v>
      </c>
      <c r="H590" s="66" t="str">
        <f>TEXT(Data[[#This Row],[Buchung]],"MMM")</f>
        <v>Aug</v>
      </c>
      <c r="I590" s="67">
        <f>YEAR(Data[[#This Row],[Buchung]])</f>
        <v>2016</v>
      </c>
      <c r="J590" s="2">
        <f>ABS(Data[[#This Row],[Betrag]])</f>
        <v>60</v>
      </c>
      <c r="K590" s="66" t="str">
        <f>IF(Data[[#This Row],[Betrag]]&lt;0,"A","E")</f>
        <v>A</v>
      </c>
    </row>
    <row r="591" spans="1:11" x14ac:dyDescent="0.25">
      <c r="A591" s="1">
        <v>42594</v>
      </c>
      <c r="B591" s="66" t="s">
        <v>45</v>
      </c>
      <c r="C591" s="66" t="s">
        <v>46</v>
      </c>
      <c r="D591" t="s">
        <v>47</v>
      </c>
      <c r="E591">
        <v>1000</v>
      </c>
      <c r="F591" s="66" t="s">
        <v>7</v>
      </c>
      <c r="G591" s="66" t="s">
        <v>9</v>
      </c>
      <c r="H591" s="66" t="str">
        <f>TEXT(Data[[#This Row],[Buchung]],"MMM")</f>
        <v>Aug</v>
      </c>
      <c r="I591" s="67">
        <f>YEAR(Data[[#This Row],[Buchung]])</f>
        <v>2016</v>
      </c>
      <c r="J591" s="2">
        <f>ABS(Data[[#This Row],[Betrag]])</f>
        <v>1000</v>
      </c>
      <c r="K591" s="66" t="str">
        <f>IF(Data[[#This Row],[Betrag]]&lt;0,"A","E")</f>
        <v>E</v>
      </c>
    </row>
    <row r="592" spans="1:11" x14ac:dyDescent="0.25">
      <c r="A592" s="1">
        <v>42595</v>
      </c>
      <c r="B592" s="66" t="s">
        <v>61</v>
      </c>
      <c r="C592" s="66" t="s">
        <v>49</v>
      </c>
      <c r="D592" t="s">
        <v>62</v>
      </c>
      <c r="E592">
        <v>-10</v>
      </c>
      <c r="F592" s="66" t="s">
        <v>7</v>
      </c>
      <c r="G592" s="66" t="s">
        <v>8</v>
      </c>
      <c r="H592" s="66" t="str">
        <f>TEXT(Data[[#This Row],[Buchung]],"MMM")</f>
        <v>Aug</v>
      </c>
      <c r="I592" s="67">
        <f>YEAR(Data[[#This Row],[Buchung]])</f>
        <v>2016</v>
      </c>
      <c r="J592" s="2">
        <f>ABS(Data[[#This Row],[Betrag]])</f>
        <v>10</v>
      </c>
      <c r="K592" s="66" t="str">
        <f>IF(Data[[#This Row],[Betrag]]&lt;0,"A","E")</f>
        <v>A</v>
      </c>
    </row>
    <row r="593" spans="1:11" x14ac:dyDescent="0.25">
      <c r="A593" s="1">
        <v>42596</v>
      </c>
      <c r="B593" s="66" t="s">
        <v>63</v>
      </c>
      <c r="C593" s="66" t="s">
        <v>64</v>
      </c>
      <c r="D593" t="s">
        <v>65</v>
      </c>
      <c r="E593">
        <v>-70</v>
      </c>
      <c r="F593" s="66" t="s">
        <v>7</v>
      </c>
      <c r="G593" s="66" t="s">
        <v>11</v>
      </c>
      <c r="H593" s="66" t="str">
        <f>TEXT(Data[[#This Row],[Buchung]],"MMM")</f>
        <v>Aug</v>
      </c>
      <c r="I593" s="67">
        <f>YEAR(Data[[#This Row],[Buchung]])</f>
        <v>2016</v>
      </c>
      <c r="J593" s="2">
        <f>ABS(Data[[#This Row],[Betrag]])</f>
        <v>70</v>
      </c>
      <c r="K593" s="66" t="str">
        <f>IF(Data[[#This Row],[Betrag]]&lt;0,"A","E")</f>
        <v>A</v>
      </c>
    </row>
    <row r="594" spans="1:11" x14ac:dyDescent="0.25">
      <c r="A594" s="1">
        <v>42597</v>
      </c>
      <c r="B594" s="66" t="s">
        <v>54</v>
      </c>
      <c r="C594" s="66" t="s">
        <v>55</v>
      </c>
      <c r="D594" t="s">
        <v>66</v>
      </c>
      <c r="E594">
        <v>-80</v>
      </c>
      <c r="F594" s="66" t="s">
        <v>7</v>
      </c>
      <c r="G594" s="66" t="s">
        <v>57</v>
      </c>
      <c r="H594" s="66" t="str">
        <f>TEXT(Data[[#This Row],[Buchung]],"MMM")</f>
        <v>Aug</v>
      </c>
      <c r="I594" s="67">
        <f>YEAR(Data[[#This Row],[Buchung]])</f>
        <v>2016</v>
      </c>
      <c r="J594" s="2">
        <f>ABS(Data[[#This Row],[Betrag]])</f>
        <v>80</v>
      </c>
      <c r="K594" s="66" t="str">
        <f>IF(Data[[#This Row],[Betrag]]&lt;0,"A","E")</f>
        <v>A</v>
      </c>
    </row>
    <row r="595" spans="1:11" x14ac:dyDescent="0.25">
      <c r="A595" s="1">
        <v>42598</v>
      </c>
      <c r="B595" s="66" t="s">
        <v>67</v>
      </c>
      <c r="C595" s="66" t="s">
        <v>59</v>
      </c>
      <c r="D595" t="s">
        <v>68</v>
      </c>
      <c r="E595">
        <v>-25</v>
      </c>
      <c r="F595" s="66" t="s">
        <v>7</v>
      </c>
      <c r="G595" s="66" t="s">
        <v>10</v>
      </c>
      <c r="H595" s="66" t="str">
        <f>TEXT(Data[[#This Row],[Buchung]],"MMM")</f>
        <v>Aug</v>
      </c>
      <c r="I595" s="67">
        <f>YEAR(Data[[#This Row],[Buchung]])</f>
        <v>2016</v>
      </c>
      <c r="J595" s="2">
        <f>ABS(Data[[#This Row],[Betrag]])</f>
        <v>25</v>
      </c>
      <c r="K595" s="66" t="str">
        <f>IF(Data[[#This Row],[Betrag]]&lt;0,"A","E")</f>
        <v>A</v>
      </c>
    </row>
    <row r="596" spans="1:11" x14ac:dyDescent="0.25">
      <c r="A596" s="1">
        <v>42599</v>
      </c>
      <c r="B596" s="66" t="s">
        <v>45</v>
      </c>
      <c r="C596" s="66" t="s">
        <v>46</v>
      </c>
      <c r="D596" t="s">
        <v>47</v>
      </c>
      <c r="E596">
        <v>1000</v>
      </c>
      <c r="F596" s="66" t="s">
        <v>7</v>
      </c>
      <c r="G596" s="66" t="s">
        <v>9</v>
      </c>
      <c r="H596" s="66" t="str">
        <f>TEXT(Data[[#This Row],[Buchung]],"MMM")</f>
        <v>Aug</v>
      </c>
      <c r="I596" s="67">
        <f>YEAR(Data[[#This Row],[Buchung]])</f>
        <v>2016</v>
      </c>
      <c r="J596" s="2">
        <f>ABS(Data[[#This Row],[Betrag]])</f>
        <v>1000</v>
      </c>
      <c r="K596" s="66" t="str">
        <f>IF(Data[[#This Row],[Betrag]]&lt;0,"A","E")</f>
        <v>E</v>
      </c>
    </row>
    <row r="597" spans="1:11" x14ac:dyDescent="0.25">
      <c r="A597" s="1">
        <v>42600</v>
      </c>
      <c r="B597" s="66" t="s">
        <v>48</v>
      </c>
      <c r="C597" s="66" t="s">
        <v>49</v>
      </c>
      <c r="D597" t="s">
        <v>50</v>
      </c>
      <c r="E597">
        <v>-15</v>
      </c>
      <c r="F597" s="66" t="s">
        <v>7</v>
      </c>
      <c r="G597" s="66" t="s">
        <v>8</v>
      </c>
      <c r="H597" s="66" t="str">
        <f>TEXT(Data[[#This Row],[Buchung]],"MMM")</f>
        <v>Aug</v>
      </c>
      <c r="I597" s="67">
        <f>YEAR(Data[[#This Row],[Buchung]])</f>
        <v>2016</v>
      </c>
      <c r="J597" s="2">
        <f>ABS(Data[[#This Row],[Betrag]])</f>
        <v>15</v>
      </c>
      <c r="K597" s="66" t="str">
        <f>IF(Data[[#This Row],[Betrag]]&lt;0,"A","E")</f>
        <v>A</v>
      </c>
    </row>
    <row r="598" spans="1:11" x14ac:dyDescent="0.25">
      <c r="A598" s="1">
        <v>42601</v>
      </c>
      <c r="B598" s="66" t="s">
        <v>51</v>
      </c>
      <c r="C598" s="66" t="s">
        <v>52</v>
      </c>
      <c r="D598" t="s">
        <v>53</v>
      </c>
      <c r="E598">
        <v>-350</v>
      </c>
      <c r="F598" s="66" t="s">
        <v>7</v>
      </c>
      <c r="G598" s="66" t="s">
        <v>11</v>
      </c>
      <c r="H598" s="66" t="str">
        <f>TEXT(Data[[#This Row],[Buchung]],"MMM")</f>
        <v>Aug</v>
      </c>
      <c r="I598" s="67">
        <f>YEAR(Data[[#This Row],[Buchung]])</f>
        <v>2016</v>
      </c>
      <c r="J598" s="2">
        <f>ABS(Data[[#This Row],[Betrag]])</f>
        <v>350</v>
      </c>
      <c r="K598" s="66" t="str">
        <f>IF(Data[[#This Row],[Betrag]]&lt;0,"A","E")</f>
        <v>A</v>
      </c>
    </row>
    <row r="599" spans="1:11" x14ac:dyDescent="0.25">
      <c r="A599" s="1">
        <v>42602</v>
      </c>
      <c r="B599" s="66" t="s">
        <v>54</v>
      </c>
      <c r="C599" s="66" t="s">
        <v>55</v>
      </c>
      <c r="D599" t="s">
        <v>56</v>
      </c>
      <c r="E599">
        <v>-120</v>
      </c>
      <c r="F599" s="66" t="s">
        <v>7</v>
      </c>
      <c r="G599" s="66" t="s">
        <v>57</v>
      </c>
      <c r="H599" s="66" t="str">
        <f>TEXT(Data[[#This Row],[Buchung]],"MMM")</f>
        <v>Aug</v>
      </c>
      <c r="I599" s="67">
        <f>YEAR(Data[[#This Row],[Buchung]])</f>
        <v>2016</v>
      </c>
      <c r="J599" s="2">
        <f>ABS(Data[[#This Row],[Betrag]])</f>
        <v>120</v>
      </c>
      <c r="K599" s="66" t="str">
        <f>IF(Data[[#This Row],[Betrag]]&lt;0,"A","E")</f>
        <v>A</v>
      </c>
    </row>
    <row r="600" spans="1:11" x14ac:dyDescent="0.25">
      <c r="A600" s="1">
        <v>42603</v>
      </c>
      <c r="B600" s="66" t="s">
        <v>58</v>
      </c>
      <c r="C600" s="66" t="s">
        <v>59</v>
      </c>
      <c r="D600" t="s">
        <v>60</v>
      </c>
      <c r="E600">
        <v>-70</v>
      </c>
      <c r="F600" s="66" t="s">
        <v>7</v>
      </c>
      <c r="G600" s="66" t="s">
        <v>10</v>
      </c>
      <c r="H600" s="66" t="str">
        <f>TEXT(Data[[#This Row],[Buchung]],"MMM")</f>
        <v>Aug</v>
      </c>
      <c r="I600" s="67">
        <f>YEAR(Data[[#This Row],[Buchung]])</f>
        <v>2016</v>
      </c>
      <c r="J600" s="2">
        <f>ABS(Data[[#This Row],[Betrag]])</f>
        <v>70</v>
      </c>
      <c r="K600" s="66" t="str">
        <f>IF(Data[[#This Row],[Betrag]]&lt;0,"A","E")</f>
        <v>A</v>
      </c>
    </row>
    <row r="601" spans="1:11" x14ac:dyDescent="0.25">
      <c r="A601" s="1">
        <v>42604</v>
      </c>
      <c r="B601" s="66" t="s">
        <v>45</v>
      </c>
      <c r="C601" s="66" t="s">
        <v>46</v>
      </c>
      <c r="D601" t="s">
        <v>47</v>
      </c>
      <c r="E601">
        <v>1000</v>
      </c>
      <c r="F601" s="66" t="s">
        <v>7</v>
      </c>
      <c r="G601" s="66" t="s">
        <v>9</v>
      </c>
      <c r="H601" s="66" t="str">
        <f>TEXT(Data[[#This Row],[Buchung]],"MMM")</f>
        <v>Aug</v>
      </c>
      <c r="I601" s="67">
        <f>YEAR(Data[[#This Row],[Buchung]])</f>
        <v>2016</v>
      </c>
      <c r="J601" s="2">
        <f>ABS(Data[[#This Row],[Betrag]])</f>
        <v>1000</v>
      </c>
      <c r="K601" s="66" t="str">
        <f>IF(Data[[#This Row],[Betrag]]&lt;0,"A","E")</f>
        <v>E</v>
      </c>
    </row>
    <row r="602" spans="1:11" x14ac:dyDescent="0.25">
      <c r="A602" s="1">
        <v>42605</v>
      </c>
      <c r="B602" s="66" t="s">
        <v>61</v>
      </c>
      <c r="C602" s="66" t="s">
        <v>49</v>
      </c>
      <c r="D602" t="s">
        <v>62</v>
      </c>
      <c r="E602">
        <v>-10</v>
      </c>
      <c r="F602" s="66" t="s">
        <v>7</v>
      </c>
      <c r="G602" s="66" t="s">
        <v>8</v>
      </c>
      <c r="H602" s="66" t="str">
        <f>TEXT(Data[[#This Row],[Buchung]],"MMM")</f>
        <v>Aug</v>
      </c>
      <c r="I602" s="67">
        <f>YEAR(Data[[#This Row],[Buchung]])</f>
        <v>2016</v>
      </c>
      <c r="J602" s="2">
        <f>ABS(Data[[#This Row],[Betrag]])</f>
        <v>10</v>
      </c>
      <c r="K602" s="66" t="str">
        <f>IF(Data[[#This Row],[Betrag]]&lt;0,"A","E")</f>
        <v>A</v>
      </c>
    </row>
    <row r="603" spans="1:11" x14ac:dyDescent="0.25">
      <c r="A603" s="1">
        <v>42606</v>
      </c>
      <c r="B603" s="66" t="s">
        <v>63</v>
      </c>
      <c r="C603" s="66" t="s">
        <v>64</v>
      </c>
      <c r="D603" t="s">
        <v>65</v>
      </c>
      <c r="E603">
        <v>-60</v>
      </c>
      <c r="F603" s="66" t="s">
        <v>7</v>
      </c>
      <c r="G603" s="66" t="s">
        <v>11</v>
      </c>
      <c r="H603" s="66" t="str">
        <f>TEXT(Data[[#This Row],[Buchung]],"MMM")</f>
        <v>Aug</v>
      </c>
      <c r="I603" s="67">
        <f>YEAR(Data[[#This Row],[Buchung]])</f>
        <v>2016</v>
      </c>
      <c r="J603" s="2">
        <f>ABS(Data[[#This Row],[Betrag]])</f>
        <v>60</v>
      </c>
      <c r="K603" s="66" t="str">
        <f>IF(Data[[#This Row],[Betrag]]&lt;0,"A","E")</f>
        <v>A</v>
      </c>
    </row>
    <row r="604" spans="1:11" x14ac:dyDescent="0.25">
      <c r="A604" s="1">
        <v>42607</v>
      </c>
      <c r="B604" s="66" t="s">
        <v>54</v>
      </c>
      <c r="C604" s="66" t="s">
        <v>55</v>
      </c>
      <c r="D604" t="s">
        <v>66</v>
      </c>
      <c r="E604">
        <v>-80</v>
      </c>
      <c r="F604" s="66" t="s">
        <v>7</v>
      </c>
      <c r="G604" s="66" t="s">
        <v>57</v>
      </c>
      <c r="H604" s="66" t="str">
        <f>TEXT(Data[[#This Row],[Buchung]],"MMM")</f>
        <v>Aug</v>
      </c>
      <c r="I604" s="67">
        <f>YEAR(Data[[#This Row],[Buchung]])</f>
        <v>2016</v>
      </c>
      <c r="J604" s="2">
        <f>ABS(Data[[#This Row],[Betrag]])</f>
        <v>80</v>
      </c>
      <c r="K604" s="66" t="str">
        <f>IF(Data[[#This Row],[Betrag]]&lt;0,"A","E")</f>
        <v>A</v>
      </c>
    </row>
    <row r="605" spans="1:11" x14ac:dyDescent="0.25">
      <c r="A605" s="1">
        <v>42608</v>
      </c>
      <c r="B605" s="66" t="s">
        <v>67</v>
      </c>
      <c r="C605" s="66" t="s">
        <v>59</v>
      </c>
      <c r="D605" t="s">
        <v>68</v>
      </c>
      <c r="E605">
        <v>-30</v>
      </c>
      <c r="F605" s="66" t="s">
        <v>7</v>
      </c>
      <c r="G605" s="66" t="s">
        <v>10</v>
      </c>
      <c r="H605" s="66" t="str">
        <f>TEXT(Data[[#This Row],[Buchung]],"MMM")</f>
        <v>Aug</v>
      </c>
      <c r="I605" s="67">
        <f>YEAR(Data[[#This Row],[Buchung]])</f>
        <v>2016</v>
      </c>
      <c r="J605" s="2">
        <f>ABS(Data[[#This Row],[Betrag]])</f>
        <v>30</v>
      </c>
      <c r="K605" s="66" t="str">
        <f>IF(Data[[#This Row],[Betrag]]&lt;0,"A","E")</f>
        <v>A</v>
      </c>
    </row>
    <row r="606" spans="1:11" x14ac:dyDescent="0.25">
      <c r="A606" s="1">
        <v>42609</v>
      </c>
      <c r="B606" s="66" t="s">
        <v>45</v>
      </c>
      <c r="C606" s="66" t="s">
        <v>46</v>
      </c>
      <c r="D606" t="s">
        <v>47</v>
      </c>
      <c r="E606">
        <v>1000</v>
      </c>
      <c r="F606" s="66" t="s">
        <v>7</v>
      </c>
      <c r="G606" s="66" t="s">
        <v>9</v>
      </c>
      <c r="H606" s="66" t="str">
        <f>TEXT(Data[[#This Row],[Buchung]],"MMM")</f>
        <v>Aug</v>
      </c>
      <c r="I606" s="67">
        <f>YEAR(Data[[#This Row],[Buchung]])</f>
        <v>2016</v>
      </c>
      <c r="J606" s="2">
        <f>ABS(Data[[#This Row],[Betrag]])</f>
        <v>1000</v>
      </c>
      <c r="K606" s="66" t="str">
        <f>IF(Data[[#This Row],[Betrag]]&lt;0,"A","E")</f>
        <v>E</v>
      </c>
    </row>
    <row r="607" spans="1:11" x14ac:dyDescent="0.25">
      <c r="A607" s="1">
        <v>42610</v>
      </c>
      <c r="B607" s="66" t="s">
        <v>48</v>
      </c>
      <c r="C607" s="66" t="s">
        <v>49</v>
      </c>
      <c r="D607" t="s">
        <v>50</v>
      </c>
      <c r="E607">
        <v>-15</v>
      </c>
      <c r="F607" s="66" t="s">
        <v>7</v>
      </c>
      <c r="G607" s="66" t="s">
        <v>8</v>
      </c>
      <c r="H607" s="66" t="str">
        <f>TEXT(Data[[#This Row],[Buchung]],"MMM")</f>
        <v>Aug</v>
      </c>
      <c r="I607" s="67">
        <f>YEAR(Data[[#This Row],[Buchung]])</f>
        <v>2016</v>
      </c>
      <c r="J607" s="2">
        <f>ABS(Data[[#This Row],[Betrag]])</f>
        <v>15</v>
      </c>
      <c r="K607" s="66" t="str">
        <f>IF(Data[[#This Row],[Betrag]]&lt;0,"A","E")</f>
        <v>A</v>
      </c>
    </row>
    <row r="608" spans="1:11" x14ac:dyDescent="0.25">
      <c r="A608" s="1">
        <v>42611</v>
      </c>
      <c r="B608" s="66" t="s">
        <v>51</v>
      </c>
      <c r="C608" s="66" t="s">
        <v>52</v>
      </c>
      <c r="D608" t="s">
        <v>53</v>
      </c>
      <c r="E608">
        <v>-350</v>
      </c>
      <c r="F608" s="66" t="s">
        <v>7</v>
      </c>
      <c r="G608" s="66" t="s">
        <v>11</v>
      </c>
      <c r="H608" s="66" t="str">
        <f>TEXT(Data[[#This Row],[Buchung]],"MMM")</f>
        <v>Aug</v>
      </c>
      <c r="I608" s="67">
        <f>YEAR(Data[[#This Row],[Buchung]])</f>
        <v>2016</v>
      </c>
      <c r="J608" s="2">
        <f>ABS(Data[[#This Row],[Betrag]])</f>
        <v>350</v>
      </c>
      <c r="K608" s="66" t="str">
        <f>IF(Data[[#This Row],[Betrag]]&lt;0,"A","E")</f>
        <v>A</v>
      </c>
    </row>
    <row r="609" spans="1:11" x14ac:dyDescent="0.25">
      <c r="A609" s="1">
        <v>42612</v>
      </c>
      <c r="B609" s="66" t="s">
        <v>54</v>
      </c>
      <c r="C609" s="66" t="s">
        <v>55</v>
      </c>
      <c r="D609" t="s">
        <v>56</v>
      </c>
      <c r="E609">
        <v>-120</v>
      </c>
      <c r="F609" s="66" t="s">
        <v>7</v>
      </c>
      <c r="G609" s="66" t="s">
        <v>57</v>
      </c>
      <c r="H609" s="66" t="str">
        <f>TEXT(Data[[#This Row],[Buchung]],"MMM")</f>
        <v>Aug</v>
      </c>
      <c r="I609" s="67">
        <f>YEAR(Data[[#This Row],[Buchung]])</f>
        <v>2016</v>
      </c>
      <c r="J609" s="2">
        <f>ABS(Data[[#This Row],[Betrag]])</f>
        <v>120</v>
      </c>
      <c r="K609" s="66" t="str">
        <f>IF(Data[[#This Row],[Betrag]]&lt;0,"A","E")</f>
        <v>A</v>
      </c>
    </row>
    <row r="610" spans="1:11" x14ac:dyDescent="0.25">
      <c r="A610" s="1">
        <v>42613</v>
      </c>
      <c r="B610" s="66" t="s">
        <v>58</v>
      </c>
      <c r="C610" s="66" t="s">
        <v>59</v>
      </c>
      <c r="D610" t="s">
        <v>60</v>
      </c>
      <c r="E610">
        <v>-80</v>
      </c>
      <c r="F610" s="66" t="s">
        <v>7</v>
      </c>
      <c r="G610" s="66" t="s">
        <v>10</v>
      </c>
      <c r="H610" s="66" t="str">
        <f>TEXT(Data[[#This Row],[Buchung]],"MMM")</f>
        <v>Aug</v>
      </c>
      <c r="I610" s="67">
        <f>YEAR(Data[[#This Row],[Buchung]])</f>
        <v>2016</v>
      </c>
      <c r="J610" s="2">
        <f>ABS(Data[[#This Row],[Betrag]])</f>
        <v>80</v>
      </c>
      <c r="K610" s="66" t="str">
        <f>IF(Data[[#This Row],[Betrag]]&lt;0,"A","E")</f>
        <v>A</v>
      </c>
    </row>
    <row r="611" spans="1:11" x14ac:dyDescent="0.25">
      <c r="A611" s="1">
        <v>42614</v>
      </c>
      <c r="B611" s="66" t="s">
        <v>45</v>
      </c>
      <c r="C611" s="66" t="s">
        <v>46</v>
      </c>
      <c r="D611" t="s">
        <v>47</v>
      </c>
      <c r="E611">
        <v>1000</v>
      </c>
      <c r="F611" s="66" t="s">
        <v>7</v>
      </c>
      <c r="G611" s="66" t="s">
        <v>9</v>
      </c>
      <c r="H611" s="66" t="str">
        <f>TEXT(Data[[#This Row],[Buchung]],"MMM")</f>
        <v>Sep</v>
      </c>
      <c r="I611" s="67">
        <f>YEAR(Data[[#This Row],[Buchung]])</f>
        <v>2016</v>
      </c>
      <c r="J611" s="2">
        <f>ABS(Data[[#This Row],[Betrag]])</f>
        <v>1000</v>
      </c>
      <c r="K611" s="66" t="str">
        <f>IF(Data[[#This Row],[Betrag]]&lt;0,"A","E")</f>
        <v>E</v>
      </c>
    </row>
    <row r="612" spans="1:11" x14ac:dyDescent="0.25">
      <c r="A612" s="1">
        <v>42615</v>
      </c>
      <c r="B612" s="66" t="s">
        <v>61</v>
      </c>
      <c r="C612" s="66" t="s">
        <v>49</v>
      </c>
      <c r="D612" t="s">
        <v>62</v>
      </c>
      <c r="E612">
        <v>-10</v>
      </c>
      <c r="F612" s="66" t="s">
        <v>7</v>
      </c>
      <c r="G612" s="66" t="s">
        <v>8</v>
      </c>
      <c r="H612" s="66" t="str">
        <f>TEXT(Data[[#This Row],[Buchung]],"MMM")</f>
        <v>Sep</v>
      </c>
      <c r="I612" s="67">
        <f>YEAR(Data[[#This Row],[Buchung]])</f>
        <v>2016</v>
      </c>
      <c r="J612" s="2">
        <f>ABS(Data[[#This Row],[Betrag]])</f>
        <v>10</v>
      </c>
      <c r="K612" s="66" t="str">
        <f>IF(Data[[#This Row],[Betrag]]&lt;0,"A","E")</f>
        <v>A</v>
      </c>
    </row>
    <row r="613" spans="1:11" x14ac:dyDescent="0.25">
      <c r="A613" s="1">
        <v>42616</v>
      </c>
      <c r="B613" s="66" t="s">
        <v>63</v>
      </c>
      <c r="C613" s="66" t="s">
        <v>64</v>
      </c>
      <c r="D613" t="s">
        <v>65</v>
      </c>
      <c r="E613">
        <v>-65</v>
      </c>
      <c r="F613" s="66" t="s">
        <v>7</v>
      </c>
      <c r="G613" s="66" t="s">
        <v>11</v>
      </c>
      <c r="H613" s="66" t="str">
        <f>TEXT(Data[[#This Row],[Buchung]],"MMM")</f>
        <v>Sep</v>
      </c>
      <c r="I613" s="67">
        <f>YEAR(Data[[#This Row],[Buchung]])</f>
        <v>2016</v>
      </c>
      <c r="J613" s="2">
        <f>ABS(Data[[#This Row],[Betrag]])</f>
        <v>65</v>
      </c>
      <c r="K613" s="66" t="str">
        <f>IF(Data[[#This Row],[Betrag]]&lt;0,"A","E")</f>
        <v>A</v>
      </c>
    </row>
    <row r="614" spans="1:11" x14ac:dyDescent="0.25">
      <c r="A614" s="1">
        <v>42617</v>
      </c>
      <c r="B614" s="66" t="s">
        <v>54</v>
      </c>
      <c r="C614" s="66" t="s">
        <v>55</v>
      </c>
      <c r="D614" t="s">
        <v>66</v>
      </c>
      <c r="E614">
        <v>-80</v>
      </c>
      <c r="F614" s="66" t="s">
        <v>7</v>
      </c>
      <c r="G614" s="66" t="s">
        <v>57</v>
      </c>
      <c r="H614" s="66" t="str">
        <f>TEXT(Data[[#This Row],[Buchung]],"MMM")</f>
        <v>Sep</v>
      </c>
      <c r="I614" s="67">
        <f>YEAR(Data[[#This Row],[Buchung]])</f>
        <v>2016</v>
      </c>
      <c r="J614" s="2">
        <f>ABS(Data[[#This Row],[Betrag]])</f>
        <v>80</v>
      </c>
      <c r="K614" s="66" t="str">
        <f>IF(Data[[#This Row],[Betrag]]&lt;0,"A","E")</f>
        <v>A</v>
      </c>
    </row>
    <row r="615" spans="1:11" x14ac:dyDescent="0.25">
      <c r="A615" s="1">
        <v>42618</v>
      </c>
      <c r="B615" s="66" t="s">
        <v>67</v>
      </c>
      <c r="C615" s="66" t="s">
        <v>59</v>
      </c>
      <c r="D615" t="s">
        <v>68</v>
      </c>
      <c r="E615">
        <v>-35</v>
      </c>
      <c r="F615" s="66" t="s">
        <v>7</v>
      </c>
      <c r="G615" s="66" t="s">
        <v>10</v>
      </c>
      <c r="H615" s="66" t="str">
        <f>TEXT(Data[[#This Row],[Buchung]],"MMM")</f>
        <v>Sep</v>
      </c>
      <c r="I615" s="67">
        <f>YEAR(Data[[#This Row],[Buchung]])</f>
        <v>2016</v>
      </c>
      <c r="J615" s="2">
        <f>ABS(Data[[#This Row],[Betrag]])</f>
        <v>35</v>
      </c>
      <c r="K615" s="66" t="str">
        <f>IF(Data[[#This Row],[Betrag]]&lt;0,"A","E")</f>
        <v>A</v>
      </c>
    </row>
    <row r="616" spans="1:11" x14ac:dyDescent="0.25">
      <c r="A616" s="1">
        <v>42619</v>
      </c>
      <c r="B616" s="66" t="s">
        <v>45</v>
      </c>
      <c r="C616" s="66" t="s">
        <v>46</v>
      </c>
      <c r="D616" t="s">
        <v>47</v>
      </c>
      <c r="E616">
        <v>1000</v>
      </c>
      <c r="F616" s="66" t="s">
        <v>7</v>
      </c>
      <c r="G616" s="66" t="s">
        <v>9</v>
      </c>
      <c r="H616" s="66" t="str">
        <f>TEXT(Data[[#This Row],[Buchung]],"MMM")</f>
        <v>Sep</v>
      </c>
      <c r="I616" s="67">
        <f>YEAR(Data[[#This Row],[Buchung]])</f>
        <v>2016</v>
      </c>
      <c r="J616" s="2">
        <f>ABS(Data[[#This Row],[Betrag]])</f>
        <v>1000</v>
      </c>
      <c r="K616" s="66" t="str">
        <f>IF(Data[[#This Row],[Betrag]]&lt;0,"A","E")</f>
        <v>E</v>
      </c>
    </row>
    <row r="617" spans="1:11" x14ac:dyDescent="0.25">
      <c r="A617" s="1">
        <v>42620</v>
      </c>
      <c r="B617" s="66" t="s">
        <v>45</v>
      </c>
      <c r="C617" s="66" t="s">
        <v>46</v>
      </c>
      <c r="D617" t="s">
        <v>47</v>
      </c>
      <c r="E617">
        <v>1000</v>
      </c>
      <c r="F617" s="66" t="s">
        <v>7</v>
      </c>
      <c r="G617" s="66" t="s">
        <v>9</v>
      </c>
      <c r="H617" s="66" t="str">
        <f>TEXT(Data[[#This Row],[Buchung]],"MMM")</f>
        <v>Sep</v>
      </c>
      <c r="I617" s="67">
        <f>YEAR(Data[[#This Row],[Buchung]])</f>
        <v>2016</v>
      </c>
      <c r="J617" s="2">
        <f>ABS(Data[[#This Row],[Betrag]])</f>
        <v>1000</v>
      </c>
      <c r="K617" s="66" t="str">
        <f>IF(Data[[#This Row],[Betrag]]&lt;0,"A","E")</f>
        <v>E</v>
      </c>
    </row>
    <row r="618" spans="1:11" x14ac:dyDescent="0.25">
      <c r="A618" s="1">
        <v>42621</v>
      </c>
      <c r="B618" s="66" t="s">
        <v>48</v>
      </c>
      <c r="C618" s="66" t="s">
        <v>49</v>
      </c>
      <c r="D618" t="s">
        <v>50</v>
      </c>
      <c r="E618">
        <v>-15</v>
      </c>
      <c r="F618" s="66" t="s">
        <v>7</v>
      </c>
      <c r="G618" s="66" t="s">
        <v>8</v>
      </c>
      <c r="H618" s="66" t="str">
        <f>TEXT(Data[[#This Row],[Buchung]],"MMM")</f>
        <v>Sep</v>
      </c>
      <c r="I618" s="67">
        <f>YEAR(Data[[#This Row],[Buchung]])</f>
        <v>2016</v>
      </c>
      <c r="J618" s="2">
        <f>ABS(Data[[#This Row],[Betrag]])</f>
        <v>15</v>
      </c>
      <c r="K618" s="66" t="str">
        <f>IF(Data[[#This Row],[Betrag]]&lt;0,"A","E")</f>
        <v>A</v>
      </c>
    </row>
    <row r="619" spans="1:11" x14ac:dyDescent="0.25">
      <c r="A619" s="1">
        <v>42622</v>
      </c>
      <c r="B619" s="66" t="s">
        <v>51</v>
      </c>
      <c r="C619" s="66" t="s">
        <v>52</v>
      </c>
      <c r="D619" t="s">
        <v>53</v>
      </c>
      <c r="E619">
        <v>-350</v>
      </c>
      <c r="F619" s="66" t="s">
        <v>7</v>
      </c>
      <c r="G619" s="66" t="s">
        <v>11</v>
      </c>
      <c r="H619" s="66" t="str">
        <f>TEXT(Data[[#This Row],[Buchung]],"MMM")</f>
        <v>Sep</v>
      </c>
      <c r="I619" s="67">
        <f>YEAR(Data[[#This Row],[Buchung]])</f>
        <v>2016</v>
      </c>
      <c r="J619" s="2">
        <f>ABS(Data[[#This Row],[Betrag]])</f>
        <v>350</v>
      </c>
      <c r="K619" s="66" t="str">
        <f>IF(Data[[#This Row],[Betrag]]&lt;0,"A","E")</f>
        <v>A</v>
      </c>
    </row>
    <row r="620" spans="1:11" x14ac:dyDescent="0.25">
      <c r="A620" s="1">
        <v>42623</v>
      </c>
      <c r="B620" s="66" t="s">
        <v>54</v>
      </c>
      <c r="C620" s="66" t="s">
        <v>55</v>
      </c>
      <c r="D620" t="s">
        <v>56</v>
      </c>
      <c r="E620">
        <v>-120</v>
      </c>
      <c r="F620" s="66" t="s">
        <v>7</v>
      </c>
      <c r="G620" s="66" t="s">
        <v>57</v>
      </c>
      <c r="H620" s="66" t="str">
        <f>TEXT(Data[[#This Row],[Buchung]],"MMM")</f>
        <v>Sep</v>
      </c>
      <c r="I620" s="67">
        <f>YEAR(Data[[#This Row],[Buchung]])</f>
        <v>2016</v>
      </c>
      <c r="J620" s="2">
        <f>ABS(Data[[#This Row],[Betrag]])</f>
        <v>120</v>
      </c>
      <c r="K620" s="66" t="str">
        <f>IF(Data[[#This Row],[Betrag]]&lt;0,"A","E")</f>
        <v>A</v>
      </c>
    </row>
    <row r="621" spans="1:11" x14ac:dyDescent="0.25">
      <c r="A621" s="1">
        <v>42624</v>
      </c>
      <c r="B621" s="66" t="s">
        <v>58</v>
      </c>
      <c r="C621" s="66" t="s">
        <v>59</v>
      </c>
      <c r="D621" t="s">
        <v>60</v>
      </c>
      <c r="E621">
        <v>-50</v>
      </c>
      <c r="F621" s="66" t="s">
        <v>7</v>
      </c>
      <c r="G621" s="66" t="s">
        <v>10</v>
      </c>
      <c r="H621" s="66" t="str">
        <f>TEXT(Data[[#This Row],[Buchung]],"MMM")</f>
        <v>Sep</v>
      </c>
      <c r="I621" s="67">
        <f>YEAR(Data[[#This Row],[Buchung]])</f>
        <v>2016</v>
      </c>
      <c r="J621" s="2">
        <f>ABS(Data[[#This Row],[Betrag]])</f>
        <v>50</v>
      </c>
      <c r="K621" s="66" t="str">
        <f>IF(Data[[#This Row],[Betrag]]&lt;0,"A","E")</f>
        <v>A</v>
      </c>
    </row>
    <row r="622" spans="1:11" x14ac:dyDescent="0.25">
      <c r="A622" s="1">
        <v>42625</v>
      </c>
      <c r="B622" s="66" t="s">
        <v>45</v>
      </c>
      <c r="C622" s="66" t="s">
        <v>46</v>
      </c>
      <c r="D622" t="s">
        <v>47</v>
      </c>
      <c r="E622">
        <v>1000</v>
      </c>
      <c r="F622" s="66" t="s">
        <v>7</v>
      </c>
      <c r="G622" s="66" t="s">
        <v>9</v>
      </c>
      <c r="H622" s="66" t="str">
        <f>TEXT(Data[[#This Row],[Buchung]],"MMM")</f>
        <v>Sep</v>
      </c>
      <c r="I622" s="67">
        <f>YEAR(Data[[#This Row],[Buchung]])</f>
        <v>2016</v>
      </c>
      <c r="J622" s="2">
        <f>ABS(Data[[#This Row],[Betrag]])</f>
        <v>1000</v>
      </c>
      <c r="K622" s="66" t="str">
        <f>IF(Data[[#This Row],[Betrag]]&lt;0,"A","E")</f>
        <v>E</v>
      </c>
    </row>
    <row r="623" spans="1:11" x14ac:dyDescent="0.25">
      <c r="A623" s="1">
        <v>42626</v>
      </c>
      <c r="B623" s="66" t="s">
        <v>61</v>
      </c>
      <c r="C623" s="66" t="s">
        <v>49</v>
      </c>
      <c r="D623" t="s">
        <v>62</v>
      </c>
      <c r="E623">
        <v>-10</v>
      </c>
      <c r="F623" s="66" t="s">
        <v>7</v>
      </c>
      <c r="G623" s="66" t="s">
        <v>8</v>
      </c>
      <c r="H623" s="66" t="str">
        <f>TEXT(Data[[#This Row],[Buchung]],"MMM")</f>
        <v>Sep</v>
      </c>
      <c r="I623" s="67">
        <f>YEAR(Data[[#This Row],[Buchung]])</f>
        <v>2016</v>
      </c>
      <c r="J623" s="2">
        <f>ABS(Data[[#This Row],[Betrag]])</f>
        <v>10</v>
      </c>
      <c r="K623" s="66" t="str">
        <f>IF(Data[[#This Row],[Betrag]]&lt;0,"A","E")</f>
        <v>A</v>
      </c>
    </row>
    <row r="624" spans="1:11" x14ac:dyDescent="0.25">
      <c r="A624" s="1">
        <v>42627</v>
      </c>
      <c r="B624" s="66" t="s">
        <v>63</v>
      </c>
      <c r="C624" s="66" t="s">
        <v>64</v>
      </c>
      <c r="D624" t="s">
        <v>65</v>
      </c>
      <c r="E624">
        <v>-60</v>
      </c>
      <c r="F624" s="66" t="s">
        <v>7</v>
      </c>
      <c r="G624" s="66" t="s">
        <v>11</v>
      </c>
      <c r="H624" s="66" t="str">
        <f>TEXT(Data[[#This Row],[Buchung]],"MMM")</f>
        <v>Sep</v>
      </c>
      <c r="I624" s="67">
        <f>YEAR(Data[[#This Row],[Buchung]])</f>
        <v>2016</v>
      </c>
      <c r="J624" s="2">
        <f>ABS(Data[[#This Row],[Betrag]])</f>
        <v>60</v>
      </c>
      <c r="K624" s="66" t="str">
        <f>IF(Data[[#This Row],[Betrag]]&lt;0,"A","E")</f>
        <v>A</v>
      </c>
    </row>
    <row r="625" spans="1:11" x14ac:dyDescent="0.25">
      <c r="A625" s="1">
        <v>42628</v>
      </c>
      <c r="B625" s="66" t="s">
        <v>54</v>
      </c>
      <c r="C625" s="66" t="s">
        <v>55</v>
      </c>
      <c r="D625" t="s">
        <v>66</v>
      </c>
      <c r="E625">
        <v>-80</v>
      </c>
      <c r="F625" s="66" t="s">
        <v>7</v>
      </c>
      <c r="G625" s="66" t="s">
        <v>57</v>
      </c>
      <c r="H625" s="66" t="str">
        <f>TEXT(Data[[#This Row],[Buchung]],"MMM")</f>
        <v>Sep</v>
      </c>
      <c r="I625" s="67">
        <f>YEAR(Data[[#This Row],[Buchung]])</f>
        <v>2016</v>
      </c>
      <c r="J625" s="2">
        <f>ABS(Data[[#This Row],[Betrag]])</f>
        <v>80</v>
      </c>
      <c r="K625" s="66" t="str">
        <f>IF(Data[[#This Row],[Betrag]]&lt;0,"A","E")</f>
        <v>A</v>
      </c>
    </row>
    <row r="626" spans="1:11" x14ac:dyDescent="0.25">
      <c r="A626" s="1">
        <v>42629</v>
      </c>
      <c r="B626" s="66" t="s">
        <v>67</v>
      </c>
      <c r="C626" s="66" t="s">
        <v>59</v>
      </c>
      <c r="D626" t="s">
        <v>68</v>
      </c>
      <c r="E626">
        <v>-20</v>
      </c>
      <c r="F626" s="66" t="s">
        <v>7</v>
      </c>
      <c r="G626" s="66" t="s">
        <v>10</v>
      </c>
      <c r="H626" s="66" t="str">
        <f>TEXT(Data[[#This Row],[Buchung]],"MMM")</f>
        <v>Sep</v>
      </c>
      <c r="I626" s="67">
        <f>YEAR(Data[[#This Row],[Buchung]])</f>
        <v>2016</v>
      </c>
      <c r="J626" s="2">
        <f>ABS(Data[[#This Row],[Betrag]])</f>
        <v>20</v>
      </c>
      <c r="K626" s="66" t="str">
        <f>IF(Data[[#This Row],[Betrag]]&lt;0,"A","E")</f>
        <v>A</v>
      </c>
    </row>
    <row r="627" spans="1:11" x14ac:dyDescent="0.25">
      <c r="A627" s="1">
        <v>42630</v>
      </c>
      <c r="B627" s="66" t="s">
        <v>45</v>
      </c>
      <c r="C627" s="66" t="s">
        <v>46</v>
      </c>
      <c r="D627" t="s">
        <v>47</v>
      </c>
      <c r="E627">
        <v>1000</v>
      </c>
      <c r="F627" s="66" t="s">
        <v>7</v>
      </c>
      <c r="G627" s="66" t="s">
        <v>9</v>
      </c>
      <c r="H627" s="66" t="str">
        <f>TEXT(Data[[#This Row],[Buchung]],"MMM")</f>
        <v>Sep</v>
      </c>
      <c r="I627" s="67">
        <f>YEAR(Data[[#This Row],[Buchung]])</f>
        <v>2016</v>
      </c>
      <c r="J627" s="2">
        <f>ABS(Data[[#This Row],[Betrag]])</f>
        <v>1000</v>
      </c>
      <c r="K627" s="66" t="str">
        <f>IF(Data[[#This Row],[Betrag]]&lt;0,"A","E")</f>
        <v>E</v>
      </c>
    </row>
    <row r="628" spans="1:11" x14ac:dyDescent="0.25">
      <c r="A628" s="1">
        <v>42631</v>
      </c>
      <c r="B628" s="66" t="s">
        <v>48</v>
      </c>
      <c r="C628" s="66" t="s">
        <v>49</v>
      </c>
      <c r="D628" t="s">
        <v>50</v>
      </c>
      <c r="E628">
        <v>-15</v>
      </c>
      <c r="F628" s="66" t="s">
        <v>7</v>
      </c>
      <c r="G628" s="66" t="s">
        <v>8</v>
      </c>
      <c r="H628" s="66" t="str">
        <f>TEXT(Data[[#This Row],[Buchung]],"MMM")</f>
        <v>Sep</v>
      </c>
      <c r="I628" s="67">
        <f>YEAR(Data[[#This Row],[Buchung]])</f>
        <v>2016</v>
      </c>
      <c r="J628" s="2">
        <f>ABS(Data[[#This Row],[Betrag]])</f>
        <v>15</v>
      </c>
      <c r="K628" s="66" t="str">
        <f>IF(Data[[#This Row],[Betrag]]&lt;0,"A","E")</f>
        <v>A</v>
      </c>
    </row>
    <row r="629" spans="1:11" x14ac:dyDescent="0.25">
      <c r="A629" s="1">
        <v>42632</v>
      </c>
      <c r="B629" s="66" t="s">
        <v>51</v>
      </c>
      <c r="C629" s="66" t="s">
        <v>52</v>
      </c>
      <c r="D629" t="s">
        <v>53</v>
      </c>
      <c r="E629">
        <v>-350</v>
      </c>
      <c r="F629" s="66" t="s">
        <v>7</v>
      </c>
      <c r="G629" s="66" t="s">
        <v>11</v>
      </c>
      <c r="H629" s="66" t="str">
        <f>TEXT(Data[[#This Row],[Buchung]],"MMM")</f>
        <v>Sep</v>
      </c>
      <c r="I629" s="67">
        <f>YEAR(Data[[#This Row],[Buchung]])</f>
        <v>2016</v>
      </c>
      <c r="J629" s="2">
        <f>ABS(Data[[#This Row],[Betrag]])</f>
        <v>350</v>
      </c>
      <c r="K629" s="66" t="str">
        <f>IF(Data[[#This Row],[Betrag]]&lt;0,"A","E")</f>
        <v>A</v>
      </c>
    </row>
    <row r="630" spans="1:11" x14ac:dyDescent="0.25">
      <c r="A630" s="1">
        <v>42633</v>
      </c>
      <c r="B630" s="66" t="s">
        <v>54</v>
      </c>
      <c r="C630" s="66" t="s">
        <v>55</v>
      </c>
      <c r="D630" t="s">
        <v>56</v>
      </c>
      <c r="E630">
        <v>-120</v>
      </c>
      <c r="F630" s="66" t="s">
        <v>7</v>
      </c>
      <c r="G630" s="66" t="s">
        <v>57</v>
      </c>
      <c r="H630" s="66" t="str">
        <f>TEXT(Data[[#This Row],[Buchung]],"MMM")</f>
        <v>Sep</v>
      </c>
      <c r="I630" s="67">
        <f>YEAR(Data[[#This Row],[Buchung]])</f>
        <v>2016</v>
      </c>
      <c r="J630" s="2">
        <f>ABS(Data[[#This Row],[Betrag]])</f>
        <v>120</v>
      </c>
      <c r="K630" s="66" t="str">
        <f>IF(Data[[#This Row],[Betrag]]&lt;0,"A","E")</f>
        <v>A</v>
      </c>
    </row>
    <row r="631" spans="1:11" x14ac:dyDescent="0.25">
      <c r="A631" s="1">
        <v>42634</v>
      </c>
      <c r="B631" s="66" t="s">
        <v>58</v>
      </c>
      <c r="C631" s="66" t="s">
        <v>59</v>
      </c>
      <c r="D631" t="s">
        <v>60</v>
      </c>
      <c r="E631">
        <v>-60</v>
      </c>
      <c r="F631" s="66" t="s">
        <v>7</v>
      </c>
      <c r="G631" s="66" t="s">
        <v>10</v>
      </c>
      <c r="H631" s="66" t="str">
        <f>TEXT(Data[[#This Row],[Buchung]],"MMM")</f>
        <v>Sep</v>
      </c>
      <c r="I631" s="67">
        <f>YEAR(Data[[#This Row],[Buchung]])</f>
        <v>2016</v>
      </c>
      <c r="J631" s="2">
        <f>ABS(Data[[#This Row],[Betrag]])</f>
        <v>60</v>
      </c>
      <c r="K631" s="66" t="str">
        <f>IF(Data[[#This Row],[Betrag]]&lt;0,"A","E")</f>
        <v>A</v>
      </c>
    </row>
    <row r="632" spans="1:11" x14ac:dyDescent="0.25">
      <c r="A632" s="1">
        <v>42635</v>
      </c>
      <c r="B632" s="66" t="s">
        <v>45</v>
      </c>
      <c r="C632" s="66" t="s">
        <v>46</v>
      </c>
      <c r="D632" t="s">
        <v>47</v>
      </c>
      <c r="E632">
        <v>1000</v>
      </c>
      <c r="F632" s="66" t="s">
        <v>7</v>
      </c>
      <c r="G632" s="66" t="s">
        <v>9</v>
      </c>
      <c r="H632" s="66" t="str">
        <f>TEXT(Data[[#This Row],[Buchung]],"MMM")</f>
        <v>Sep</v>
      </c>
      <c r="I632" s="67">
        <f>YEAR(Data[[#This Row],[Buchung]])</f>
        <v>2016</v>
      </c>
      <c r="J632" s="2">
        <f>ABS(Data[[#This Row],[Betrag]])</f>
        <v>1000</v>
      </c>
      <c r="K632" s="66" t="str">
        <f>IF(Data[[#This Row],[Betrag]]&lt;0,"A","E")</f>
        <v>E</v>
      </c>
    </row>
    <row r="633" spans="1:11" x14ac:dyDescent="0.25">
      <c r="A633" s="1">
        <v>42636</v>
      </c>
      <c r="B633" s="66" t="s">
        <v>61</v>
      </c>
      <c r="C633" s="66" t="s">
        <v>49</v>
      </c>
      <c r="D633" t="s">
        <v>62</v>
      </c>
      <c r="E633">
        <v>-10</v>
      </c>
      <c r="F633" s="66" t="s">
        <v>7</v>
      </c>
      <c r="G633" s="66" t="s">
        <v>8</v>
      </c>
      <c r="H633" s="66" t="str">
        <f>TEXT(Data[[#This Row],[Buchung]],"MMM")</f>
        <v>Sep</v>
      </c>
      <c r="I633" s="67">
        <f>YEAR(Data[[#This Row],[Buchung]])</f>
        <v>2016</v>
      </c>
      <c r="J633" s="2">
        <f>ABS(Data[[#This Row],[Betrag]])</f>
        <v>10</v>
      </c>
      <c r="K633" s="66" t="str">
        <f>IF(Data[[#This Row],[Betrag]]&lt;0,"A","E")</f>
        <v>A</v>
      </c>
    </row>
    <row r="634" spans="1:11" x14ac:dyDescent="0.25">
      <c r="A634" s="1">
        <v>42637</v>
      </c>
      <c r="B634" s="66" t="s">
        <v>63</v>
      </c>
      <c r="C634" s="66" t="s">
        <v>64</v>
      </c>
      <c r="D634" t="s">
        <v>65</v>
      </c>
      <c r="E634">
        <v>-70</v>
      </c>
      <c r="F634" s="66" t="s">
        <v>7</v>
      </c>
      <c r="G634" s="66" t="s">
        <v>11</v>
      </c>
      <c r="H634" s="66" t="str">
        <f>TEXT(Data[[#This Row],[Buchung]],"MMM")</f>
        <v>Sep</v>
      </c>
      <c r="I634" s="67">
        <f>YEAR(Data[[#This Row],[Buchung]])</f>
        <v>2016</v>
      </c>
      <c r="J634" s="2">
        <f>ABS(Data[[#This Row],[Betrag]])</f>
        <v>70</v>
      </c>
      <c r="K634" s="66" t="str">
        <f>IF(Data[[#This Row],[Betrag]]&lt;0,"A","E")</f>
        <v>A</v>
      </c>
    </row>
    <row r="635" spans="1:11" x14ac:dyDescent="0.25">
      <c r="A635" s="1">
        <v>42638</v>
      </c>
      <c r="B635" s="66" t="s">
        <v>54</v>
      </c>
      <c r="C635" s="66" t="s">
        <v>55</v>
      </c>
      <c r="D635" t="s">
        <v>66</v>
      </c>
      <c r="E635">
        <v>-80</v>
      </c>
      <c r="F635" s="66" t="s">
        <v>7</v>
      </c>
      <c r="G635" s="66" t="s">
        <v>57</v>
      </c>
      <c r="H635" s="66" t="str">
        <f>TEXT(Data[[#This Row],[Buchung]],"MMM")</f>
        <v>Sep</v>
      </c>
      <c r="I635" s="67">
        <f>YEAR(Data[[#This Row],[Buchung]])</f>
        <v>2016</v>
      </c>
      <c r="J635" s="2">
        <f>ABS(Data[[#This Row],[Betrag]])</f>
        <v>80</v>
      </c>
      <c r="K635" s="66" t="str">
        <f>IF(Data[[#This Row],[Betrag]]&lt;0,"A","E")</f>
        <v>A</v>
      </c>
    </row>
    <row r="636" spans="1:11" x14ac:dyDescent="0.25">
      <c r="A636" s="1">
        <v>42639</v>
      </c>
      <c r="B636" s="66" t="s">
        <v>67</v>
      </c>
      <c r="C636" s="66" t="s">
        <v>59</v>
      </c>
      <c r="D636" t="s">
        <v>68</v>
      </c>
      <c r="E636">
        <v>-25</v>
      </c>
      <c r="F636" s="66" t="s">
        <v>7</v>
      </c>
      <c r="G636" s="66" t="s">
        <v>10</v>
      </c>
      <c r="H636" s="66" t="str">
        <f>TEXT(Data[[#This Row],[Buchung]],"MMM")</f>
        <v>Sep</v>
      </c>
      <c r="I636" s="67">
        <f>YEAR(Data[[#This Row],[Buchung]])</f>
        <v>2016</v>
      </c>
      <c r="J636" s="2">
        <f>ABS(Data[[#This Row],[Betrag]])</f>
        <v>25</v>
      </c>
      <c r="K636" s="66" t="str">
        <f>IF(Data[[#This Row],[Betrag]]&lt;0,"A","E")</f>
        <v>A</v>
      </c>
    </row>
    <row r="637" spans="1:11" x14ac:dyDescent="0.25">
      <c r="A637" s="1">
        <v>42640</v>
      </c>
      <c r="B637" s="66" t="s">
        <v>45</v>
      </c>
      <c r="C637" s="66" t="s">
        <v>46</v>
      </c>
      <c r="D637" t="s">
        <v>47</v>
      </c>
      <c r="E637">
        <v>1000</v>
      </c>
      <c r="F637" s="66" t="s">
        <v>7</v>
      </c>
      <c r="G637" s="66" t="s">
        <v>9</v>
      </c>
      <c r="H637" s="66" t="str">
        <f>TEXT(Data[[#This Row],[Buchung]],"MMM")</f>
        <v>Sep</v>
      </c>
      <c r="I637" s="67">
        <f>YEAR(Data[[#This Row],[Buchung]])</f>
        <v>2016</v>
      </c>
      <c r="J637" s="2">
        <f>ABS(Data[[#This Row],[Betrag]])</f>
        <v>1000</v>
      </c>
      <c r="K637" s="66" t="str">
        <f>IF(Data[[#This Row],[Betrag]]&lt;0,"A","E")</f>
        <v>E</v>
      </c>
    </row>
    <row r="638" spans="1:11" x14ac:dyDescent="0.25">
      <c r="A638" s="1">
        <v>42641</v>
      </c>
      <c r="B638" s="66" t="s">
        <v>48</v>
      </c>
      <c r="C638" s="66" t="s">
        <v>49</v>
      </c>
      <c r="D638" t="s">
        <v>50</v>
      </c>
      <c r="E638">
        <v>-15</v>
      </c>
      <c r="F638" s="66" t="s">
        <v>7</v>
      </c>
      <c r="G638" s="66" t="s">
        <v>8</v>
      </c>
      <c r="H638" s="66" t="str">
        <f>TEXT(Data[[#This Row],[Buchung]],"MMM")</f>
        <v>Sep</v>
      </c>
      <c r="I638" s="67">
        <f>YEAR(Data[[#This Row],[Buchung]])</f>
        <v>2016</v>
      </c>
      <c r="J638" s="2">
        <f>ABS(Data[[#This Row],[Betrag]])</f>
        <v>15</v>
      </c>
      <c r="K638" s="66" t="str">
        <f>IF(Data[[#This Row],[Betrag]]&lt;0,"A","E")</f>
        <v>A</v>
      </c>
    </row>
    <row r="639" spans="1:11" x14ac:dyDescent="0.25">
      <c r="A639" s="1">
        <v>42642</v>
      </c>
      <c r="B639" s="66" t="s">
        <v>51</v>
      </c>
      <c r="C639" s="66" t="s">
        <v>52</v>
      </c>
      <c r="D639" t="s">
        <v>53</v>
      </c>
      <c r="E639">
        <v>-350</v>
      </c>
      <c r="F639" s="66" t="s">
        <v>7</v>
      </c>
      <c r="G639" s="66" t="s">
        <v>11</v>
      </c>
      <c r="H639" s="66" t="str">
        <f>TEXT(Data[[#This Row],[Buchung]],"MMM")</f>
        <v>Sep</v>
      </c>
      <c r="I639" s="67">
        <f>YEAR(Data[[#This Row],[Buchung]])</f>
        <v>2016</v>
      </c>
      <c r="J639" s="2">
        <f>ABS(Data[[#This Row],[Betrag]])</f>
        <v>350</v>
      </c>
      <c r="K639" s="66" t="str">
        <f>IF(Data[[#This Row],[Betrag]]&lt;0,"A","E")</f>
        <v>A</v>
      </c>
    </row>
    <row r="640" spans="1:11" x14ac:dyDescent="0.25">
      <c r="A640" s="1">
        <v>42643</v>
      </c>
      <c r="B640" s="66" t="s">
        <v>54</v>
      </c>
      <c r="C640" s="66" t="s">
        <v>55</v>
      </c>
      <c r="D640" t="s">
        <v>56</v>
      </c>
      <c r="E640">
        <v>-120</v>
      </c>
      <c r="F640" s="66" t="s">
        <v>7</v>
      </c>
      <c r="G640" s="66" t="s">
        <v>57</v>
      </c>
      <c r="H640" s="66" t="str">
        <f>TEXT(Data[[#This Row],[Buchung]],"MMM")</f>
        <v>Sep</v>
      </c>
      <c r="I640" s="67">
        <f>YEAR(Data[[#This Row],[Buchung]])</f>
        <v>2016</v>
      </c>
      <c r="J640" s="2">
        <f>ABS(Data[[#This Row],[Betrag]])</f>
        <v>120</v>
      </c>
      <c r="K640" s="66" t="str">
        <f>IF(Data[[#This Row],[Betrag]]&lt;0,"A","E")</f>
        <v>A</v>
      </c>
    </row>
    <row r="641" spans="1:11" x14ac:dyDescent="0.25">
      <c r="A641" s="1">
        <v>42644</v>
      </c>
      <c r="B641" s="66" t="s">
        <v>58</v>
      </c>
      <c r="C641" s="66" t="s">
        <v>59</v>
      </c>
      <c r="D641" t="s">
        <v>60</v>
      </c>
      <c r="E641">
        <v>-70</v>
      </c>
      <c r="F641" s="66" t="s">
        <v>7</v>
      </c>
      <c r="G641" s="66" t="s">
        <v>10</v>
      </c>
      <c r="H641" s="66" t="str">
        <f>TEXT(Data[[#This Row],[Buchung]],"MMM")</f>
        <v>Okt</v>
      </c>
      <c r="I641" s="67">
        <f>YEAR(Data[[#This Row],[Buchung]])</f>
        <v>2016</v>
      </c>
      <c r="J641" s="2">
        <f>ABS(Data[[#This Row],[Betrag]])</f>
        <v>70</v>
      </c>
      <c r="K641" s="66" t="str">
        <f>IF(Data[[#This Row],[Betrag]]&lt;0,"A","E")</f>
        <v>A</v>
      </c>
    </row>
    <row r="642" spans="1:11" x14ac:dyDescent="0.25">
      <c r="A642" s="1">
        <v>42645</v>
      </c>
      <c r="B642" s="66" t="s">
        <v>45</v>
      </c>
      <c r="C642" s="66" t="s">
        <v>46</v>
      </c>
      <c r="D642" t="s">
        <v>47</v>
      </c>
      <c r="E642">
        <v>1000</v>
      </c>
      <c r="F642" s="66" t="s">
        <v>7</v>
      </c>
      <c r="G642" s="66" t="s">
        <v>9</v>
      </c>
      <c r="H642" s="66" t="str">
        <f>TEXT(Data[[#This Row],[Buchung]],"MMM")</f>
        <v>Okt</v>
      </c>
      <c r="I642" s="67">
        <f>YEAR(Data[[#This Row],[Buchung]])</f>
        <v>2016</v>
      </c>
      <c r="J642" s="2">
        <f>ABS(Data[[#This Row],[Betrag]])</f>
        <v>1000</v>
      </c>
      <c r="K642" s="66" t="str">
        <f>IF(Data[[#This Row],[Betrag]]&lt;0,"A","E")</f>
        <v>E</v>
      </c>
    </row>
    <row r="643" spans="1:11" x14ac:dyDescent="0.25">
      <c r="A643" s="1">
        <v>42646</v>
      </c>
      <c r="B643" s="66" t="s">
        <v>61</v>
      </c>
      <c r="C643" s="66" t="s">
        <v>49</v>
      </c>
      <c r="D643" t="s">
        <v>62</v>
      </c>
      <c r="E643">
        <v>-10</v>
      </c>
      <c r="F643" s="66" t="s">
        <v>7</v>
      </c>
      <c r="G643" s="66" t="s">
        <v>8</v>
      </c>
      <c r="H643" s="66" t="str">
        <f>TEXT(Data[[#This Row],[Buchung]],"MMM")</f>
        <v>Okt</v>
      </c>
      <c r="I643" s="67">
        <f>YEAR(Data[[#This Row],[Buchung]])</f>
        <v>2016</v>
      </c>
      <c r="J643" s="2">
        <f>ABS(Data[[#This Row],[Betrag]])</f>
        <v>10</v>
      </c>
      <c r="K643" s="66" t="str">
        <f>IF(Data[[#This Row],[Betrag]]&lt;0,"A","E")</f>
        <v>A</v>
      </c>
    </row>
    <row r="644" spans="1:11" x14ac:dyDescent="0.25">
      <c r="A644" s="1">
        <v>42647</v>
      </c>
      <c r="B644" s="66" t="s">
        <v>63</v>
      </c>
      <c r="C644" s="66" t="s">
        <v>64</v>
      </c>
      <c r="D644" t="s">
        <v>65</v>
      </c>
      <c r="E644">
        <v>-60</v>
      </c>
      <c r="F644" s="66" t="s">
        <v>7</v>
      </c>
      <c r="G644" s="66" t="s">
        <v>11</v>
      </c>
      <c r="H644" s="66" t="str">
        <f>TEXT(Data[[#This Row],[Buchung]],"MMM")</f>
        <v>Okt</v>
      </c>
      <c r="I644" s="67">
        <f>YEAR(Data[[#This Row],[Buchung]])</f>
        <v>2016</v>
      </c>
      <c r="J644" s="2">
        <f>ABS(Data[[#This Row],[Betrag]])</f>
        <v>60</v>
      </c>
      <c r="K644" s="66" t="str">
        <f>IF(Data[[#This Row],[Betrag]]&lt;0,"A","E")</f>
        <v>A</v>
      </c>
    </row>
    <row r="645" spans="1:11" x14ac:dyDescent="0.25">
      <c r="A645" s="1">
        <v>42648</v>
      </c>
      <c r="B645" s="66" t="s">
        <v>54</v>
      </c>
      <c r="C645" s="66" t="s">
        <v>55</v>
      </c>
      <c r="D645" t="s">
        <v>66</v>
      </c>
      <c r="E645">
        <v>-80</v>
      </c>
      <c r="F645" s="66" t="s">
        <v>7</v>
      </c>
      <c r="G645" s="66" t="s">
        <v>57</v>
      </c>
      <c r="H645" s="66" t="str">
        <f>TEXT(Data[[#This Row],[Buchung]],"MMM")</f>
        <v>Okt</v>
      </c>
      <c r="I645" s="67">
        <f>YEAR(Data[[#This Row],[Buchung]])</f>
        <v>2016</v>
      </c>
      <c r="J645" s="2">
        <f>ABS(Data[[#This Row],[Betrag]])</f>
        <v>80</v>
      </c>
      <c r="K645" s="66" t="str">
        <f>IF(Data[[#This Row],[Betrag]]&lt;0,"A","E")</f>
        <v>A</v>
      </c>
    </row>
    <row r="646" spans="1:11" x14ac:dyDescent="0.25">
      <c r="A646" s="1">
        <v>42649</v>
      </c>
      <c r="B646" s="66" t="s">
        <v>67</v>
      </c>
      <c r="C646" s="66" t="s">
        <v>59</v>
      </c>
      <c r="D646" t="s">
        <v>68</v>
      </c>
      <c r="E646">
        <v>-30</v>
      </c>
      <c r="F646" s="66" t="s">
        <v>7</v>
      </c>
      <c r="G646" s="66" t="s">
        <v>10</v>
      </c>
      <c r="H646" s="66" t="str">
        <f>TEXT(Data[[#This Row],[Buchung]],"MMM")</f>
        <v>Okt</v>
      </c>
      <c r="I646" s="67">
        <f>YEAR(Data[[#This Row],[Buchung]])</f>
        <v>2016</v>
      </c>
      <c r="J646" s="2">
        <f>ABS(Data[[#This Row],[Betrag]])</f>
        <v>30</v>
      </c>
      <c r="K646" s="66" t="str">
        <f>IF(Data[[#This Row],[Betrag]]&lt;0,"A","E")</f>
        <v>A</v>
      </c>
    </row>
    <row r="647" spans="1:11" x14ac:dyDescent="0.25">
      <c r="A647" s="1">
        <v>42650</v>
      </c>
      <c r="B647" s="66" t="s">
        <v>45</v>
      </c>
      <c r="C647" s="66" t="s">
        <v>46</v>
      </c>
      <c r="D647" t="s">
        <v>47</v>
      </c>
      <c r="E647">
        <v>1000</v>
      </c>
      <c r="F647" s="66" t="s">
        <v>7</v>
      </c>
      <c r="G647" s="66" t="s">
        <v>9</v>
      </c>
      <c r="H647" s="66" t="str">
        <f>TEXT(Data[[#This Row],[Buchung]],"MMM")</f>
        <v>Okt</v>
      </c>
      <c r="I647" s="67">
        <f>YEAR(Data[[#This Row],[Buchung]])</f>
        <v>2016</v>
      </c>
      <c r="J647" s="2">
        <f>ABS(Data[[#This Row],[Betrag]])</f>
        <v>1000</v>
      </c>
      <c r="K647" s="66" t="str">
        <f>IF(Data[[#This Row],[Betrag]]&lt;0,"A","E")</f>
        <v>E</v>
      </c>
    </row>
    <row r="648" spans="1:11" x14ac:dyDescent="0.25">
      <c r="A648" s="1">
        <v>42651</v>
      </c>
      <c r="B648" s="66" t="s">
        <v>48</v>
      </c>
      <c r="C648" s="66" t="s">
        <v>49</v>
      </c>
      <c r="D648" t="s">
        <v>50</v>
      </c>
      <c r="E648">
        <v>-15</v>
      </c>
      <c r="F648" s="66" t="s">
        <v>7</v>
      </c>
      <c r="G648" s="66" t="s">
        <v>8</v>
      </c>
      <c r="H648" s="66" t="str">
        <f>TEXT(Data[[#This Row],[Buchung]],"MMM")</f>
        <v>Okt</v>
      </c>
      <c r="I648" s="67">
        <f>YEAR(Data[[#This Row],[Buchung]])</f>
        <v>2016</v>
      </c>
      <c r="J648" s="2">
        <f>ABS(Data[[#This Row],[Betrag]])</f>
        <v>15</v>
      </c>
      <c r="K648" s="66" t="str">
        <f>IF(Data[[#This Row],[Betrag]]&lt;0,"A","E")</f>
        <v>A</v>
      </c>
    </row>
    <row r="649" spans="1:11" x14ac:dyDescent="0.25">
      <c r="A649" s="1">
        <v>42652</v>
      </c>
      <c r="B649" s="66" t="s">
        <v>51</v>
      </c>
      <c r="C649" s="66" t="s">
        <v>52</v>
      </c>
      <c r="D649" t="s">
        <v>53</v>
      </c>
      <c r="E649">
        <v>-350</v>
      </c>
      <c r="F649" s="66" t="s">
        <v>7</v>
      </c>
      <c r="G649" s="66" t="s">
        <v>11</v>
      </c>
      <c r="H649" s="66" t="str">
        <f>TEXT(Data[[#This Row],[Buchung]],"MMM")</f>
        <v>Okt</v>
      </c>
      <c r="I649" s="67">
        <f>YEAR(Data[[#This Row],[Buchung]])</f>
        <v>2016</v>
      </c>
      <c r="J649" s="2">
        <f>ABS(Data[[#This Row],[Betrag]])</f>
        <v>350</v>
      </c>
      <c r="K649" s="66" t="str">
        <f>IF(Data[[#This Row],[Betrag]]&lt;0,"A","E")</f>
        <v>A</v>
      </c>
    </row>
    <row r="650" spans="1:11" x14ac:dyDescent="0.25">
      <c r="A650" s="1">
        <v>42653</v>
      </c>
      <c r="B650" s="66" t="s">
        <v>54</v>
      </c>
      <c r="C650" s="66" t="s">
        <v>55</v>
      </c>
      <c r="D650" t="s">
        <v>56</v>
      </c>
      <c r="E650">
        <v>-120</v>
      </c>
      <c r="F650" s="66" t="s">
        <v>7</v>
      </c>
      <c r="G650" s="66" t="s">
        <v>57</v>
      </c>
      <c r="H650" s="66" t="str">
        <f>TEXT(Data[[#This Row],[Buchung]],"MMM")</f>
        <v>Okt</v>
      </c>
      <c r="I650" s="67">
        <f>YEAR(Data[[#This Row],[Buchung]])</f>
        <v>2016</v>
      </c>
      <c r="J650" s="2">
        <f>ABS(Data[[#This Row],[Betrag]])</f>
        <v>120</v>
      </c>
      <c r="K650" s="66" t="str">
        <f>IF(Data[[#This Row],[Betrag]]&lt;0,"A","E")</f>
        <v>A</v>
      </c>
    </row>
    <row r="651" spans="1:11" x14ac:dyDescent="0.25">
      <c r="A651" s="1">
        <v>42654</v>
      </c>
      <c r="B651" s="66" t="s">
        <v>58</v>
      </c>
      <c r="C651" s="66" t="s">
        <v>59</v>
      </c>
      <c r="D651" t="s">
        <v>60</v>
      </c>
      <c r="E651">
        <v>-80</v>
      </c>
      <c r="F651" s="66" t="s">
        <v>7</v>
      </c>
      <c r="G651" s="66" t="s">
        <v>10</v>
      </c>
      <c r="H651" s="66" t="str">
        <f>TEXT(Data[[#This Row],[Buchung]],"MMM")</f>
        <v>Okt</v>
      </c>
      <c r="I651" s="67">
        <f>YEAR(Data[[#This Row],[Buchung]])</f>
        <v>2016</v>
      </c>
      <c r="J651" s="2">
        <f>ABS(Data[[#This Row],[Betrag]])</f>
        <v>80</v>
      </c>
      <c r="K651" s="66" t="str">
        <f>IF(Data[[#This Row],[Betrag]]&lt;0,"A","E")</f>
        <v>A</v>
      </c>
    </row>
    <row r="652" spans="1:11" x14ac:dyDescent="0.25">
      <c r="A652" s="1">
        <v>42655</v>
      </c>
      <c r="B652" s="66" t="s">
        <v>45</v>
      </c>
      <c r="C652" s="66" t="s">
        <v>46</v>
      </c>
      <c r="D652" t="s">
        <v>47</v>
      </c>
      <c r="E652">
        <v>1000</v>
      </c>
      <c r="F652" s="66" t="s">
        <v>7</v>
      </c>
      <c r="G652" s="66" t="s">
        <v>9</v>
      </c>
      <c r="H652" s="66" t="str">
        <f>TEXT(Data[[#This Row],[Buchung]],"MMM")</f>
        <v>Okt</v>
      </c>
      <c r="I652" s="67">
        <f>YEAR(Data[[#This Row],[Buchung]])</f>
        <v>2016</v>
      </c>
      <c r="J652" s="2">
        <f>ABS(Data[[#This Row],[Betrag]])</f>
        <v>1000</v>
      </c>
      <c r="K652" s="66" t="str">
        <f>IF(Data[[#This Row],[Betrag]]&lt;0,"A","E")</f>
        <v>E</v>
      </c>
    </row>
    <row r="653" spans="1:11" x14ac:dyDescent="0.25">
      <c r="A653" s="1">
        <v>42656</v>
      </c>
      <c r="B653" s="66" t="s">
        <v>61</v>
      </c>
      <c r="C653" s="66" t="s">
        <v>49</v>
      </c>
      <c r="D653" t="s">
        <v>62</v>
      </c>
      <c r="E653">
        <v>-10</v>
      </c>
      <c r="F653" s="66" t="s">
        <v>7</v>
      </c>
      <c r="G653" s="66" t="s">
        <v>8</v>
      </c>
      <c r="H653" s="66" t="str">
        <f>TEXT(Data[[#This Row],[Buchung]],"MMM")</f>
        <v>Okt</v>
      </c>
      <c r="I653" s="67">
        <f>YEAR(Data[[#This Row],[Buchung]])</f>
        <v>2016</v>
      </c>
      <c r="J653" s="2">
        <f>ABS(Data[[#This Row],[Betrag]])</f>
        <v>10</v>
      </c>
      <c r="K653" s="66" t="str">
        <f>IF(Data[[#This Row],[Betrag]]&lt;0,"A","E")</f>
        <v>A</v>
      </c>
    </row>
    <row r="654" spans="1:11" x14ac:dyDescent="0.25">
      <c r="A654" s="1">
        <v>42657</v>
      </c>
      <c r="B654" s="66" t="s">
        <v>63</v>
      </c>
      <c r="C654" s="66" t="s">
        <v>64</v>
      </c>
      <c r="D654" t="s">
        <v>65</v>
      </c>
      <c r="E654">
        <v>-65</v>
      </c>
      <c r="F654" s="66" t="s">
        <v>7</v>
      </c>
      <c r="G654" s="66" t="s">
        <v>11</v>
      </c>
      <c r="H654" s="66" t="str">
        <f>TEXT(Data[[#This Row],[Buchung]],"MMM")</f>
        <v>Okt</v>
      </c>
      <c r="I654" s="67">
        <f>YEAR(Data[[#This Row],[Buchung]])</f>
        <v>2016</v>
      </c>
      <c r="J654" s="2">
        <f>ABS(Data[[#This Row],[Betrag]])</f>
        <v>65</v>
      </c>
      <c r="K654" s="66" t="str">
        <f>IF(Data[[#This Row],[Betrag]]&lt;0,"A","E")</f>
        <v>A</v>
      </c>
    </row>
    <row r="655" spans="1:11" x14ac:dyDescent="0.25">
      <c r="A655" s="1">
        <v>42658</v>
      </c>
      <c r="B655" s="66" t="s">
        <v>54</v>
      </c>
      <c r="C655" s="66" t="s">
        <v>55</v>
      </c>
      <c r="D655" t="s">
        <v>66</v>
      </c>
      <c r="E655">
        <v>-80</v>
      </c>
      <c r="F655" s="66" t="s">
        <v>7</v>
      </c>
      <c r="G655" s="66" t="s">
        <v>57</v>
      </c>
      <c r="H655" s="66" t="str">
        <f>TEXT(Data[[#This Row],[Buchung]],"MMM")</f>
        <v>Okt</v>
      </c>
      <c r="I655" s="67">
        <f>YEAR(Data[[#This Row],[Buchung]])</f>
        <v>2016</v>
      </c>
      <c r="J655" s="2">
        <f>ABS(Data[[#This Row],[Betrag]])</f>
        <v>80</v>
      </c>
      <c r="K655" s="66" t="str">
        <f>IF(Data[[#This Row],[Betrag]]&lt;0,"A","E")</f>
        <v>A</v>
      </c>
    </row>
    <row r="656" spans="1:11" x14ac:dyDescent="0.25">
      <c r="A656" s="1">
        <v>42659</v>
      </c>
      <c r="B656" s="66" t="s">
        <v>67</v>
      </c>
      <c r="C656" s="66" t="s">
        <v>59</v>
      </c>
      <c r="D656" t="s">
        <v>68</v>
      </c>
      <c r="E656">
        <v>-35</v>
      </c>
      <c r="F656" s="66" t="s">
        <v>7</v>
      </c>
      <c r="G656" s="66" t="s">
        <v>10</v>
      </c>
      <c r="H656" s="66" t="str">
        <f>TEXT(Data[[#This Row],[Buchung]],"MMM")</f>
        <v>Okt</v>
      </c>
      <c r="I656" s="67">
        <f>YEAR(Data[[#This Row],[Buchung]])</f>
        <v>2016</v>
      </c>
      <c r="J656" s="2">
        <f>ABS(Data[[#This Row],[Betrag]])</f>
        <v>35</v>
      </c>
      <c r="K656" s="66" t="str">
        <f>IF(Data[[#This Row],[Betrag]]&lt;0,"A","E")</f>
        <v>A</v>
      </c>
    </row>
    <row r="657" spans="1:11" x14ac:dyDescent="0.25">
      <c r="A657" s="1">
        <v>42660</v>
      </c>
      <c r="B657" s="66" t="s">
        <v>45</v>
      </c>
      <c r="C657" s="66" t="s">
        <v>46</v>
      </c>
      <c r="D657" t="s">
        <v>47</v>
      </c>
      <c r="E657">
        <v>1000</v>
      </c>
      <c r="F657" s="66" t="s">
        <v>7</v>
      </c>
      <c r="G657" s="66" t="s">
        <v>9</v>
      </c>
      <c r="H657" s="66" t="str">
        <f>TEXT(Data[[#This Row],[Buchung]],"MMM")</f>
        <v>Okt</v>
      </c>
      <c r="I657" s="67">
        <f>YEAR(Data[[#This Row],[Buchung]])</f>
        <v>2016</v>
      </c>
      <c r="J657" s="2">
        <f>ABS(Data[[#This Row],[Betrag]])</f>
        <v>1000</v>
      </c>
      <c r="K657" s="66" t="str">
        <f>IF(Data[[#This Row],[Betrag]]&lt;0,"A","E")</f>
        <v>E</v>
      </c>
    </row>
    <row r="658" spans="1:11" x14ac:dyDescent="0.25">
      <c r="A658" s="1">
        <v>42661</v>
      </c>
      <c r="B658" s="66" t="s">
        <v>45</v>
      </c>
      <c r="C658" s="66" t="s">
        <v>46</v>
      </c>
      <c r="D658" t="s">
        <v>47</v>
      </c>
      <c r="E658">
        <v>1000</v>
      </c>
      <c r="F658" s="66" t="s">
        <v>7</v>
      </c>
      <c r="G658" s="66" t="s">
        <v>9</v>
      </c>
      <c r="H658" s="66" t="str">
        <f>TEXT(Data[[#This Row],[Buchung]],"MMM")</f>
        <v>Okt</v>
      </c>
      <c r="I658" s="67">
        <f>YEAR(Data[[#This Row],[Buchung]])</f>
        <v>2016</v>
      </c>
      <c r="J658" s="2">
        <f>ABS(Data[[#This Row],[Betrag]])</f>
        <v>1000</v>
      </c>
      <c r="K658" s="66" t="str">
        <f>IF(Data[[#This Row],[Betrag]]&lt;0,"A","E")</f>
        <v>E</v>
      </c>
    </row>
    <row r="659" spans="1:11" x14ac:dyDescent="0.25">
      <c r="A659" s="1">
        <v>42662</v>
      </c>
      <c r="B659" s="66" t="s">
        <v>48</v>
      </c>
      <c r="C659" s="66" t="s">
        <v>49</v>
      </c>
      <c r="D659" t="s">
        <v>50</v>
      </c>
      <c r="E659">
        <v>-15</v>
      </c>
      <c r="F659" s="66" t="s">
        <v>7</v>
      </c>
      <c r="G659" s="66" t="s">
        <v>8</v>
      </c>
      <c r="H659" s="66" t="str">
        <f>TEXT(Data[[#This Row],[Buchung]],"MMM")</f>
        <v>Okt</v>
      </c>
      <c r="I659" s="67">
        <f>YEAR(Data[[#This Row],[Buchung]])</f>
        <v>2016</v>
      </c>
      <c r="J659" s="2">
        <f>ABS(Data[[#This Row],[Betrag]])</f>
        <v>15</v>
      </c>
      <c r="K659" s="66" t="str">
        <f>IF(Data[[#This Row],[Betrag]]&lt;0,"A","E")</f>
        <v>A</v>
      </c>
    </row>
    <row r="660" spans="1:11" x14ac:dyDescent="0.25">
      <c r="A660" s="1">
        <v>42663</v>
      </c>
      <c r="B660" s="66" t="s">
        <v>51</v>
      </c>
      <c r="C660" s="66" t="s">
        <v>52</v>
      </c>
      <c r="D660" t="s">
        <v>53</v>
      </c>
      <c r="E660">
        <v>-350</v>
      </c>
      <c r="F660" s="66" t="s">
        <v>7</v>
      </c>
      <c r="G660" s="66" t="s">
        <v>11</v>
      </c>
      <c r="H660" s="66" t="str">
        <f>TEXT(Data[[#This Row],[Buchung]],"MMM")</f>
        <v>Okt</v>
      </c>
      <c r="I660" s="67">
        <f>YEAR(Data[[#This Row],[Buchung]])</f>
        <v>2016</v>
      </c>
      <c r="J660" s="2">
        <f>ABS(Data[[#This Row],[Betrag]])</f>
        <v>350</v>
      </c>
      <c r="K660" s="66" t="str">
        <f>IF(Data[[#This Row],[Betrag]]&lt;0,"A","E")</f>
        <v>A</v>
      </c>
    </row>
    <row r="661" spans="1:11" x14ac:dyDescent="0.25">
      <c r="A661" s="1">
        <v>42664</v>
      </c>
      <c r="B661" s="66" t="s">
        <v>54</v>
      </c>
      <c r="C661" s="66" t="s">
        <v>55</v>
      </c>
      <c r="D661" t="s">
        <v>56</v>
      </c>
      <c r="E661">
        <v>-120</v>
      </c>
      <c r="F661" s="66" t="s">
        <v>7</v>
      </c>
      <c r="G661" s="66" t="s">
        <v>57</v>
      </c>
      <c r="H661" s="66" t="str">
        <f>TEXT(Data[[#This Row],[Buchung]],"MMM")</f>
        <v>Okt</v>
      </c>
      <c r="I661" s="67">
        <f>YEAR(Data[[#This Row],[Buchung]])</f>
        <v>2016</v>
      </c>
      <c r="J661" s="2">
        <f>ABS(Data[[#This Row],[Betrag]])</f>
        <v>120</v>
      </c>
      <c r="K661" s="66" t="str">
        <f>IF(Data[[#This Row],[Betrag]]&lt;0,"A","E")</f>
        <v>A</v>
      </c>
    </row>
    <row r="662" spans="1:11" x14ac:dyDescent="0.25">
      <c r="A662" s="1">
        <v>42665</v>
      </c>
      <c r="B662" s="66" t="s">
        <v>58</v>
      </c>
      <c r="C662" s="66" t="s">
        <v>59</v>
      </c>
      <c r="D662" t="s">
        <v>60</v>
      </c>
      <c r="E662">
        <v>-50</v>
      </c>
      <c r="F662" s="66" t="s">
        <v>7</v>
      </c>
      <c r="G662" s="66" t="s">
        <v>10</v>
      </c>
      <c r="H662" s="66" t="str">
        <f>TEXT(Data[[#This Row],[Buchung]],"MMM")</f>
        <v>Okt</v>
      </c>
      <c r="I662" s="67">
        <f>YEAR(Data[[#This Row],[Buchung]])</f>
        <v>2016</v>
      </c>
      <c r="J662" s="2">
        <f>ABS(Data[[#This Row],[Betrag]])</f>
        <v>50</v>
      </c>
      <c r="K662" s="66" t="str">
        <f>IF(Data[[#This Row],[Betrag]]&lt;0,"A","E")</f>
        <v>A</v>
      </c>
    </row>
    <row r="663" spans="1:11" x14ac:dyDescent="0.25">
      <c r="A663" s="1">
        <v>42666</v>
      </c>
      <c r="B663" s="66" t="s">
        <v>45</v>
      </c>
      <c r="C663" s="66" t="s">
        <v>46</v>
      </c>
      <c r="D663" t="s">
        <v>47</v>
      </c>
      <c r="E663">
        <v>1000</v>
      </c>
      <c r="F663" s="66" t="s">
        <v>7</v>
      </c>
      <c r="G663" s="66" t="s">
        <v>9</v>
      </c>
      <c r="H663" s="66" t="str">
        <f>TEXT(Data[[#This Row],[Buchung]],"MMM")</f>
        <v>Okt</v>
      </c>
      <c r="I663" s="67">
        <f>YEAR(Data[[#This Row],[Buchung]])</f>
        <v>2016</v>
      </c>
      <c r="J663" s="2">
        <f>ABS(Data[[#This Row],[Betrag]])</f>
        <v>1000</v>
      </c>
      <c r="K663" s="66" t="str">
        <f>IF(Data[[#This Row],[Betrag]]&lt;0,"A","E")</f>
        <v>E</v>
      </c>
    </row>
    <row r="664" spans="1:11" x14ac:dyDescent="0.25">
      <c r="A664" s="1">
        <v>42667</v>
      </c>
      <c r="B664" s="66" t="s">
        <v>61</v>
      </c>
      <c r="C664" s="66" t="s">
        <v>49</v>
      </c>
      <c r="D664" t="s">
        <v>62</v>
      </c>
      <c r="E664">
        <v>-10</v>
      </c>
      <c r="F664" s="66" t="s">
        <v>7</v>
      </c>
      <c r="G664" s="66" t="s">
        <v>8</v>
      </c>
      <c r="H664" s="66" t="str">
        <f>TEXT(Data[[#This Row],[Buchung]],"MMM")</f>
        <v>Okt</v>
      </c>
      <c r="I664" s="67">
        <f>YEAR(Data[[#This Row],[Buchung]])</f>
        <v>2016</v>
      </c>
      <c r="J664" s="2">
        <f>ABS(Data[[#This Row],[Betrag]])</f>
        <v>10</v>
      </c>
      <c r="K664" s="66" t="str">
        <f>IF(Data[[#This Row],[Betrag]]&lt;0,"A","E")</f>
        <v>A</v>
      </c>
    </row>
    <row r="665" spans="1:11" x14ac:dyDescent="0.25">
      <c r="A665" s="1">
        <v>42668</v>
      </c>
      <c r="B665" s="66" t="s">
        <v>63</v>
      </c>
      <c r="C665" s="66" t="s">
        <v>64</v>
      </c>
      <c r="D665" t="s">
        <v>65</v>
      </c>
      <c r="E665">
        <v>-60</v>
      </c>
      <c r="F665" s="66" t="s">
        <v>7</v>
      </c>
      <c r="G665" s="66" t="s">
        <v>11</v>
      </c>
      <c r="H665" s="66" t="str">
        <f>TEXT(Data[[#This Row],[Buchung]],"MMM")</f>
        <v>Okt</v>
      </c>
      <c r="I665" s="67">
        <f>YEAR(Data[[#This Row],[Buchung]])</f>
        <v>2016</v>
      </c>
      <c r="J665" s="2">
        <f>ABS(Data[[#This Row],[Betrag]])</f>
        <v>60</v>
      </c>
      <c r="K665" s="66" t="str">
        <f>IF(Data[[#This Row],[Betrag]]&lt;0,"A","E")</f>
        <v>A</v>
      </c>
    </row>
    <row r="666" spans="1:11" x14ac:dyDescent="0.25">
      <c r="A666" s="1">
        <v>42669</v>
      </c>
      <c r="B666" s="66" t="s">
        <v>54</v>
      </c>
      <c r="C666" s="66" t="s">
        <v>55</v>
      </c>
      <c r="D666" t="s">
        <v>66</v>
      </c>
      <c r="E666">
        <v>-80</v>
      </c>
      <c r="F666" s="66" t="s">
        <v>7</v>
      </c>
      <c r="G666" s="66" t="s">
        <v>57</v>
      </c>
      <c r="H666" s="66" t="str">
        <f>TEXT(Data[[#This Row],[Buchung]],"MMM")</f>
        <v>Okt</v>
      </c>
      <c r="I666" s="67">
        <f>YEAR(Data[[#This Row],[Buchung]])</f>
        <v>2016</v>
      </c>
      <c r="J666" s="2">
        <f>ABS(Data[[#This Row],[Betrag]])</f>
        <v>80</v>
      </c>
      <c r="K666" s="66" t="str">
        <f>IF(Data[[#This Row],[Betrag]]&lt;0,"A","E")</f>
        <v>A</v>
      </c>
    </row>
    <row r="667" spans="1:11" x14ac:dyDescent="0.25">
      <c r="A667" s="1">
        <v>42670</v>
      </c>
      <c r="B667" s="66" t="s">
        <v>67</v>
      </c>
      <c r="C667" s="66" t="s">
        <v>59</v>
      </c>
      <c r="D667" t="s">
        <v>68</v>
      </c>
      <c r="E667">
        <v>-20</v>
      </c>
      <c r="F667" s="66" t="s">
        <v>7</v>
      </c>
      <c r="G667" s="66" t="s">
        <v>10</v>
      </c>
      <c r="H667" s="66" t="str">
        <f>TEXT(Data[[#This Row],[Buchung]],"MMM")</f>
        <v>Okt</v>
      </c>
      <c r="I667" s="67">
        <f>YEAR(Data[[#This Row],[Buchung]])</f>
        <v>2016</v>
      </c>
      <c r="J667" s="2">
        <f>ABS(Data[[#This Row],[Betrag]])</f>
        <v>20</v>
      </c>
      <c r="K667" s="66" t="str">
        <f>IF(Data[[#This Row],[Betrag]]&lt;0,"A","E")</f>
        <v>A</v>
      </c>
    </row>
    <row r="668" spans="1:11" x14ac:dyDescent="0.25">
      <c r="A668" s="1">
        <v>42671</v>
      </c>
      <c r="B668" s="66" t="s">
        <v>45</v>
      </c>
      <c r="C668" s="66" t="s">
        <v>46</v>
      </c>
      <c r="D668" t="s">
        <v>47</v>
      </c>
      <c r="E668">
        <v>1000</v>
      </c>
      <c r="F668" s="66" t="s">
        <v>7</v>
      </c>
      <c r="G668" s="66" t="s">
        <v>9</v>
      </c>
      <c r="H668" s="66" t="str">
        <f>TEXT(Data[[#This Row],[Buchung]],"MMM")</f>
        <v>Okt</v>
      </c>
      <c r="I668" s="67">
        <f>YEAR(Data[[#This Row],[Buchung]])</f>
        <v>2016</v>
      </c>
      <c r="J668" s="2">
        <f>ABS(Data[[#This Row],[Betrag]])</f>
        <v>1000</v>
      </c>
      <c r="K668" s="66" t="str">
        <f>IF(Data[[#This Row],[Betrag]]&lt;0,"A","E")</f>
        <v>E</v>
      </c>
    </row>
    <row r="669" spans="1:11" x14ac:dyDescent="0.25">
      <c r="A669" s="1">
        <v>42672</v>
      </c>
      <c r="B669" s="66" t="s">
        <v>48</v>
      </c>
      <c r="C669" s="66" t="s">
        <v>49</v>
      </c>
      <c r="D669" t="s">
        <v>50</v>
      </c>
      <c r="E669">
        <v>-15</v>
      </c>
      <c r="F669" s="66" t="s">
        <v>7</v>
      </c>
      <c r="G669" s="66" t="s">
        <v>8</v>
      </c>
      <c r="H669" s="66" t="str">
        <f>TEXT(Data[[#This Row],[Buchung]],"MMM")</f>
        <v>Okt</v>
      </c>
      <c r="I669" s="67">
        <f>YEAR(Data[[#This Row],[Buchung]])</f>
        <v>2016</v>
      </c>
      <c r="J669" s="2">
        <f>ABS(Data[[#This Row],[Betrag]])</f>
        <v>15</v>
      </c>
      <c r="K669" s="66" t="str">
        <f>IF(Data[[#This Row],[Betrag]]&lt;0,"A","E")</f>
        <v>A</v>
      </c>
    </row>
    <row r="670" spans="1:11" x14ac:dyDescent="0.25">
      <c r="A670" s="1">
        <v>42673</v>
      </c>
      <c r="B670" s="66" t="s">
        <v>51</v>
      </c>
      <c r="C670" s="66" t="s">
        <v>52</v>
      </c>
      <c r="D670" t="s">
        <v>53</v>
      </c>
      <c r="E670">
        <v>-350</v>
      </c>
      <c r="F670" s="66" t="s">
        <v>7</v>
      </c>
      <c r="G670" s="66" t="s">
        <v>11</v>
      </c>
      <c r="H670" s="66" t="str">
        <f>TEXT(Data[[#This Row],[Buchung]],"MMM")</f>
        <v>Okt</v>
      </c>
      <c r="I670" s="67">
        <f>YEAR(Data[[#This Row],[Buchung]])</f>
        <v>2016</v>
      </c>
      <c r="J670" s="2">
        <f>ABS(Data[[#This Row],[Betrag]])</f>
        <v>350</v>
      </c>
      <c r="K670" s="66" t="str">
        <f>IF(Data[[#This Row],[Betrag]]&lt;0,"A","E")</f>
        <v>A</v>
      </c>
    </row>
    <row r="671" spans="1:11" x14ac:dyDescent="0.25">
      <c r="A671" s="1">
        <v>42674</v>
      </c>
      <c r="B671" s="66" t="s">
        <v>54</v>
      </c>
      <c r="C671" s="66" t="s">
        <v>55</v>
      </c>
      <c r="D671" t="s">
        <v>56</v>
      </c>
      <c r="E671">
        <v>-120</v>
      </c>
      <c r="F671" s="66" t="s">
        <v>7</v>
      </c>
      <c r="G671" s="66" t="s">
        <v>57</v>
      </c>
      <c r="H671" s="66" t="str">
        <f>TEXT(Data[[#This Row],[Buchung]],"MMM")</f>
        <v>Okt</v>
      </c>
      <c r="I671" s="67">
        <f>YEAR(Data[[#This Row],[Buchung]])</f>
        <v>2016</v>
      </c>
      <c r="J671" s="2">
        <f>ABS(Data[[#This Row],[Betrag]])</f>
        <v>120</v>
      </c>
      <c r="K671" s="66" t="str">
        <f>IF(Data[[#This Row],[Betrag]]&lt;0,"A","E")</f>
        <v>A</v>
      </c>
    </row>
    <row r="672" spans="1:11" x14ac:dyDescent="0.25">
      <c r="A672" s="1">
        <v>42675</v>
      </c>
      <c r="B672" s="66" t="s">
        <v>58</v>
      </c>
      <c r="C672" s="66" t="s">
        <v>59</v>
      </c>
      <c r="D672" t="s">
        <v>60</v>
      </c>
      <c r="E672">
        <v>-60</v>
      </c>
      <c r="F672" s="66" t="s">
        <v>7</v>
      </c>
      <c r="G672" s="66" t="s">
        <v>10</v>
      </c>
      <c r="H672" s="66" t="str">
        <f>TEXT(Data[[#This Row],[Buchung]],"MMM")</f>
        <v>Nov</v>
      </c>
      <c r="I672" s="67">
        <f>YEAR(Data[[#This Row],[Buchung]])</f>
        <v>2016</v>
      </c>
      <c r="J672" s="2">
        <f>ABS(Data[[#This Row],[Betrag]])</f>
        <v>60</v>
      </c>
      <c r="K672" s="66" t="str">
        <f>IF(Data[[#This Row],[Betrag]]&lt;0,"A","E")</f>
        <v>A</v>
      </c>
    </row>
    <row r="673" spans="1:11" x14ac:dyDescent="0.25">
      <c r="A673" s="1">
        <v>42676</v>
      </c>
      <c r="B673" s="66" t="s">
        <v>45</v>
      </c>
      <c r="C673" s="66" t="s">
        <v>46</v>
      </c>
      <c r="D673" t="s">
        <v>47</v>
      </c>
      <c r="E673">
        <v>1000</v>
      </c>
      <c r="F673" s="66" t="s">
        <v>7</v>
      </c>
      <c r="G673" s="66" t="s">
        <v>9</v>
      </c>
      <c r="H673" s="66" t="str">
        <f>TEXT(Data[[#This Row],[Buchung]],"MMM")</f>
        <v>Nov</v>
      </c>
      <c r="I673" s="67">
        <f>YEAR(Data[[#This Row],[Buchung]])</f>
        <v>2016</v>
      </c>
      <c r="J673" s="2">
        <f>ABS(Data[[#This Row],[Betrag]])</f>
        <v>1000</v>
      </c>
      <c r="K673" s="66" t="str">
        <f>IF(Data[[#This Row],[Betrag]]&lt;0,"A","E")</f>
        <v>E</v>
      </c>
    </row>
    <row r="674" spans="1:11" x14ac:dyDescent="0.25">
      <c r="A674" s="1">
        <v>42677</v>
      </c>
      <c r="B674" s="66" t="s">
        <v>61</v>
      </c>
      <c r="C674" s="66" t="s">
        <v>49</v>
      </c>
      <c r="D674" t="s">
        <v>62</v>
      </c>
      <c r="E674">
        <v>-10</v>
      </c>
      <c r="F674" s="66" t="s">
        <v>7</v>
      </c>
      <c r="G674" s="66" t="s">
        <v>8</v>
      </c>
      <c r="H674" s="66" t="str">
        <f>TEXT(Data[[#This Row],[Buchung]],"MMM")</f>
        <v>Nov</v>
      </c>
      <c r="I674" s="67">
        <f>YEAR(Data[[#This Row],[Buchung]])</f>
        <v>2016</v>
      </c>
      <c r="J674" s="2">
        <f>ABS(Data[[#This Row],[Betrag]])</f>
        <v>10</v>
      </c>
      <c r="K674" s="66" t="str">
        <f>IF(Data[[#This Row],[Betrag]]&lt;0,"A","E")</f>
        <v>A</v>
      </c>
    </row>
    <row r="675" spans="1:11" x14ac:dyDescent="0.25">
      <c r="A675" s="1">
        <v>42678</v>
      </c>
      <c r="B675" s="66" t="s">
        <v>63</v>
      </c>
      <c r="C675" s="66" t="s">
        <v>64</v>
      </c>
      <c r="D675" t="s">
        <v>65</v>
      </c>
      <c r="E675">
        <v>-70</v>
      </c>
      <c r="F675" s="66" t="s">
        <v>7</v>
      </c>
      <c r="G675" s="66" t="s">
        <v>11</v>
      </c>
      <c r="H675" s="66" t="str">
        <f>TEXT(Data[[#This Row],[Buchung]],"MMM")</f>
        <v>Nov</v>
      </c>
      <c r="I675" s="67">
        <f>YEAR(Data[[#This Row],[Buchung]])</f>
        <v>2016</v>
      </c>
      <c r="J675" s="2">
        <f>ABS(Data[[#This Row],[Betrag]])</f>
        <v>70</v>
      </c>
      <c r="K675" s="66" t="str">
        <f>IF(Data[[#This Row],[Betrag]]&lt;0,"A","E")</f>
        <v>A</v>
      </c>
    </row>
    <row r="676" spans="1:11" x14ac:dyDescent="0.25">
      <c r="A676" s="1">
        <v>42679</v>
      </c>
      <c r="B676" s="66" t="s">
        <v>54</v>
      </c>
      <c r="C676" s="66" t="s">
        <v>55</v>
      </c>
      <c r="D676" t="s">
        <v>66</v>
      </c>
      <c r="E676">
        <v>-80</v>
      </c>
      <c r="F676" s="66" t="s">
        <v>7</v>
      </c>
      <c r="G676" s="66" t="s">
        <v>57</v>
      </c>
      <c r="H676" s="66" t="str">
        <f>TEXT(Data[[#This Row],[Buchung]],"MMM")</f>
        <v>Nov</v>
      </c>
      <c r="I676" s="67">
        <f>YEAR(Data[[#This Row],[Buchung]])</f>
        <v>2016</v>
      </c>
      <c r="J676" s="2">
        <f>ABS(Data[[#This Row],[Betrag]])</f>
        <v>80</v>
      </c>
      <c r="K676" s="66" t="str">
        <f>IF(Data[[#This Row],[Betrag]]&lt;0,"A","E")</f>
        <v>A</v>
      </c>
    </row>
    <row r="677" spans="1:11" x14ac:dyDescent="0.25">
      <c r="A677" s="1">
        <v>42680</v>
      </c>
      <c r="B677" s="66" t="s">
        <v>67</v>
      </c>
      <c r="C677" s="66" t="s">
        <v>59</v>
      </c>
      <c r="D677" t="s">
        <v>68</v>
      </c>
      <c r="E677">
        <v>-25</v>
      </c>
      <c r="F677" s="66" t="s">
        <v>7</v>
      </c>
      <c r="G677" s="66" t="s">
        <v>10</v>
      </c>
      <c r="H677" s="66" t="str">
        <f>TEXT(Data[[#This Row],[Buchung]],"MMM")</f>
        <v>Nov</v>
      </c>
      <c r="I677" s="67">
        <f>YEAR(Data[[#This Row],[Buchung]])</f>
        <v>2016</v>
      </c>
      <c r="J677" s="2">
        <f>ABS(Data[[#This Row],[Betrag]])</f>
        <v>25</v>
      </c>
      <c r="K677" s="66" t="str">
        <f>IF(Data[[#This Row],[Betrag]]&lt;0,"A","E")</f>
        <v>A</v>
      </c>
    </row>
    <row r="678" spans="1:11" x14ac:dyDescent="0.25">
      <c r="A678" s="1">
        <v>42681</v>
      </c>
      <c r="B678" s="66" t="s">
        <v>45</v>
      </c>
      <c r="C678" s="66" t="s">
        <v>46</v>
      </c>
      <c r="D678" t="s">
        <v>47</v>
      </c>
      <c r="E678">
        <v>1000</v>
      </c>
      <c r="F678" s="66" t="s">
        <v>7</v>
      </c>
      <c r="G678" s="66" t="s">
        <v>9</v>
      </c>
      <c r="H678" s="66" t="str">
        <f>TEXT(Data[[#This Row],[Buchung]],"MMM")</f>
        <v>Nov</v>
      </c>
      <c r="I678" s="67">
        <f>YEAR(Data[[#This Row],[Buchung]])</f>
        <v>2016</v>
      </c>
      <c r="J678" s="2">
        <f>ABS(Data[[#This Row],[Betrag]])</f>
        <v>1000</v>
      </c>
      <c r="K678" s="66" t="str">
        <f>IF(Data[[#This Row],[Betrag]]&lt;0,"A","E")</f>
        <v>E</v>
      </c>
    </row>
    <row r="679" spans="1:11" x14ac:dyDescent="0.25">
      <c r="A679" s="1">
        <v>42682</v>
      </c>
      <c r="B679" s="66" t="s">
        <v>48</v>
      </c>
      <c r="C679" s="66" t="s">
        <v>49</v>
      </c>
      <c r="D679" t="s">
        <v>50</v>
      </c>
      <c r="E679">
        <v>-15</v>
      </c>
      <c r="F679" s="66" t="s">
        <v>7</v>
      </c>
      <c r="G679" s="66" t="s">
        <v>8</v>
      </c>
      <c r="H679" s="66" t="str">
        <f>TEXT(Data[[#This Row],[Buchung]],"MMM")</f>
        <v>Nov</v>
      </c>
      <c r="I679" s="67">
        <f>YEAR(Data[[#This Row],[Buchung]])</f>
        <v>2016</v>
      </c>
      <c r="J679" s="2">
        <f>ABS(Data[[#This Row],[Betrag]])</f>
        <v>15</v>
      </c>
      <c r="K679" s="66" t="str">
        <f>IF(Data[[#This Row],[Betrag]]&lt;0,"A","E")</f>
        <v>A</v>
      </c>
    </row>
    <row r="680" spans="1:11" x14ac:dyDescent="0.25">
      <c r="A680" s="1">
        <v>42683</v>
      </c>
      <c r="B680" s="66" t="s">
        <v>51</v>
      </c>
      <c r="C680" s="66" t="s">
        <v>52</v>
      </c>
      <c r="D680" t="s">
        <v>53</v>
      </c>
      <c r="E680">
        <v>-350</v>
      </c>
      <c r="F680" s="66" t="s">
        <v>7</v>
      </c>
      <c r="G680" s="66" t="s">
        <v>11</v>
      </c>
      <c r="H680" s="66" t="str">
        <f>TEXT(Data[[#This Row],[Buchung]],"MMM")</f>
        <v>Nov</v>
      </c>
      <c r="I680" s="67">
        <f>YEAR(Data[[#This Row],[Buchung]])</f>
        <v>2016</v>
      </c>
      <c r="J680" s="2">
        <f>ABS(Data[[#This Row],[Betrag]])</f>
        <v>350</v>
      </c>
      <c r="K680" s="66" t="str">
        <f>IF(Data[[#This Row],[Betrag]]&lt;0,"A","E")</f>
        <v>A</v>
      </c>
    </row>
    <row r="681" spans="1:11" x14ac:dyDescent="0.25">
      <c r="A681" s="1">
        <v>42684</v>
      </c>
      <c r="B681" s="66" t="s">
        <v>54</v>
      </c>
      <c r="C681" s="66" t="s">
        <v>55</v>
      </c>
      <c r="D681" t="s">
        <v>56</v>
      </c>
      <c r="E681">
        <v>-120</v>
      </c>
      <c r="F681" s="66" t="s">
        <v>7</v>
      </c>
      <c r="G681" s="66" t="s">
        <v>57</v>
      </c>
      <c r="H681" s="66" t="str">
        <f>TEXT(Data[[#This Row],[Buchung]],"MMM")</f>
        <v>Nov</v>
      </c>
      <c r="I681" s="67">
        <f>YEAR(Data[[#This Row],[Buchung]])</f>
        <v>2016</v>
      </c>
      <c r="J681" s="2">
        <f>ABS(Data[[#This Row],[Betrag]])</f>
        <v>120</v>
      </c>
      <c r="K681" s="66" t="str">
        <f>IF(Data[[#This Row],[Betrag]]&lt;0,"A","E")</f>
        <v>A</v>
      </c>
    </row>
    <row r="682" spans="1:11" x14ac:dyDescent="0.25">
      <c r="A682" s="1">
        <v>42685</v>
      </c>
      <c r="B682" s="66" t="s">
        <v>58</v>
      </c>
      <c r="C682" s="66" t="s">
        <v>59</v>
      </c>
      <c r="D682" t="s">
        <v>60</v>
      </c>
      <c r="E682">
        <v>-70</v>
      </c>
      <c r="F682" s="66" t="s">
        <v>7</v>
      </c>
      <c r="G682" s="66" t="s">
        <v>10</v>
      </c>
      <c r="H682" s="66" t="str">
        <f>TEXT(Data[[#This Row],[Buchung]],"MMM")</f>
        <v>Nov</v>
      </c>
      <c r="I682" s="67">
        <f>YEAR(Data[[#This Row],[Buchung]])</f>
        <v>2016</v>
      </c>
      <c r="J682" s="2">
        <f>ABS(Data[[#This Row],[Betrag]])</f>
        <v>70</v>
      </c>
      <c r="K682" s="66" t="str">
        <f>IF(Data[[#This Row],[Betrag]]&lt;0,"A","E")</f>
        <v>A</v>
      </c>
    </row>
    <row r="683" spans="1:11" x14ac:dyDescent="0.25">
      <c r="A683" s="1">
        <v>42686</v>
      </c>
      <c r="B683" s="66" t="s">
        <v>45</v>
      </c>
      <c r="C683" s="66" t="s">
        <v>46</v>
      </c>
      <c r="D683" t="s">
        <v>47</v>
      </c>
      <c r="E683">
        <v>1000</v>
      </c>
      <c r="F683" s="66" t="s">
        <v>7</v>
      </c>
      <c r="G683" s="66" t="s">
        <v>9</v>
      </c>
      <c r="H683" s="66" t="str">
        <f>TEXT(Data[[#This Row],[Buchung]],"MMM")</f>
        <v>Nov</v>
      </c>
      <c r="I683" s="67">
        <f>YEAR(Data[[#This Row],[Buchung]])</f>
        <v>2016</v>
      </c>
      <c r="J683" s="2">
        <f>ABS(Data[[#This Row],[Betrag]])</f>
        <v>1000</v>
      </c>
      <c r="K683" s="66" t="str">
        <f>IF(Data[[#This Row],[Betrag]]&lt;0,"A","E")</f>
        <v>E</v>
      </c>
    </row>
    <row r="684" spans="1:11" x14ac:dyDescent="0.25">
      <c r="A684" s="1">
        <v>42687</v>
      </c>
      <c r="B684" s="66" t="s">
        <v>61</v>
      </c>
      <c r="C684" s="66" t="s">
        <v>49</v>
      </c>
      <c r="D684" t="s">
        <v>62</v>
      </c>
      <c r="E684">
        <v>-10</v>
      </c>
      <c r="F684" s="66" t="s">
        <v>7</v>
      </c>
      <c r="G684" s="66" t="s">
        <v>8</v>
      </c>
      <c r="H684" s="66" t="str">
        <f>TEXT(Data[[#This Row],[Buchung]],"MMM")</f>
        <v>Nov</v>
      </c>
      <c r="I684" s="67">
        <f>YEAR(Data[[#This Row],[Buchung]])</f>
        <v>2016</v>
      </c>
      <c r="J684" s="2">
        <f>ABS(Data[[#This Row],[Betrag]])</f>
        <v>10</v>
      </c>
      <c r="K684" s="66" t="str">
        <f>IF(Data[[#This Row],[Betrag]]&lt;0,"A","E")</f>
        <v>A</v>
      </c>
    </row>
    <row r="685" spans="1:11" x14ac:dyDescent="0.25">
      <c r="A685" s="1">
        <v>42688</v>
      </c>
      <c r="B685" s="66" t="s">
        <v>63</v>
      </c>
      <c r="C685" s="66" t="s">
        <v>64</v>
      </c>
      <c r="D685" t="s">
        <v>65</v>
      </c>
      <c r="E685">
        <v>-60</v>
      </c>
      <c r="F685" s="66" t="s">
        <v>7</v>
      </c>
      <c r="G685" s="66" t="s">
        <v>11</v>
      </c>
      <c r="H685" s="66" t="str">
        <f>TEXT(Data[[#This Row],[Buchung]],"MMM")</f>
        <v>Nov</v>
      </c>
      <c r="I685" s="67">
        <f>YEAR(Data[[#This Row],[Buchung]])</f>
        <v>2016</v>
      </c>
      <c r="J685" s="2">
        <f>ABS(Data[[#This Row],[Betrag]])</f>
        <v>60</v>
      </c>
      <c r="K685" s="66" t="str">
        <f>IF(Data[[#This Row],[Betrag]]&lt;0,"A","E")</f>
        <v>A</v>
      </c>
    </row>
    <row r="686" spans="1:11" x14ac:dyDescent="0.25">
      <c r="A686" s="1">
        <v>42689</v>
      </c>
      <c r="B686" s="66" t="s">
        <v>54</v>
      </c>
      <c r="C686" s="66" t="s">
        <v>55</v>
      </c>
      <c r="D686" t="s">
        <v>66</v>
      </c>
      <c r="E686">
        <v>-80</v>
      </c>
      <c r="F686" s="66" t="s">
        <v>7</v>
      </c>
      <c r="G686" s="66" t="s">
        <v>57</v>
      </c>
      <c r="H686" s="66" t="str">
        <f>TEXT(Data[[#This Row],[Buchung]],"MMM")</f>
        <v>Nov</v>
      </c>
      <c r="I686" s="67">
        <f>YEAR(Data[[#This Row],[Buchung]])</f>
        <v>2016</v>
      </c>
      <c r="J686" s="2">
        <f>ABS(Data[[#This Row],[Betrag]])</f>
        <v>80</v>
      </c>
      <c r="K686" s="66" t="str">
        <f>IF(Data[[#This Row],[Betrag]]&lt;0,"A","E")</f>
        <v>A</v>
      </c>
    </row>
    <row r="687" spans="1:11" x14ac:dyDescent="0.25">
      <c r="A687" s="1">
        <v>42690</v>
      </c>
      <c r="B687" s="66" t="s">
        <v>67</v>
      </c>
      <c r="C687" s="66" t="s">
        <v>59</v>
      </c>
      <c r="D687" t="s">
        <v>68</v>
      </c>
      <c r="E687">
        <v>-30</v>
      </c>
      <c r="F687" s="66" t="s">
        <v>7</v>
      </c>
      <c r="G687" s="66" t="s">
        <v>10</v>
      </c>
      <c r="H687" s="66" t="str">
        <f>TEXT(Data[[#This Row],[Buchung]],"MMM")</f>
        <v>Nov</v>
      </c>
      <c r="I687" s="67">
        <f>YEAR(Data[[#This Row],[Buchung]])</f>
        <v>2016</v>
      </c>
      <c r="J687" s="2">
        <f>ABS(Data[[#This Row],[Betrag]])</f>
        <v>30</v>
      </c>
      <c r="K687" s="66" t="str">
        <f>IF(Data[[#This Row],[Betrag]]&lt;0,"A","E")</f>
        <v>A</v>
      </c>
    </row>
    <row r="688" spans="1:11" x14ac:dyDescent="0.25">
      <c r="A688" s="1">
        <v>42691</v>
      </c>
      <c r="B688" s="66" t="s">
        <v>45</v>
      </c>
      <c r="C688" s="66" t="s">
        <v>46</v>
      </c>
      <c r="D688" t="s">
        <v>47</v>
      </c>
      <c r="E688">
        <v>1000</v>
      </c>
      <c r="F688" s="66" t="s">
        <v>7</v>
      </c>
      <c r="G688" s="66" t="s">
        <v>9</v>
      </c>
      <c r="H688" s="66" t="str">
        <f>TEXT(Data[[#This Row],[Buchung]],"MMM")</f>
        <v>Nov</v>
      </c>
      <c r="I688" s="67">
        <f>YEAR(Data[[#This Row],[Buchung]])</f>
        <v>2016</v>
      </c>
      <c r="J688" s="2">
        <f>ABS(Data[[#This Row],[Betrag]])</f>
        <v>1000</v>
      </c>
      <c r="K688" s="66" t="str">
        <f>IF(Data[[#This Row],[Betrag]]&lt;0,"A","E")</f>
        <v>E</v>
      </c>
    </row>
    <row r="689" spans="1:11" x14ac:dyDescent="0.25">
      <c r="A689" s="1">
        <v>42692</v>
      </c>
      <c r="B689" s="66" t="s">
        <v>48</v>
      </c>
      <c r="C689" s="66" t="s">
        <v>49</v>
      </c>
      <c r="D689" t="s">
        <v>50</v>
      </c>
      <c r="E689">
        <v>-15</v>
      </c>
      <c r="F689" s="66" t="s">
        <v>7</v>
      </c>
      <c r="G689" s="66" t="s">
        <v>8</v>
      </c>
      <c r="H689" s="66" t="str">
        <f>TEXT(Data[[#This Row],[Buchung]],"MMM")</f>
        <v>Nov</v>
      </c>
      <c r="I689" s="67">
        <f>YEAR(Data[[#This Row],[Buchung]])</f>
        <v>2016</v>
      </c>
      <c r="J689" s="2">
        <f>ABS(Data[[#This Row],[Betrag]])</f>
        <v>15</v>
      </c>
      <c r="K689" s="66" t="str">
        <f>IF(Data[[#This Row],[Betrag]]&lt;0,"A","E")</f>
        <v>A</v>
      </c>
    </row>
    <row r="690" spans="1:11" x14ac:dyDescent="0.25">
      <c r="A690" s="1">
        <v>42693</v>
      </c>
      <c r="B690" s="66" t="s">
        <v>51</v>
      </c>
      <c r="C690" s="66" t="s">
        <v>52</v>
      </c>
      <c r="D690" t="s">
        <v>53</v>
      </c>
      <c r="E690">
        <v>-350</v>
      </c>
      <c r="F690" s="66" t="s">
        <v>7</v>
      </c>
      <c r="G690" s="66" t="s">
        <v>11</v>
      </c>
      <c r="H690" s="66" t="str">
        <f>TEXT(Data[[#This Row],[Buchung]],"MMM")</f>
        <v>Nov</v>
      </c>
      <c r="I690" s="67">
        <f>YEAR(Data[[#This Row],[Buchung]])</f>
        <v>2016</v>
      </c>
      <c r="J690" s="2">
        <f>ABS(Data[[#This Row],[Betrag]])</f>
        <v>350</v>
      </c>
      <c r="K690" s="66" t="str">
        <f>IF(Data[[#This Row],[Betrag]]&lt;0,"A","E")</f>
        <v>A</v>
      </c>
    </row>
    <row r="691" spans="1:11" x14ac:dyDescent="0.25">
      <c r="A691" s="1">
        <v>42694</v>
      </c>
      <c r="B691" s="66" t="s">
        <v>54</v>
      </c>
      <c r="C691" s="66" t="s">
        <v>55</v>
      </c>
      <c r="D691" t="s">
        <v>56</v>
      </c>
      <c r="E691">
        <v>-120</v>
      </c>
      <c r="F691" s="66" t="s">
        <v>7</v>
      </c>
      <c r="G691" s="66" t="s">
        <v>57</v>
      </c>
      <c r="H691" s="66" t="str">
        <f>TEXT(Data[[#This Row],[Buchung]],"MMM")</f>
        <v>Nov</v>
      </c>
      <c r="I691" s="67">
        <f>YEAR(Data[[#This Row],[Buchung]])</f>
        <v>2016</v>
      </c>
      <c r="J691" s="2">
        <f>ABS(Data[[#This Row],[Betrag]])</f>
        <v>120</v>
      </c>
      <c r="K691" s="66" t="str">
        <f>IF(Data[[#This Row],[Betrag]]&lt;0,"A","E")</f>
        <v>A</v>
      </c>
    </row>
    <row r="692" spans="1:11" x14ac:dyDescent="0.25">
      <c r="A692" s="1">
        <v>42695</v>
      </c>
      <c r="B692" s="66" t="s">
        <v>58</v>
      </c>
      <c r="C692" s="66" t="s">
        <v>59</v>
      </c>
      <c r="D692" t="s">
        <v>60</v>
      </c>
      <c r="E692">
        <v>-80</v>
      </c>
      <c r="F692" s="66" t="s">
        <v>7</v>
      </c>
      <c r="G692" s="66" t="s">
        <v>10</v>
      </c>
      <c r="H692" s="66" t="str">
        <f>TEXT(Data[[#This Row],[Buchung]],"MMM")</f>
        <v>Nov</v>
      </c>
      <c r="I692" s="67">
        <f>YEAR(Data[[#This Row],[Buchung]])</f>
        <v>2016</v>
      </c>
      <c r="J692" s="2">
        <f>ABS(Data[[#This Row],[Betrag]])</f>
        <v>80</v>
      </c>
      <c r="K692" s="66" t="str">
        <f>IF(Data[[#This Row],[Betrag]]&lt;0,"A","E")</f>
        <v>A</v>
      </c>
    </row>
    <row r="693" spans="1:11" x14ac:dyDescent="0.25">
      <c r="A693" s="1">
        <v>42696</v>
      </c>
      <c r="B693" s="66" t="s">
        <v>45</v>
      </c>
      <c r="C693" s="66" t="s">
        <v>46</v>
      </c>
      <c r="D693" t="s">
        <v>47</v>
      </c>
      <c r="E693">
        <v>1000</v>
      </c>
      <c r="F693" s="66" t="s">
        <v>7</v>
      </c>
      <c r="G693" s="66" t="s">
        <v>9</v>
      </c>
      <c r="H693" s="66" t="str">
        <f>TEXT(Data[[#This Row],[Buchung]],"MMM")</f>
        <v>Nov</v>
      </c>
      <c r="I693" s="67">
        <f>YEAR(Data[[#This Row],[Buchung]])</f>
        <v>2016</v>
      </c>
      <c r="J693" s="2">
        <f>ABS(Data[[#This Row],[Betrag]])</f>
        <v>1000</v>
      </c>
      <c r="K693" s="66" t="str">
        <f>IF(Data[[#This Row],[Betrag]]&lt;0,"A","E")</f>
        <v>E</v>
      </c>
    </row>
    <row r="694" spans="1:11" x14ac:dyDescent="0.25">
      <c r="A694" s="1">
        <v>42697</v>
      </c>
      <c r="B694" s="66" t="s">
        <v>61</v>
      </c>
      <c r="C694" s="66" t="s">
        <v>49</v>
      </c>
      <c r="D694" t="s">
        <v>62</v>
      </c>
      <c r="E694">
        <v>-10</v>
      </c>
      <c r="F694" s="66" t="s">
        <v>7</v>
      </c>
      <c r="G694" s="66" t="s">
        <v>8</v>
      </c>
      <c r="H694" s="66" t="str">
        <f>TEXT(Data[[#This Row],[Buchung]],"MMM")</f>
        <v>Nov</v>
      </c>
      <c r="I694" s="67">
        <f>YEAR(Data[[#This Row],[Buchung]])</f>
        <v>2016</v>
      </c>
      <c r="J694" s="2">
        <f>ABS(Data[[#This Row],[Betrag]])</f>
        <v>10</v>
      </c>
      <c r="K694" s="66" t="str">
        <f>IF(Data[[#This Row],[Betrag]]&lt;0,"A","E")</f>
        <v>A</v>
      </c>
    </row>
    <row r="695" spans="1:11" x14ac:dyDescent="0.25">
      <c r="A695" s="1">
        <v>42698</v>
      </c>
      <c r="B695" s="66" t="s">
        <v>63</v>
      </c>
      <c r="C695" s="66" t="s">
        <v>64</v>
      </c>
      <c r="D695" t="s">
        <v>65</v>
      </c>
      <c r="E695">
        <v>-65</v>
      </c>
      <c r="F695" s="66" t="s">
        <v>7</v>
      </c>
      <c r="G695" s="66" t="s">
        <v>11</v>
      </c>
      <c r="H695" s="66" t="str">
        <f>TEXT(Data[[#This Row],[Buchung]],"MMM")</f>
        <v>Nov</v>
      </c>
      <c r="I695" s="67">
        <f>YEAR(Data[[#This Row],[Buchung]])</f>
        <v>2016</v>
      </c>
      <c r="J695" s="2">
        <f>ABS(Data[[#This Row],[Betrag]])</f>
        <v>65</v>
      </c>
      <c r="K695" s="66" t="str">
        <f>IF(Data[[#This Row],[Betrag]]&lt;0,"A","E")</f>
        <v>A</v>
      </c>
    </row>
    <row r="696" spans="1:11" x14ac:dyDescent="0.25">
      <c r="A696" s="1">
        <v>42699</v>
      </c>
      <c r="B696" s="66" t="s">
        <v>54</v>
      </c>
      <c r="C696" s="66" t="s">
        <v>55</v>
      </c>
      <c r="D696" t="s">
        <v>66</v>
      </c>
      <c r="E696">
        <v>-80</v>
      </c>
      <c r="F696" s="66" t="s">
        <v>7</v>
      </c>
      <c r="G696" s="66" t="s">
        <v>57</v>
      </c>
      <c r="H696" s="66" t="str">
        <f>TEXT(Data[[#This Row],[Buchung]],"MMM")</f>
        <v>Nov</v>
      </c>
      <c r="I696" s="67">
        <f>YEAR(Data[[#This Row],[Buchung]])</f>
        <v>2016</v>
      </c>
      <c r="J696" s="2">
        <f>ABS(Data[[#This Row],[Betrag]])</f>
        <v>80</v>
      </c>
      <c r="K696" s="66" t="str">
        <f>IF(Data[[#This Row],[Betrag]]&lt;0,"A","E")</f>
        <v>A</v>
      </c>
    </row>
    <row r="697" spans="1:11" x14ac:dyDescent="0.25">
      <c r="A697" s="1">
        <v>42700</v>
      </c>
      <c r="B697" s="66" t="s">
        <v>67</v>
      </c>
      <c r="C697" s="66" t="s">
        <v>59</v>
      </c>
      <c r="D697" t="s">
        <v>68</v>
      </c>
      <c r="E697">
        <v>-35</v>
      </c>
      <c r="F697" s="66" t="s">
        <v>7</v>
      </c>
      <c r="G697" s="66" t="s">
        <v>10</v>
      </c>
      <c r="H697" s="66" t="str">
        <f>TEXT(Data[[#This Row],[Buchung]],"MMM")</f>
        <v>Nov</v>
      </c>
      <c r="I697" s="67">
        <f>YEAR(Data[[#This Row],[Buchung]])</f>
        <v>2016</v>
      </c>
      <c r="J697" s="2">
        <f>ABS(Data[[#This Row],[Betrag]])</f>
        <v>35</v>
      </c>
      <c r="K697" s="66" t="str">
        <f>IF(Data[[#This Row],[Betrag]]&lt;0,"A","E")</f>
        <v>A</v>
      </c>
    </row>
    <row r="698" spans="1:11" x14ac:dyDescent="0.25">
      <c r="A698" s="1">
        <v>42701</v>
      </c>
      <c r="B698" s="66" t="s">
        <v>45</v>
      </c>
      <c r="C698" s="66" t="s">
        <v>46</v>
      </c>
      <c r="D698" t="s">
        <v>47</v>
      </c>
      <c r="E698">
        <v>1000</v>
      </c>
      <c r="F698" s="66" t="s">
        <v>7</v>
      </c>
      <c r="G698" s="66" t="s">
        <v>9</v>
      </c>
      <c r="H698" s="66" t="str">
        <f>TEXT(Data[[#This Row],[Buchung]],"MMM")</f>
        <v>Nov</v>
      </c>
      <c r="I698" s="67">
        <f>YEAR(Data[[#This Row],[Buchung]])</f>
        <v>2016</v>
      </c>
      <c r="J698" s="2">
        <f>ABS(Data[[#This Row],[Betrag]])</f>
        <v>1000</v>
      </c>
      <c r="K698" s="66" t="str">
        <f>IF(Data[[#This Row],[Betrag]]&lt;0,"A","E")</f>
        <v>E</v>
      </c>
    </row>
    <row r="699" spans="1:11" x14ac:dyDescent="0.25">
      <c r="A699" s="1">
        <v>42702</v>
      </c>
      <c r="B699" s="66" t="s">
        <v>45</v>
      </c>
      <c r="C699" s="66" t="s">
        <v>46</v>
      </c>
      <c r="D699" t="s">
        <v>47</v>
      </c>
      <c r="E699">
        <v>1000</v>
      </c>
      <c r="F699" s="66" t="s">
        <v>7</v>
      </c>
      <c r="G699" s="66" t="s">
        <v>9</v>
      </c>
      <c r="H699" s="66" t="str">
        <f>TEXT(Data[[#This Row],[Buchung]],"MMM")</f>
        <v>Nov</v>
      </c>
      <c r="I699" s="67">
        <f>YEAR(Data[[#This Row],[Buchung]])</f>
        <v>2016</v>
      </c>
      <c r="J699" s="2">
        <f>ABS(Data[[#This Row],[Betrag]])</f>
        <v>1000</v>
      </c>
      <c r="K699" s="66" t="str">
        <f>IF(Data[[#This Row],[Betrag]]&lt;0,"A","E")</f>
        <v>E</v>
      </c>
    </row>
    <row r="700" spans="1:11" x14ac:dyDescent="0.25">
      <c r="A700" s="1">
        <v>42703</v>
      </c>
      <c r="B700" s="66" t="s">
        <v>48</v>
      </c>
      <c r="C700" s="66" t="s">
        <v>49</v>
      </c>
      <c r="D700" t="s">
        <v>50</v>
      </c>
      <c r="E700">
        <v>-15</v>
      </c>
      <c r="F700" s="66" t="s">
        <v>7</v>
      </c>
      <c r="G700" s="66" t="s">
        <v>8</v>
      </c>
      <c r="H700" s="66" t="str">
        <f>TEXT(Data[[#This Row],[Buchung]],"MMM")</f>
        <v>Nov</v>
      </c>
      <c r="I700" s="67">
        <f>YEAR(Data[[#This Row],[Buchung]])</f>
        <v>2016</v>
      </c>
      <c r="J700" s="2">
        <f>ABS(Data[[#This Row],[Betrag]])</f>
        <v>15</v>
      </c>
      <c r="K700" s="66" t="str">
        <f>IF(Data[[#This Row],[Betrag]]&lt;0,"A","E")</f>
        <v>A</v>
      </c>
    </row>
    <row r="701" spans="1:11" x14ac:dyDescent="0.25">
      <c r="A701" s="1">
        <v>42704</v>
      </c>
      <c r="B701" s="66" t="s">
        <v>51</v>
      </c>
      <c r="C701" s="66" t="s">
        <v>52</v>
      </c>
      <c r="D701" t="s">
        <v>53</v>
      </c>
      <c r="E701">
        <v>-350</v>
      </c>
      <c r="F701" s="66" t="s">
        <v>7</v>
      </c>
      <c r="G701" s="66" t="s">
        <v>11</v>
      </c>
      <c r="H701" s="66" t="str">
        <f>TEXT(Data[[#This Row],[Buchung]],"MMM")</f>
        <v>Nov</v>
      </c>
      <c r="I701" s="67">
        <f>YEAR(Data[[#This Row],[Buchung]])</f>
        <v>2016</v>
      </c>
      <c r="J701" s="2">
        <f>ABS(Data[[#This Row],[Betrag]])</f>
        <v>350</v>
      </c>
      <c r="K701" s="66" t="str">
        <f>IF(Data[[#This Row],[Betrag]]&lt;0,"A","E")</f>
        <v>A</v>
      </c>
    </row>
    <row r="702" spans="1:11" x14ac:dyDescent="0.25">
      <c r="A702" s="1">
        <v>42705</v>
      </c>
      <c r="B702" s="66" t="s">
        <v>54</v>
      </c>
      <c r="C702" s="66" t="s">
        <v>55</v>
      </c>
      <c r="D702" t="s">
        <v>56</v>
      </c>
      <c r="E702">
        <v>-120</v>
      </c>
      <c r="F702" s="66" t="s">
        <v>7</v>
      </c>
      <c r="G702" s="66" t="s">
        <v>57</v>
      </c>
      <c r="H702" s="66" t="str">
        <f>TEXT(Data[[#This Row],[Buchung]],"MMM")</f>
        <v>Dez</v>
      </c>
      <c r="I702" s="67">
        <f>YEAR(Data[[#This Row],[Buchung]])</f>
        <v>2016</v>
      </c>
      <c r="J702" s="2">
        <f>ABS(Data[[#This Row],[Betrag]])</f>
        <v>120</v>
      </c>
      <c r="K702" s="66" t="str">
        <f>IF(Data[[#This Row],[Betrag]]&lt;0,"A","E")</f>
        <v>A</v>
      </c>
    </row>
    <row r="703" spans="1:11" x14ac:dyDescent="0.25">
      <c r="A703" s="1">
        <v>42706</v>
      </c>
      <c r="B703" s="66" t="s">
        <v>58</v>
      </c>
      <c r="C703" s="66" t="s">
        <v>59</v>
      </c>
      <c r="D703" t="s">
        <v>60</v>
      </c>
      <c r="E703">
        <v>-50</v>
      </c>
      <c r="F703" s="66" t="s">
        <v>7</v>
      </c>
      <c r="G703" s="66" t="s">
        <v>10</v>
      </c>
      <c r="H703" s="66" t="str">
        <f>TEXT(Data[[#This Row],[Buchung]],"MMM")</f>
        <v>Dez</v>
      </c>
      <c r="I703" s="67">
        <f>YEAR(Data[[#This Row],[Buchung]])</f>
        <v>2016</v>
      </c>
      <c r="J703" s="2">
        <f>ABS(Data[[#This Row],[Betrag]])</f>
        <v>50</v>
      </c>
      <c r="K703" s="66" t="str">
        <f>IF(Data[[#This Row],[Betrag]]&lt;0,"A","E")</f>
        <v>A</v>
      </c>
    </row>
    <row r="704" spans="1:11" x14ac:dyDescent="0.25">
      <c r="A704" s="1">
        <v>42707</v>
      </c>
      <c r="B704" s="66" t="s">
        <v>45</v>
      </c>
      <c r="C704" s="66" t="s">
        <v>46</v>
      </c>
      <c r="D704" t="s">
        <v>47</v>
      </c>
      <c r="E704">
        <v>1000</v>
      </c>
      <c r="F704" s="66" t="s">
        <v>7</v>
      </c>
      <c r="G704" s="66" t="s">
        <v>9</v>
      </c>
      <c r="H704" s="66" t="str">
        <f>TEXT(Data[[#This Row],[Buchung]],"MMM")</f>
        <v>Dez</v>
      </c>
      <c r="I704" s="67">
        <f>YEAR(Data[[#This Row],[Buchung]])</f>
        <v>2016</v>
      </c>
      <c r="J704" s="2">
        <f>ABS(Data[[#This Row],[Betrag]])</f>
        <v>1000</v>
      </c>
      <c r="K704" s="66" t="str">
        <f>IF(Data[[#This Row],[Betrag]]&lt;0,"A","E")</f>
        <v>E</v>
      </c>
    </row>
    <row r="705" spans="1:11" x14ac:dyDescent="0.25">
      <c r="A705" s="1">
        <v>42708</v>
      </c>
      <c r="B705" s="66" t="s">
        <v>61</v>
      </c>
      <c r="C705" s="66" t="s">
        <v>49</v>
      </c>
      <c r="D705" t="s">
        <v>62</v>
      </c>
      <c r="E705">
        <v>-10</v>
      </c>
      <c r="F705" s="66" t="s">
        <v>7</v>
      </c>
      <c r="G705" s="66" t="s">
        <v>8</v>
      </c>
      <c r="H705" s="66" t="str">
        <f>TEXT(Data[[#This Row],[Buchung]],"MMM")</f>
        <v>Dez</v>
      </c>
      <c r="I705" s="67">
        <f>YEAR(Data[[#This Row],[Buchung]])</f>
        <v>2016</v>
      </c>
      <c r="J705" s="2">
        <f>ABS(Data[[#This Row],[Betrag]])</f>
        <v>10</v>
      </c>
      <c r="K705" s="66" t="str">
        <f>IF(Data[[#This Row],[Betrag]]&lt;0,"A","E")</f>
        <v>A</v>
      </c>
    </row>
    <row r="706" spans="1:11" x14ac:dyDescent="0.25">
      <c r="A706" s="1">
        <v>42709</v>
      </c>
      <c r="B706" s="66" t="s">
        <v>63</v>
      </c>
      <c r="C706" s="66" t="s">
        <v>64</v>
      </c>
      <c r="D706" t="s">
        <v>65</v>
      </c>
      <c r="E706">
        <v>-60</v>
      </c>
      <c r="F706" s="66" t="s">
        <v>7</v>
      </c>
      <c r="G706" s="66" t="s">
        <v>11</v>
      </c>
      <c r="H706" s="66" t="str">
        <f>TEXT(Data[[#This Row],[Buchung]],"MMM")</f>
        <v>Dez</v>
      </c>
      <c r="I706" s="67">
        <f>YEAR(Data[[#This Row],[Buchung]])</f>
        <v>2016</v>
      </c>
      <c r="J706" s="2">
        <f>ABS(Data[[#This Row],[Betrag]])</f>
        <v>60</v>
      </c>
      <c r="K706" s="66" t="str">
        <f>IF(Data[[#This Row],[Betrag]]&lt;0,"A","E")</f>
        <v>A</v>
      </c>
    </row>
    <row r="707" spans="1:11" x14ac:dyDescent="0.25">
      <c r="A707" s="1">
        <v>42710</v>
      </c>
      <c r="B707" s="66" t="s">
        <v>54</v>
      </c>
      <c r="C707" s="66" t="s">
        <v>55</v>
      </c>
      <c r="D707" t="s">
        <v>66</v>
      </c>
      <c r="E707">
        <v>-80</v>
      </c>
      <c r="F707" s="66" t="s">
        <v>7</v>
      </c>
      <c r="G707" s="66" t="s">
        <v>57</v>
      </c>
      <c r="H707" s="66" t="str">
        <f>TEXT(Data[[#This Row],[Buchung]],"MMM")</f>
        <v>Dez</v>
      </c>
      <c r="I707" s="67">
        <f>YEAR(Data[[#This Row],[Buchung]])</f>
        <v>2016</v>
      </c>
      <c r="J707" s="2">
        <f>ABS(Data[[#This Row],[Betrag]])</f>
        <v>80</v>
      </c>
      <c r="K707" s="66" t="str">
        <f>IF(Data[[#This Row],[Betrag]]&lt;0,"A","E")</f>
        <v>A</v>
      </c>
    </row>
    <row r="708" spans="1:11" x14ac:dyDescent="0.25">
      <c r="A708" s="1">
        <v>42711</v>
      </c>
      <c r="B708" s="66" t="s">
        <v>67</v>
      </c>
      <c r="C708" s="66" t="s">
        <v>59</v>
      </c>
      <c r="D708" t="s">
        <v>68</v>
      </c>
      <c r="E708">
        <v>-20</v>
      </c>
      <c r="F708" s="66" t="s">
        <v>7</v>
      </c>
      <c r="G708" s="66" t="s">
        <v>10</v>
      </c>
      <c r="H708" s="66" t="str">
        <f>TEXT(Data[[#This Row],[Buchung]],"MMM")</f>
        <v>Dez</v>
      </c>
      <c r="I708" s="67">
        <f>YEAR(Data[[#This Row],[Buchung]])</f>
        <v>2016</v>
      </c>
      <c r="J708" s="2">
        <f>ABS(Data[[#This Row],[Betrag]])</f>
        <v>20</v>
      </c>
      <c r="K708" s="66" t="str">
        <f>IF(Data[[#This Row],[Betrag]]&lt;0,"A","E")</f>
        <v>A</v>
      </c>
    </row>
    <row r="709" spans="1:11" x14ac:dyDescent="0.25">
      <c r="A709" s="1">
        <v>42712</v>
      </c>
      <c r="B709" s="66" t="s">
        <v>45</v>
      </c>
      <c r="C709" s="66" t="s">
        <v>46</v>
      </c>
      <c r="D709" t="s">
        <v>47</v>
      </c>
      <c r="E709">
        <v>1000</v>
      </c>
      <c r="F709" s="66" t="s">
        <v>7</v>
      </c>
      <c r="G709" s="66" t="s">
        <v>9</v>
      </c>
      <c r="H709" s="66" t="str">
        <f>TEXT(Data[[#This Row],[Buchung]],"MMM")</f>
        <v>Dez</v>
      </c>
      <c r="I709" s="67">
        <f>YEAR(Data[[#This Row],[Buchung]])</f>
        <v>2016</v>
      </c>
      <c r="J709" s="2">
        <f>ABS(Data[[#This Row],[Betrag]])</f>
        <v>1000</v>
      </c>
      <c r="K709" s="66" t="str">
        <f>IF(Data[[#This Row],[Betrag]]&lt;0,"A","E")</f>
        <v>E</v>
      </c>
    </row>
    <row r="710" spans="1:11" x14ac:dyDescent="0.25">
      <c r="A710" s="1">
        <v>42713</v>
      </c>
      <c r="B710" s="66" t="s">
        <v>48</v>
      </c>
      <c r="C710" s="66" t="s">
        <v>49</v>
      </c>
      <c r="D710" t="s">
        <v>50</v>
      </c>
      <c r="E710">
        <v>-15</v>
      </c>
      <c r="F710" s="66" t="s">
        <v>7</v>
      </c>
      <c r="G710" s="66" t="s">
        <v>8</v>
      </c>
      <c r="H710" s="66" t="str">
        <f>TEXT(Data[[#This Row],[Buchung]],"MMM")</f>
        <v>Dez</v>
      </c>
      <c r="I710" s="67">
        <f>YEAR(Data[[#This Row],[Buchung]])</f>
        <v>2016</v>
      </c>
      <c r="J710" s="2">
        <f>ABS(Data[[#This Row],[Betrag]])</f>
        <v>15</v>
      </c>
      <c r="K710" s="66" t="str">
        <f>IF(Data[[#This Row],[Betrag]]&lt;0,"A","E")</f>
        <v>A</v>
      </c>
    </row>
    <row r="711" spans="1:11" x14ac:dyDescent="0.25">
      <c r="A711" s="1">
        <v>42714</v>
      </c>
      <c r="B711" s="66" t="s">
        <v>51</v>
      </c>
      <c r="C711" s="66" t="s">
        <v>52</v>
      </c>
      <c r="D711" t="s">
        <v>53</v>
      </c>
      <c r="E711">
        <v>-350</v>
      </c>
      <c r="F711" s="66" t="s">
        <v>7</v>
      </c>
      <c r="G711" s="66" t="s">
        <v>11</v>
      </c>
      <c r="H711" s="66" t="str">
        <f>TEXT(Data[[#This Row],[Buchung]],"MMM")</f>
        <v>Dez</v>
      </c>
      <c r="I711" s="67">
        <f>YEAR(Data[[#This Row],[Buchung]])</f>
        <v>2016</v>
      </c>
      <c r="J711" s="2">
        <f>ABS(Data[[#This Row],[Betrag]])</f>
        <v>350</v>
      </c>
      <c r="K711" s="66" t="str">
        <f>IF(Data[[#This Row],[Betrag]]&lt;0,"A","E")</f>
        <v>A</v>
      </c>
    </row>
    <row r="712" spans="1:11" x14ac:dyDescent="0.25">
      <c r="A712" s="1">
        <v>42715</v>
      </c>
      <c r="B712" s="66" t="s">
        <v>54</v>
      </c>
      <c r="C712" s="66" t="s">
        <v>55</v>
      </c>
      <c r="D712" t="s">
        <v>56</v>
      </c>
      <c r="E712">
        <v>-120</v>
      </c>
      <c r="F712" s="66" t="s">
        <v>7</v>
      </c>
      <c r="G712" s="66" t="s">
        <v>57</v>
      </c>
      <c r="H712" s="66" t="str">
        <f>TEXT(Data[[#This Row],[Buchung]],"MMM")</f>
        <v>Dez</v>
      </c>
      <c r="I712" s="67">
        <f>YEAR(Data[[#This Row],[Buchung]])</f>
        <v>2016</v>
      </c>
      <c r="J712" s="2">
        <f>ABS(Data[[#This Row],[Betrag]])</f>
        <v>120</v>
      </c>
      <c r="K712" s="66" t="str">
        <f>IF(Data[[#This Row],[Betrag]]&lt;0,"A","E")</f>
        <v>A</v>
      </c>
    </row>
    <row r="713" spans="1:11" x14ac:dyDescent="0.25">
      <c r="A713" s="1">
        <v>42716</v>
      </c>
      <c r="B713" s="66" t="s">
        <v>58</v>
      </c>
      <c r="C713" s="66" t="s">
        <v>59</v>
      </c>
      <c r="D713" t="s">
        <v>60</v>
      </c>
      <c r="E713">
        <v>-60</v>
      </c>
      <c r="F713" s="66" t="s">
        <v>7</v>
      </c>
      <c r="G713" s="66" t="s">
        <v>10</v>
      </c>
      <c r="H713" s="66" t="str">
        <f>TEXT(Data[[#This Row],[Buchung]],"MMM")</f>
        <v>Dez</v>
      </c>
      <c r="I713" s="67">
        <f>YEAR(Data[[#This Row],[Buchung]])</f>
        <v>2016</v>
      </c>
      <c r="J713" s="2">
        <f>ABS(Data[[#This Row],[Betrag]])</f>
        <v>60</v>
      </c>
      <c r="K713" s="66" t="str">
        <f>IF(Data[[#This Row],[Betrag]]&lt;0,"A","E")</f>
        <v>A</v>
      </c>
    </row>
    <row r="714" spans="1:11" x14ac:dyDescent="0.25">
      <c r="A714" s="1">
        <v>42717</v>
      </c>
      <c r="B714" s="66" t="s">
        <v>45</v>
      </c>
      <c r="C714" s="66" t="s">
        <v>46</v>
      </c>
      <c r="D714" t="s">
        <v>47</v>
      </c>
      <c r="E714">
        <v>1000</v>
      </c>
      <c r="F714" s="66" t="s">
        <v>7</v>
      </c>
      <c r="G714" s="66" t="s">
        <v>9</v>
      </c>
      <c r="H714" s="66" t="str">
        <f>TEXT(Data[[#This Row],[Buchung]],"MMM")</f>
        <v>Dez</v>
      </c>
      <c r="I714" s="67">
        <f>YEAR(Data[[#This Row],[Buchung]])</f>
        <v>2016</v>
      </c>
      <c r="J714" s="2">
        <f>ABS(Data[[#This Row],[Betrag]])</f>
        <v>1000</v>
      </c>
      <c r="K714" s="66" t="str">
        <f>IF(Data[[#This Row],[Betrag]]&lt;0,"A","E")</f>
        <v>E</v>
      </c>
    </row>
    <row r="715" spans="1:11" x14ac:dyDescent="0.25">
      <c r="A715" s="1">
        <v>42718</v>
      </c>
      <c r="B715" s="66" t="s">
        <v>61</v>
      </c>
      <c r="C715" s="66" t="s">
        <v>49</v>
      </c>
      <c r="D715" t="s">
        <v>62</v>
      </c>
      <c r="E715">
        <v>-10</v>
      </c>
      <c r="F715" s="66" t="s">
        <v>7</v>
      </c>
      <c r="G715" s="66" t="s">
        <v>8</v>
      </c>
      <c r="H715" s="66" t="str">
        <f>TEXT(Data[[#This Row],[Buchung]],"MMM")</f>
        <v>Dez</v>
      </c>
      <c r="I715" s="67">
        <f>YEAR(Data[[#This Row],[Buchung]])</f>
        <v>2016</v>
      </c>
      <c r="J715" s="2">
        <f>ABS(Data[[#This Row],[Betrag]])</f>
        <v>10</v>
      </c>
      <c r="K715" s="66" t="str">
        <f>IF(Data[[#This Row],[Betrag]]&lt;0,"A","E")</f>
        <v>A</v>
      </c>
    </row>
    <row r="716" spans="1:11" x14ac:dyDescent="0.25">
      <c r="A716" s="1">
        <v>42719</v>
      </c>
      <c r="B716" s="66" t="s">
        <v>63</v>
      </c>
      <c r="C716" s="66" t="s">
        <v>64</v>
      </c>
      <c r="D716" t="s">
        <v>65</v>
      </c>
      <c r="E716">
        <v>-70</v>
      </c>
      <c r="F716" s="66" t="s">
        <v>7</v>
      </c>
      <c r="G716" s="66" t="s">
        <v>11</v>
      </c>
      <c r="H716" s="66" t="str">
        <f>TEXT(Data[[#This Row],[Buchung]],"MMM")</f>
        <v>Dez</v>
      </c>
      <c r="I716" s="67">
        <f>YEAR(Data[[#This Row],[Buchung]])</f>
        <v>2016</v>
      </c>
      <c r="J716" s="2">
        <f>ABS(Data[[#This Row],[Betrag]])</f>
        <v>70</v>
      </c>
      <c r="K716" s="66" t="str">
        <f>IF(Data[[#This Row],[Betrag]]&lt;0,"A","E")</f>
        <v>A</v>
      </c>
    </row>
    <row r="717" spans="1:11" x14ac:dyDescent="0.25">
      <c r="A717" s="1">
        <v>42720</v>
      </c>
      <c r="B717" s="66" t="s">
        <v>54</v>
      </c>
      <c r="C717" s="66" t="s">
        <v>55</v>
      </c>
      <c r="D717" t="s">
        <v>66</v>
      </c>
      <c r="E717">
        <v>-80</v>
      </c>
      <c r="F717" s="66" t="s">
        <v>7</v>
      </c>
      <c r="G717" s="66" t="s">
        <v>57</v>
      </c>
      <c r="H717" s="66" t="str">
        <f>TEXT(Data[[#This Row],[Buchung]],"MMM")</f>
        <v>Dez</v>
      </c>
      <c r="I717" s="67">
        <f>YEAR(Data[[#This Row],[Buchung]])</f>
        <v>2016</v>
      </c>
      <c r="J717" s="2">
        <f>ABS(Data[[#This Row],[Betrag]])</f>
        <v>80</v>
      </c>
      <c r="K717" s="66" t="str">
        <f>IF(Data[[#This Row],[Betrag]]&lt;0,"A","E")</f>
        <v>A</v>
      </c>
    </row>
    <row r="718" spans="1:11" x14ac:dyDescent="0.25">
      <c r="A718" s="1">
        <v>42721</v>
      </c>
      <c r="B718" s="66" t="s">
        <v>67</v>
      </c>
      <c r="C718" s="66" t="s">
        <v>59</v>
      </c>
      <c r="D718" t="s">
        <v>68</v>
      </c>
      <c r="E718">
        <v>-25</v>
      </c>
      <c r="F718" s="66" t="s">
        <v>7</v>
      </c>
      <c r="G718" s="66" t="s">
        <v>10</v>
      </c>
      <c r="H718" s="66" t="str">
        <f>TEXT(Data[[#This Row],[Buchung]],"MMM")</f>
        <v>Dez</v>
      </c>
      <c r="I718" s="67">
        <f>YEAR(Data[[#This Row],[Buchung]])</f>
        <v>2016</v>
      </c>
      <c r="J718" s="2">
        <f>ABS(Data[[#This Row],[Betrag]])</f>
        <v>25</v>
      </c>
      <c r="K718" s="66" t="str">
        <f>IF(Data[[#This Row],[Betrag]]&lt;0,"A","E")</f>
        <v>A</v>
      </c>
    </row>
    <row r="719" spans="1:11" x14ac:dyDescent="0.25">
      <c r="A719" s="1">
        <v>42722</v>
      </c>
      <c r="B719" s="66" t="s">
        <v>45</v>
      </c>
      <c r="C719" s="66" t="s">
        <v>46</v>
      </c>
      <c r="D719" t="s">
        <v>47</v>
      </c>
      <c r="E719">
        <v>1000</v>
      </c>
      <c r="F719" s="66" t="s">
        <v>7</v>
      </c>
      <c r="G719" s="66" t="s">
        <v>9</v>
      </c>
      <c r="H719" s="66" t="str">
        <f>TEXT(Data[[#This Row],[Buchung]],"MMM")</f>
        <v>Dez</v>
      </c>
      <c r="I719" s="67">
        <f>YEAR(Data[[#This Row],[Buchung]])</f>
        <v>2016</v>
      </c>
      <c r="J719" s="2">
        <f>ABS(Data[[#This Row],[Betrag]])</f>
        <v>1000</v>
      </c>
      <c r="K719" s="66" t="str">
        <f>IF(Data[[#This Row],[Betrag]]&lt;0,"A","E")</f>
        <v>E</v>
      </c>
    </row>
    <row r="720" spans="1:11" x14ac:dyDescent="0.25">
      <c r="A720" s="1">
        <v>42723</v>
      </c>
      <c r="B720" s="66" t="s">
        <v>48</v>
      </c>
      <c r="C720" s="66" t="s">
        <v>49</v>
      </c>
      <c r="D720" t="s">
        <v>50</v>
      </c>
      <c r="E720">
        <v>-15</v>
      </c>
      <c r="F720" s="66" t="s">
        <v>7</v>
      </c>
      <c r="G720" s="66" t="s">
        <v>8</v>
      </c>
      <c r="H720" s="66" t="str">
        <f>TEXT(Data[[#This Row],[Buchung]],"MMM")</f>
        <v>Dez</v>
      </c>
      <c r="I720" s="67">
        <f>YEAR(Data[[#This Row],[Buchung]])</f>
        <v>2016</v>
      </c>
      <c r="J720" s="2">
        <f>ABS(Data[[#This Row],[Betrag]])</f>
        <v>15</v>
      </c>
      <c r="K720" s="66" t="str">
        <f>IF(Data[[#This Row],[Betrag]]&lt;0,"A","E")</f>
        <v>A</v>
      </c>
    </row>
    <row r="721" spans="1:11" x14ac:dyDescent="0.25">
      <c r="A721" s="1">
        <v>42724</v>
      </c>
      <c r="B721" s="66" t="s">
        <v>51</v>
      </c>
      <c r="C721" s="66" t="s">
        <v>52</v>
      </c>
      <c r="D721" t="s">
        <v>53</v>
      </c>
      <c r="E721">
        <v>-350</v>
      </c>
      <c r="F721" s="66" t="s">
        <v>7</v>
      </c>
      <c r="G721" s="66" t="s">
        <v>11</v>
      </c>
      <c r="H721" s="66" t="str">
        <f>TEXT(Data[[#This Row],[Buchung]],"MMM")</f>
        <v>Dez</v>
      </c>
      <c r="I721" s="67">
        <f>YEAR(Data[[#This Row],[Buchung]])</f>
        <v>2016</v>
      </c>
      <c r="J721" s="2">
        <f>ABS(Data[[#This Row],[Betrag]])</f>
        <v>350</v>
      </c>
      <c r="K721" s="66" t="str">
        <f>IF(Data[[#This Row],[Betrag]]&lt;0,"A","E")</f>
        <v>A</v>
      </c>
    </row>
    <row r="722" spans="1:11" x14ac:dyDescent="0.25">
      <c r="A722" s="1">
        <v>42725</v>
      </c>
      <c r="B722" s="66" t="s">
        <v>54</v>
      </c>
      <c r="C722" s="66" t="s">
        <v>55</v>
      </c>
      <c r="D722" t="s">
        <v>56</v>
      </c>
      <c r="E722">
        <v>-120</v>
      </c>
      <c r="F722" s="66" t="s">
        <v>7</v>
      </c>
      <c r="G722" s="66" t="s">
        <v>57</v>
      </c>
      <c r="H722" s="66" t="str">
        <f>TEXT(Data[[#This Row],[Buchung]],"MMM")</f>
        <v>Dez</v>
      </c>
      <c r="I722" s="67">
        <f>YEAR(Data[[#This Row],[Buchung]])</f>
        <v>2016</v>
      </c>
      <c r="J722" s="2">
        <f>ABS(Data[[#This Row],[Betrag]])</f>
        <v>120</v>
      </c>
      <c r="K722" s="66" t="str">
        <f>IF(Data[[#This Row],[Betrag]]&lt;0,"A","E")</f>
        <v>A</v>
      </c>
    </row>
    <row r="723" spans="1:11" x14ac:dyDescent="0.25">
      <c r="A723" s="1">
        <v>42726</v>
      </c>
      <c r="B723" s="66" t="s">
        <v>58</v>
      </c>
      <c r="C723" s="66" t="s">
        <v>59</v>
      </c>
      <c r="D723" t="s">
        <v>60</v>
      </c>
      <c r="E723">
        <v>-70</v>
      </c>
      <c r="F723" s="66" t="s">
        <v>7</v>
      </c>
      <c r="G723" s="66" t="s">
        <v>10</v>
      </c>
      <c r="H723" s="66" t="str">
        <f>TEXT(Data[[#This Row],[Buchung]],"MMM")</f>
        <v>Dez</v>
      </c>
      <c r="I723" s="67">
        <f>YEAR(Data[[#This Row],[Buchung]])</f>
        <v>2016</v>
      </c>
      <c r="J723" s="2">
        <f>ABS(Data[[#This Row],[Betrag]])</f>
        <v>70</v>
      </c>
      <c r="K723" s="66" t="str">
        <f>IF(Data[[#This Row],[Betrag]]&lt;0,"A","E")</f>
        <v>A</v>
      </c>
    </row>
    <row r="724" spans="1:11" x14ac:dyDescent="0.25">
      <c r="A724" s="1">
        <v>42727</v>
      </c>
      <c r="B724" s="66" t="s">
        <v>45</v>
      </c>
      <c r="C724" s="66" t="s">
        <v>46</v>
      </c>
      <c r="D724" t="s">
        <v>47</v>
      </c>
      <c r="E724">
        <v>1000</v>
      </c>
      <c r="F724" s="66" t="s">
        <v>7</v>
      </c>
      <c r="G724" s="66" t="s">
        <v>9</v>
      </c>
      <c r="H724" s="66" t="str">
        <f>TEXT(Data[[#This Row],[Buchung]],"MMM")</f>
        <v>Dez</v>
      </c>
      <c r="I724" s="67">
        <f>YEAR(Data[[#This Row],[Buchung]])</f>
        <v>2016</v>
      </c>
      <c r="J724" s="2">
        <f>ABS(Data[[#This Row],[Betrag]])</f>
        <v>1000</v>
      </c>
      <c r="K724" s="66" t="str">
        <f>IF(Data[[#This Row],[Betrag]]&lt;0,"A","E")</f>
        <v>E</v>
      </c>
    </row>
    <row r="725" spans="1:11" x14ac:dyDescent="0.25">
      <c r="A725" s="1">
        <v>42728</v>
      </c>
      <c r="B725" s="66" t="s">
        <v>61</v>
      </c>
      <c r="C725" s="66" t="s">
        <v>49</v>
      </c>
      <c r="D725" t="s">
        <v>62</v>
      </c>
      <c r="E725">
        <v>-10</v>
      </c>
      <c r="F725" s="66" t="s">
        <v>7</v>
      </c>
      <c r="G725" s="66" t="s">
        <v>8</v>
      </c>
      <c r="H725" s="66" t="str">
        <f>TEXT(Data[[#This Row],[Buchung]],"MMM")</f>
        <v>Dez</v>
      </c>
      <c r="I725" s="67">
        <f>YEAR(Data[[#This Row],[Buchung]])</f>
        <v>2016</v>
      </c>
      <c r="J725" s="2">
        <f>ABS(Data[[#This Row],[Betrag]])</f>
        <v>10</v>
      </c>
      <c r="K725" s="66" t="str">
        <f>IF(Data[[#This Row],[Betrag]]&lt;0,"A","E")</f>
        <v>A</v>
      </c>
    </row>
    <row r="726" spans="1:11" x14ac:dyDescent="0.25">
      <c r="A726" s="1">
        <v>42729</v>
      </c>
      <c r="B726" s="66" t="s">
        <v>63</v>
      </c>
      <c r="C726" s="66" t="s">
        <v>64</v>
      </c>
      <c r="D726" t="s">
        <v>65</v>
      </c>
      <c r="E726">
        <v>-60</v>
      </c>
      <c r="F726" s="66" t="s">
        <v>7</v>
      </c>
      <c r="G726" s="66" t="s">
        <v>11</v>
      </c>
      <c r="H726" s="66" t="str">
        <f>TEXT(Data[[#This Row],[Buchung]],"MMM")</f>
        <v>Dez</v>
      </c>
      <c r="I726" s="67">
        <f>YEAR(Data[[#This Row],[Buchung]])</f>
        <v>2016</v>
      </c>
      <c r="J726" s="2">
        <f>ABS(Data[[#This Row],[Betrag]])</f>
        <v>60</v>
      </c>
      <c r="K726" s="66" t="str">
        <f>IF(Data[[#This Row],[Betrag]]&lt;0,"A","E")</f>
        <v>A</v>
      </c>
    </row>
    <row r="727" spans="1:11" x14ac:dyDescent="0.25">
      <c r="A727" s="1">
        <v>42730</v>
      </c>
      <c r="B727" s="66" t="s">
        <v>54</v>
      </c>
      <c r="C727" s="66" t="s">
        <v>55</v>
      </c>
      <c r="D727" t="s">
        <v>66</v>
      </c>
      <c r="E727">
        <v>-80</v>
      </c>
      <c r="F727" s="66" t="s">
        <v>7</v>
      </c>
      <c r="G727" s="66" t="s">
        <v>57</v>
      </c>
      <c r="H727" s="66" t="str">
        <f>TEXT(Data[[#This Row],[Buchung]],"MMM")</f>
        <v>Dez</v>
      </c>
      <c r="I727" s="67">
        <f>YEAR(Data[[#This Row],[Buchung]])</f>
        <v>2016</v>
      </c>
      <c r="J727" s="2">
        <f>ABS(Data[[#This Row],[Betrag]])</f>
        <v>80</v>
      </c>
      <c r="K727" s="66" t="str">
        <f>IF(Data[[#This Row],[Betrag]]&lt;0,"A","E")</f>
        <v>A</v>
      </c>
    </row>
    <row r="728" spans="1:11" x14ac:dyDescent="0.25">
      <c r="A728" s="1">
        <v>42731</v>
      </c>
      <c r="B728" s="66" t="s">
        <v>67</v>
      </c>
      <c r="C728" s="66" t="s">
        <v>59</v>
      </c>
      <c r="D728" t="s">
        <v>68</v>
      </c>
      <c r="E728">
        <v>-30</v>
      </c>
      <c r="F728" s="66" t="s">
        <v>7</v>
      </c>
      <c r="G728" s="66" t="s">
        <v>10</v>
      </c>
      <c r="H728" s="66" t="str">
        <f>TEXT(Data[[#This Row],[Buchung]],"MMM")</f>
        <v>Dez</v>
      </c>
      <c r="I728" s="67">
        <f>YEAR(Data[[#This Row],[Buchung]])</f>
        <v>2016</v>
      </c>
      <c r="J728" s="2">
        <f>ABS(Data[[#This Row],[Betrag]])</f>
        <v>30</v>
      </c>
      <c r="K728" s="66" t="str">
        <f>IF(Data[[#This Row],[Betrag]]&lt;0,"A","E")</f>
        <v>A</v>
      </c>
    </row>
    <row r="729" spans="1:11" x14ac:dyDescent="0.25">
      <c r="A729" s="1">
        <v>42732</v>
      </c>
      <c r="B729" s="66" t="s">
        <v>45</v>
      </c>
      <c r="C729" s="66" t="s">
        <v>46</v>
      </c>
      <c r="D729" t="s">
        <v>47</v>
      </c>
      <c r="E729">
        <v>1000</v>
      </c>
      <c r="F729" s="66" t="s">
        <v>7</v>
      </c>
      <c r="G729" s="66" t="s">
        <v>9</v>
      </c>
      <c r="H729" s="66" t="str">
        <f>TEXT(Data[[#This Row],[Buchung]],"MMM")</f>
        <v>Dez</v>
      </c>
      <c r="I729" s="67">
        <f>YEAR(Data[[#This Row],[Buchung]])</f>
        <v>2016</v>
      </c>
      <c r="J729" s="2">
        <f>ABS(Data[[#This Row],[Betrag]])</f>
        <v>1000</v>
      </c>
      <c r="K729" s="66" t="str">
        <f>IF(Data[[#This Row],[Betrag]]&lt;0,"A","E")</f>
        <v>E</v>
      </c>
    </row>
    <row r="730" spans="1:11" x14ac:dyDescent="0.25">
      <c r="A730" s="1">
        <v>42733</v>
      </c>
      <c r="B730" s="66" t="s">
        <v>48</v>
      </c>
      <c r="C730" s="66" t="s">
        <v>49</v>
      </c>
      <c r="D730" t="s">
        <v>50</v>
      </c>
      <c r="E730">
        <v>-15</v>
      </c>
      <c r="F730" s="66" t="s">
        <v>7</v>
      </c>
      <c r="G730" s="66" t="s">
        <v>8</v>
      </c>
      <c r="H730" s="66" t="str">
        <f>TEXT(Data[[#This Row],[Buchung]],"MMM")</f>
        <v>Dez</v>
      </c>
      <c r="I730" s="67">
        <f>YEAR(Data[[#This Row],[Buchung]])</f>
        <v>2016</v>
      </c>
      <c r="J730" s="2">
        <f>ABS(Data[[#This Row],[Betrag]])</f>
        <v>15</v>
      </c>
      <c r="K730" s="66" t="str">
        <f>IF(Data[[#This Row],[Betrag]]&lt;0,"A","E")</f>
        <v>A</v>
      </c>
    </row>
    <row r="731" spans="1:11" x14ac:dyDescent="0.25">
      <c r="A731" s="1">
        <v>42734</v>
      </c>
      <c r="B731" s="66" t="s">
        <v>51</v>
      </c>
      <c r="C731" s="66" t="s">
        <v>52</v>
      </c>
      <c r="D731" t="s">
        <v>53</v>
      </c>
      <c r="E731">
        <v>-350</v>
      </c>
      <c r="F731" s="66" t="s">
        <v>7</v>
      </c>
      <c r="G731" s="66" t="s">
        <v>11</v>
      </c>
      <c r="H731" s="66" t="str">
        <f>TEXT(Data[[#This Row],[Buchung]],"MMM")</f>
        <v>Dez</v>
      </c>
      <c r="I731" s="67">
        <f>YEAR(Data[[#This Row],[Buchung]])</f>
        <v>2016</v>
      </c>
      <c r="J731" s="2">
        <f>ABS(Data[[#This Row],[Betrag]])</f>
        <v>350</v>
      </c>
      <c r="K731" s="66" t="str">
        <f>IF(Data[[#This Row],[Betrag]]&lt;0,"A","E")</f>
        <v>A</v>
      </c>
    </row>
    <row r="732" spans="1:11" x14ac:dyDescent="0.25">
      <c r="A732" s="1">
        <v>42735</v>
      </c>
      <c r="B732" s="66" t="s">
        <v>54</v>
      </c>
      <c r="C732" s="66" t="s">
        <v>55</v>
      </c>
      <c r="D732" t="s">
        <v>56</v>
      </c>
      <c r="E732">
        <v>-120</v>
      </c>
      <c r="F732" s="66" t="s">
        <v>7</v>
      </c>
      <c r="G732" s="66" t="s">
        <v>57</v>
      </c>
      <c r="H732" s="66" t="str">
        <f>TEXT(Data[[#This Row],[Buchung]],"MMM")</f>
        <v>Dez</v>
      </c>
      <c r="I732" s="67">
        <f>YEAR(Data[[#This Row],[Buchung]])</f>
        <v>2016</v>
      </c>
      <c r="J732" s="2">
        <f>ABS(Data[[#This Row],[Betrag]])</f>
        <v>120</v>
      </c>
      <c r="K732" s="66" t="str">
        <f>IF(Data[[#This Row],[Betrag]]&lt;0,"A","E")</f>
        <v>A</v>
      </c>
    </row>
    <row r="733" spans="1:11" x14ac:dyDescent="0.25">
      <c r="A733" s="1">
        <v>42736</v>
      </c>
      <c r="B733" s="66" t="s">
        <v>58</v>
      </c>
      <c r="C733" s="66" t="s">
        <v>59</v>
      </c>
      <c r="D733" t="s">
        <v>60</v>
      </c>
      <c r="E733">
        <v>-80</v>
      </c>
      <c r="F733" s="66" t="s">
        <v>7</v>
      </c>
      <c r="G733" s="66" t="s">
        <v>10</v>
      </c>
      <c r="H733" s="66" t="str">
        <f>TEXT(Data[[#This Row],[Buchung]],"MMM")</f>
        <v>Jan</v>
      </c>
      <c r="I733" s="67">
        <f>YEAR(Data[[#This Row],[Buchung]])</f>
        <v>2017</v>
      </c>
      <c r="J733" s="2">
        <f>ABS(Data[[#This Row],[Betrag]])</f>
        <v>80</v>
      </c>
      <c r="K733" s="66" t="str">
        <f>IF(Data[[#This Row],[Betrag]]&lt;0,"A","E")</f>
        <v>A</v>
      </c>
    </row>
    <row r="734" spans="1:11" x14ac:dyDescent="0.25">
      <c r="A734" s="1">
        <v>42737</v>
      </c>
      <c r="B734" s="66" t="s">
        <v>45</v>
      </c>
      <c r="C734" s="66" t="s">
        <v>46</v>
      </c>
      <c r="D734" t="s">
        <v>47</v>
      </c>
      <c r="E734">
        <v>1000</v>
      </c>
      <c r="F734" s="66" t="s">
        <v>7</v>
      </c>
      <c r="G734" s="66" t="s">
        <v>9</v>
      </c>
      <c r="H734" s="66" t="str">
        <f>TEXT(Data[[#This Row],[Buchung]],"MMM")</f>
        <v>Jan</v>
      </c>
      <c r="I734" s="67">
        <f>YEAR(Data[[#This Row],[Buchung]])</f>
        <v>2017</v>
      </c>
      <c r="J734" s="2">
        <f>ABS(Data[[#This Row],[Betrag]])</f>
        <v>1000</v>
      </c>
      <c r="K734" s="66" t="str">
        <f>IF(Data[[#This Row],[Betrag]]&lt;0,"A","E")</f>
        <v>E</v>
      </c>
    </row>
    <row r="735" spans="1:11" x14ac:dyDescent="0.25">
      <c r="A735" s="1">
        <v>42738</v>
      </c>
      <c r="B735" s="66" t="s">
        <v>61</v>
      </c>
      <c r="C735" s="66" t="s">
        <v>49</v>
      </c>
      <c r="D735" t="s">
        <v>62</v>
      </c>
      <c r="E735">
        <v>-10</v>
      </c>
      <c r="F735" s="66" t="s">
        <v>7</v>
      </c>
      <c r="G735" s="66" t="s">
        <v>8</v>
      </c>
      <c r="H735" s="66" t="str">
        <f>TEXT(Data[[#This Row],[Buchung]],"MMM")</f>
        <v>Jan</v>
      </c>
      <c r="I735" s="67">
        <f>YEAR(Data[[#This Row],[Buchung]])</f>
        <v>2017</v>
      </c>
      <c r="J735" s="2">
        <f>ABS(Data[[#This Row],[Betrag]])</f>
        <v>10</v>
      </c>
      <c r="K735" s="66" t="str">
        <f>IF(Data[[#This Row],[Betrag]]&lt;0,"A","E")</f>
        <v>A</v>
      </c>
    </row>
    <row r="736" spans="1:11" x14ac:dyDescent="0.25">
      <c r="A736" s="1">
        <v>42739</v>
      </c>
      <c r="B736" s="66" t="s">
        <v>63</v>
      </c>
      <c r="C736" s="66" t="s">
        <v>64</v>
      </c>
      <c r="D736" t="s">
        <v>65</v>
      </c>
      <c r="E736">
        <v>-65</v>
      </c>
      <c r="F736" s="66" t="s">
        <v>7</v>
      </c>
      <c r="G736" s="66" t="s">
        <v>11</v>
      </c>
      <c r="H736" s="66" t="str">
        <f>TEXT(Data[[#This Row],[Buchung]],"MMM")</f>
        <v>Jan</v>
      </c>
      <c r="I736" s="67">
        <f>YEAR(Data[[#This Row],[Buchung]])</f>
        <v>2017</v>
      </c>
      <c r="J736" s="2">
        <f>ABS(Data[[#This Row],[Betrag]])</f>
        <v>65</v>
      </c>
      <c r="K736" s="66" t="str">
        <f>IF(Data[[#This Row],[Betrag]]&lt;0,"A","E")</f>
        <v>A</v>
      </c>
    </row>
    <row r="737" spans="1:11" x14ac:dyDescent="0.25">
      <c r="A737" s="1">
        <v>42740</v>
      </c>
      <c r="B737" s="66" t="s">
        <v>54</v>
      </c>
      <c r="C737" s="66" t="s">
        <v>55</v>
      </c>
      <c r="D737" t="s">
        <v>66</v>
      </c>
      <c r="E737">
        <v>-80</v>
      </c>
      <c r="F737" s="66" t="s">
        <v>7</v>
      </c>
      <c r="G737" s="66" t="s">
        <v>57</v>
      </c>
      <c r="H737" s="66" t="str">
        <f>TEXT(Data[[#This Row],[Buchung]],"MMM")</f>
        <v>Jan</v>
      </c>
      <c r="I737" s="67">
        <f>YEAR(Data[[#This Row],[Buchung]])</f>
        <v>2017</v>
      </c>
      <c r="J737" s="2">
        <f>ABS(Data[[#This Row],[Betrag]])</f>
        <v>80</v>
      </c>
      <c r="K737" s="66" t="str">
        <f>IF(Data[[#This Row],[Betrag]]&lt;0,"A","E")</f>
        <v>A</v>
      </c>
    </row>
    <row r="738" spans="1:11" x14ac:dyDescent="0.25">
      <c r="A738" s="1">
        <v>42741</v>
      </c>
      <c r="B738" s="66" t="s">
        <v>67</v>
      </c>
      <c r="C738" s="66" t="s">
        <v>59</v>
      </c>
      <c r="D738" t="s">
        <v>68</v>
      </c>
      <c r="E738">
        <v>-35</v>
      </c>
      <c r="F738" s="66" t="s">
        <v>7</v>
      </c>
      <c r="G738" s="66" t="s">
        <v>10</v>
      </c>
      <c r="H738" s="66" t="str">
        <f>TEXT(Data[[#This Row],[Buchung]],"MMM")</f>
        <v>Jan</v>
      </c>
      <c r="I738" s="67">
        <f>YEAR(Data[[#This Row],[Buchung]])</f>
        <v>2017</v>
      </c>
      <c r="J738" s="2">
        <f>ABS(Data[[#This Row],[Betrag]])</f>
        <v>35</v>
      </c>
      <c r="K738" s="66" t="str">
        <f>IF(Data[[#This Row],[Betrag]]&lt;0,"A","E")</f>
        <v>A</v>
      </c>
    </row>
    <row r="739" spans="1:11" x14ac:dyDescent="0.25">
      <c r="A739" s="1">
        <v>42742</v>
      </c>
      <c r="B739" s="66" t="s">
        <v>45</v>
      </c>
      <c r="C739" s="66" t="s">
        <v>46</v>
      </c>
      <c r="D739" t="s">
        <v>47</v>
      </c>
      <c r="E739">
        <v>1000</v>
      </c>
      <c r="F739" s="66" t="s">
        <v>7</v>
      </c>
      <c r="G739" s="66" t="s">
        <v>9</v>
      </c>
      <c r="H739" s="66" t="str">
        <f>TEXT(Data[[#This Row],[Buchung]],"MMM")</f>
        <v>Jan</v>
      </c>
      <c r="I739" s="67">
        <f>YEAR(Data[[#This Row],[Buchung]])</f>
        <v>2017</v>
      </c>
      <c r="J739" s="2">
        <f>ABS(Data[[#This Row],[Betrag]])</f>
        <v>1000</v>
      </c>
      <c r="K739" s="66" t="str">
        <f>IF(Data[[#This Row],[Betrag]]&lt;0,"A","E")</f>
        <v>E</v>
      </c>
    </row>
    <row r="740" spans="1:11" x14ac:dyDescent="0.25">
      <c r="A740" s="1">
        <v>42743</v>
      </c>
      <c r="B740" s="66" t="s">
        <v>45</v>
      </c>
      <c r="C740" s="66" t="s">
        <v>46</v>
      </c>
      <c r="D740" t="s">
        <v>47</v>
      </c>
      <c r="E740">
        <v>1000</v>
      </c>
      <c r="F740" s="66" t="s">
        <v>7</v>
      </c>
      <c r="G740" s="66" t="s">
        <v>9</v>
      </c>
      <c r="H740" s="66" t="str">
        <f>TEXT(Data[[#This Row],[Buchung]],"MMM")</f>
        <v>Jan</v>
      </c>
      <c r="I740" s="67">
        <f>YEAR(Data[[#This Row],[Buchung]])</f>
        <v>2017</v>
      </c>
      <c r="J740" s="2">
        <f>ABS(Data[[#This Row],[Betrag]])</f>
        <v>1000</v>
      </c>
      <c r="K740" s="66" t="str">
        <f>IF(Data[[#This Row],[Betrag]]&lt;0,"A","E")</f>
        <v>E</v>
      </c>
    </row>
    <row r="741" spans="1:11" x14ac:dyDescent="0.25">
      <c r="A741" s="1">
        <v>42744</v>
      </c>
      <c r="B741" s="66" t="s">
        <v>48</v>
      </c>
      <c r="C741" s="66" t="s">
        <v>49</v>
      </c>
      <c r="D741" t="s">
        <v>50</v>
      </c>
      <c r="E741">
        <v>-15</v>
      </c>
      <c r="F741" s="66" t="s">
        <v>7</v>
      </c>
      <c r="G741" s="66" t="s">
        <v>8</v>
      </c>
      <c r="H741" s="66" t="str">
        <f>TEXT(Data[[#This Row],[Buchung]],"MMM")</f>
        <v>Jan</v>
      </c>
      <c r="I741" s="67">
        <f>YEAR(Data[[#This Row],[Buchung]])</f>
        <v>2017</v>
      </c>
      <c r="J741" s="2">
        <f>ABS(Data[[#This Row],[Betrag]])</f>
        <v>15</v>
      </c>
      <c r="K741" s="66" t="str">
        <f>IF(Data[[#This Row],[Betrag]]&lt;0,"A","E")</f>
        <v>A</v>
      </c>
    </row>
    <row r="742" spans="1:11" x14ac:dyDescent="0.25">
      <c r="A742" s="1">
        <v>42745</v>
      </c>
      <c r="B742" s="66" t="s">
        <v>51</v>
      </c>
      <c r="C742" s="66" t="s">
        <v>52</v>
      </c>
      <c r="D742" t="s">
        <v>53</v>
      </c>
      <c r="E742">
        <v>-350</v>
      </c>
      <c r="F742" s="66" t="s">
        <v>7</v>
      </c>
      <c r="G742" s="66" t="s">
        <v>11</v>
      </c>
      <c r="H742" s="66" t="str">
        <f>TEXT(Data[[#This Row],[Buchung]],"MMM")</f>
        <v>Jan</v>
      </c>
      <c r="I742" s="67">
        <f>YEAR(Data[[#This Row],[Buchung]])</f>
        <v>2017</v>
      </c>
      <c r="J742" s="2">
        <f>ABS(Data[[#This Row],[Betrag]])</f>
        <v>350</v>
      </c>
      <c r="K742" s="66" t="str">
        <f>IF(Data[[#This Row],[Betrag]]&lt;0,"A","E")</f>
        <v>A</v>
      </c>
    </row>
    <row r="743" spans="1:11" x14ac:dyDescent="0.25">
      <c r="A743" s="1">
        <v>42746</v>
      </c>
      <c r="B743" s="66" t="s">
        <v>54</v>
      </c>
      <c r="C743" s="66" t="s">
        <v>55</v>
      </c>
      <c r="D743" t="s">
        <v>56</v>
      </c>
      <c r="E743">
        <v>-120</v>
      </c>
      <c r="F743" s="66" t="s">
        <v>7</v>
      </c>
      <c r="G743" s="66" t="s">
        <v>57</v>
      </c>
      <c r="H743" s="66" t="str">
        <f>TEXT(Data[[#This Row],[Buchung]],"MMM")</f>
        <v>Jan</v>
      </c>
      <c r="I743" s="67">
        <f>YEAR(Data[[#This Row],[Buchung]])</f>
        <v>2017</v>
      </c>
      <c r="J743" s="2">
        <f>ABS(Data[[#This Row],[Betrag]])</f>
        <v>120</v>
      </c>
      <c r="K743" s="66" t="str">
        <f>IF(Data[[#This Row],[Betrag]]&lt;0,"A","E")</f>
        <v>A</v>
      </c>
    </row>
    <row r="744" spans="1:11" x14ac:dyDescent="0.25">
      <c r="A744" s="1">
        <v>42747</v>
      </c>
      <c r="B744" s="66" t="s">
        <v>58</v>
      </c>
      <c r="C744" s="66" t="s">
        <v>59</v>
      </c>
      <c r="D744" t="s">
        <v>60</v>
      </c>
      <c r="E744">
        <v>-50</v>
      </c>
      <c r="F744" s="66" t="s">
        <v>7</v>
      </c>
      <c r="G744" s="66" t="s">
        <v>10</v>
      </c>
      <c r="H744" s="66" t="str">
        <f>TEXT(Data[[#This Row],[Buchung]],"MMM")</f>
        <v>Jan</v>
      </c>
      <c r="I744" s="67">
        <f>YEAR(Data[[#This Row],[Buchung]])</f>
        <v>2017</v>
      </c>
      <c r="J744" s="2">
        <f>ABS(Data[[#This Row],[Betrag]])</f>
        <v>50</v>
      </c>
      <c r="K744" s="66" t="str">
        <f>IF(Data[[#This Row],[Betrag]]&lt;0,"A","E")</f>
        <v>A</v>
      </c>
    </row>
    <row r="745" spans="1:11" x14ac:dyDescent="0.25">
      <c r="A745" s="1">
        <v>42748</v>
      </c>
      <c r="B745" s="66" t="s">
        <v>45</v>
      </c>
      <c r="C745" s="66" t="s">
        <v>46</v>
      </c>
      <c r="D745" t="s">
        <v>47</v>
      </c>
      <c r="E745">
        <v>1000</v>
      </c>
      <c r="F745" s="66" t="s">
        <v>7</v>
      </c>
      <c r="G745" s="66" t="s">
        <v>9</v>
      </c>
      <c r="H745" s="66" t="str">
        <f>TEXT(Data[[#This Row],[Buchung]],"MMM")</f>
        <v>Jan</v>
      </c>
      <c r="I745" s="67">
        <f>YEAR(Data[[#This Row],[Buchung]])</f>
        <v>2017</v>
      </c>
      <c r="J745" s="2">
        <f>ABS(Data[[#This Row],[Betrag]])</f>
        <v>1000</v>
      </c>
      <c r="K745" s="66" t="str">
        <f>IF(Data[[#This Row],[Betrag]]&lt;0,"A","E")</f>
        <v>E</v>
      </c>
    </row>
    <row r="746" spans="1:11" x14ac:dyDescent="0.25">
      <c r="A746" s="1">
        <v>42749</v>
      </c>
      <c r="B746" s="66" t="s">
        <v>61</v>
      </c>
      <c r="C746" s="66" t="s">
        <v>49</v>
      </c>
      <c r="D746" t="s">
        <v>62</v>
      </c>
      <c r="E746">
        <v>-10</v>
      </c>
      <c r="F746" s="66" t="s">
        <v>7</v>
      </c>
      <c r="G746" s="66" t="s">
        <v>8</v>
      </c>
      <c r="H746" s="66" t="str">
        <f>TEXT(Data[[#This Row],[Buchung]],"MMM")</f>
        <v>Jan</v>
      </c>
      <c r="I746" s="67">
        <f>YEAR(Data[[#This Row],[Buchung]])</f>
        <v>2017</v>
      </c>
      <c r="J746" s="2">
        <f>ABS(Data[[#This Row],[Betrag]])</f>
        <v>10</v>
      </c>
      <c r="K746" s="66" t="str">
        <f>IF(Data[[#This Row],[Betrag]]&lt;0,"A","E")</f>
        <v>A</v>
      </c>
    </row>
    <row r="747" spans="1:11" x14ac:dyDescent="0.25">
      <c r="A747" s="1">
        <v>42750</v>
      </c>
      <c r="B747" s="66" t="s">
        <v>63</v>
      </c>
      <c r="C747" s="66" t="s">
        <v>64</v>
      </c>
      <c r="D747" t="s">
        <v>65</v>
      </c>
      <c r="E747">
        <v>-60</v>
      </c>
      <c r="F747" s="66" t="s">
        <v>7</v>
      </c>
      <c r="G747" s="66" t="s">
        <v>11</v>
      </c>
      <c r="H747" s="66" t="str">
        <f>TEXT(Data[[#This Row],[Buchung]],"MMM")</f>
        <v>Jan</v>
      </c>
      <c r="I747" s="67">
        <f>YEAR(Data[[#This Row],[Buchung]])</f>
        <v>2017</v>
      </c>
      <c r="J747" s="2">
        <f>ABS(Data[[#This Row],[Betrag]])</f>
        <v>60</v>
      </c>
      <c r="K747" s="66" t="str">
        <f>IF(Data[[#This Row],[Betrag]]&lt;0,"A","E")</f>
        <v>A</v>
      </c>
    </row>
    <row r="748" spans="1:11" x14ac:dyDescent="0.25">
      <c r="A748" s="1">
        <v>42751</v>
      </c>
      <c r="B748" s="66" t="s">
        <v>54</v>
      </c>
      <c r="C748" s="66" t="s">
        <v>55</v>
      </c>
      <c r="D748" t="s">
        <v>66</v>
      </c>
      <c r="E748">
        <v>-80</v>
      </c>
      <c r="F748" s="66" t="s">
        <v>7</v>
      </c>
      <c r="G748" s="66" t="s">
        <v>57</v>
      </c>
      <c r="H748" s="66" t="str">
        <f>TEXT(Data[[#This Row],[Buchung]],"MMM")</f>
        <v>Jan</v>
      </c>
      <c r="I748" s="67">
        <f>YEAR(Data[[#This Row],[Buchung]])</f>
        <v>2017</v>
      </c>
      <c r="J748" s="2">
        <f>ABS(Data[[#This Row],[Betrag]])</f>
        <v>80</v>
      </c>
      <c r="K748" s="66" t="str">
        <f>IF(Data[[#This Row],[Betrag]]&lt;0,"A","E")</f>
        <v>A</v>
      </c>
    </row>
    <row r="749" spans="1:11" x14ac:dyDescent="0.25">
      <c r="A749" s="1">
        <v>42752</v>
      </c>
      <c r="B749" s="66" t="s">
        <v>67</v>
      </c>
      <c r="C749" s="66" t="s">
        <v>59</v>
      </c>
      <c r="D749" t="s">
        <v>68</v>
      </c>
      <c r="E749">
        <v>-20</v>
      </c>
      <c r="F749" s="66" t="s">
        <v>7</v>
      </c>
      <c r="G749" s="66" t="s">
        <v>10</v>
      </c>
      <c r="H749" s="66" t="str">
        <f>TEXT(Data[[#This Row],[Buchung]],"MMM")</f>
        <v>Jan</v>
      </c>
      <c r="I749" s="67">
        <f>YEAR(Data[[#This Row],[Buchung]])</f>
        <v>2017</v>
      </c>
      <c r="J749" s="2">
        <f>ABS(Data[[#This Row],[Betrag]])</f>
        <v>20</v>
      </c>
      <c r="K749" s="66" t="str">
        <f>IF(Data[[#This Row],[Betrag]]&lt;0,"A","E")</f>
        <v>A</v>
      </c>
    </row>
    <row r="750" spans="1:11" x14ac:dyDescent="0.25">
      <c r="A750" s="1">
        <v>42753</v>
      </c>
      <c r="B750" s="66" t="s">
        <v>45</v>
      </c>
      <c r="C750" s="66" t="s">
        <v>46</v>
      </c>
      <c r="D750" t="s">
        <v>47</v>
      </c>
      <c r="E750">
        <v>1000</v>
      </c>
      <c r="F750" s="66" t="s">
        <v>7</v>
      </c>
      <c r="G750" s="66" t="s">
        <v>9</v>
      </c>
      <c r="H750" s="66" t="str">
        <f>TEXT(Data[[#This Row],[Buchung]],"MMM")</f>
        <v>Jan</v>
      </c>
      <c r="I750" s="67">
        <f>YEAR(Data[[#This Row],[Buchung]])</f>
        <v>2017</v>
      </c>
      <c r="J750" s="2">
        <f>ABS(Data[[#This Row],[Betrag]])</f>
        <v>1000</v>
      </c>
      <c r="K750" s="66" t="str">
        <f>IF(Data[[#This Row],[Betrag]]&lt;0,"A","E")</f>
        <v>E</v>
      </c>
    </row>
    <row r="751" spans="1:11" x14ac:dyDescent="0.25">
      <c r="A751" s="1">
        <v>42754</v>
      </c>
      <c r="B751" s="66" t="s">
        <v>48</v>
      </c>
      <c r="C751" s="66" t="s">
        <v>49</v>
      </c>
      <c r="D751" t="s">
        <v>50</v>
      </c>
      <c r="E751">
        <v>-15</v>
      </c>
      <c r="F751" s="66" t="s">
        <v>7</v>
      </c>
      <c r="G751" s="66" t="s">
        <v>8</v>
      </c>
      <c r="H751" s="66" t="str">
        <f>TEXT(Data[[#This Row],[Buchung]],"MMM")</f>
        <v>Jan</v>
      </c>
      <c r="I751" s="67">
        <f>YEAR(Data[[#This Row],[Buchung]])</f>
        <v>2017</v>
      </c>
      <c r="J751" s="2">
        <f>ABS(Data[[#This Row],[Betrag]])</f>
        <v>15</v>
      </c>
      <c r="K751" s="66" t="str">
        <f>IF(Data[[#This Row],[Betrag]]&lt;0,"A","E")</f>
        <v>A</v>
      </c>
    </row>
    <row r="752" spans="1:11" x14ac:dyDescent="0.25">
      <c r="A752" s="1">
        <v>42755</v>
      </c>
      <c r="B752" s="66" t="s">
        <v>51</v>
      </c>
      <c r="C752" s="66" t="s">
        <v>52</v>
      </c>
      <c r="D752" t="s">
        <v>53</v>
      </c>
      <c r="E752">
        <v>-350</v>
      </c>
      <c r="F752" s="66" t="s">
        <v>7</v>
      </c>
      <c r="G752" s="66" t="s">
        <v>11</v>
      </c>
      <c r="H752" s="66" t="str">
        <f>TEXT(Data[[#This Row],[Buchung]],"MMM")</f>
        <v>Jan</v>
      </c>
      <c r="I752" s="67">
        <f>YEAR(Data[[#This Row],[Buchung]])</f>
        <v>2017</v>
      </c>
      <c r="J752" s="2">
        <f>ABS(Data[[#This Row],[Betrag]])</f>
        <v>350</v>
      </c>
      <c r="K752" s="66" t="str">
        <f>IF(Data[[#This Row],[Betrag]]&lt;0,"A","E")</f>
        <v>A</v>
      </c>
    </row>
    <row r="753" spans="1:11" x14ac:dyDescent="0.25">
      <c r="A753" s="1">
        <v>42756</v>
      </c>
      <c r="B753" s="66" t="s">
        <v>54</v>
      </c>
      <c r="C753" s="66" t="s">
        <v>55</v>
      </c>
      <c r="D753" t="s">
        <v>56</v>
      </c>
      <c r="E753">
        <v>-120</v>
      </c>
      <c r="F753" s="66" t="s">
        <v>7</v>
      </c>
      <c r="G753" s="66" t="s">
        <v>57</v>
      </c>
      <c r="H753" s="66" t="str">
        <f>TEXT(Data[[#This Row],[Buchung]],"MMM")</f>
        <v>Jan</v>
      </c>
      <c r="I753" s="67">
        <f>YEAR(Data[[#This Row],[Buchung]])</f>
        <v>2017</v>
      </c>
      <c r="J753" s="2">
        <f>ABS(Data[[#This Row],[Betrag]])</f>
        <v>120</v>
      </c>
      <c r="K753" s="66" t="str">
        <f>IF(Data[[#This Row],[Betrag]]&lt;0,"A","E")</f>
        <v>A</v>
      </c>
    </row>
    <row r="754" spans="1:11" x14ac:dyDescent="0.25">
      <c r="A754" s="1">
        <v>42757</v>
      </c>
      <c r="B754" s="66" t="s">
        <v>58</v>
      </c>
      <c r="C754" s="66" t="s">
        <v>59</v>
      </c>
      <c r="D754" t="s">
        <v>60</v>
      </c>
      <c r="E754">
        <v>-60</v>
      </c>
      <c r="F754" s="66" t="s">
        <v>7</v>
      </c>
      <c r="G754" s="66" t="s">
        <v>10</v>
      </c>
      <c r="H754" s="66" t="str">
        <f>TEXT(Data[[#This Row],[Buchung]],"MMM")</f>
        <v>Jan</v>
      </c>
      <c r="I754" s="67">
        <f>YEAR(Data[[#This Row],[Buchung]])</f>
        <v>2017</v>
      </c>
      <c r="J754" s="2">
        <f>ABS(Data[[#This Row],[Betrag]])</f>
        <v>60</v>
      </c>
      <c r="K754" s="66" t="str">
        <f>IF(Data[[#This Row],[Betrag]]&lt;0,"A","E")</f>
        <v>A</v>
      </c>
    </row>
    <row r="755" spans="1:11" x14ac:dyDescent="0.25">
      <c r="A755" s="1">
        <v>42758</v>
      </c>
      <c r="B755" s="66" t="s">
        <v>45</v>
      </c>
      <c r="C755" s="66" t="s">
        <v>46</v>
      </c>
      <c r="D755" t="s">
        <v>47</v>
      </c>
      <c r="E755">
        <v>1000</v>
      </c>
      <c r="F755" s="66" t="s">
        <v>7</v>
      </c>
      <c r="G755" s="66" t="s">
        <v>9</v>
      </c>
      <c r="H755" s="66" t="str">
        <f>TEXT(Data[[#This Row],[Buchung]],"MMM")</f>
        <v>Jan</v>
      </c>
      <c r="I755" s="67">
        <f>YEAR(Data[[#This Row],[Buchung]])</f>
        <v>2017</v>
      </c>
      <c r="J755" s="2">
        <f>ABS(Data[[#This Row],[Betrag]])</f>
        <v>1000</v>
      </c>
      <c r="K755" s="66" t="str">
        <f>IF(Data[[#This Row],[Betrag]]&lt;0,"A","E")</f>
        <v>E</v>
      </c>
    </row>
    <row r="756" spans="1:11" x14ac:dyDescent="0.25">
      <c r="A756" s="1">
        <v>42759</v>
      </c>
      <c r="B756" s="66" t="s">
        <v>61</v>
      </c>
      <c r="C756" s="66" t="s">
        <v>49</v>
      </c>
      <c r="D756" t="s">
        <v>62</v>
      </c>
      <c r="E756">
        <v>-10</v>
      </c>
      <c r="F756" s="66" t="s">
        <v>7</v>
      </c>
      <c r="G756" s="66" t="s">
        <v>8</v>
      </c>
      <c r="H756" s="66" t="str">
        <f>TEXT(Data[[#This Row],[Buchung]],"MMM")</f>
        <v>Jan</v>
      </c>
      <c r="I756" s="67">
        <f>YEAR(Data[[#This Row],[Buchung]])</f>
        <v>2017</v>
      </c>
      <c r="J756" s="2">
        <f>ABS(Data[[#This Row],[Betrag]])</f>
        <v>10</v>
      </c>
      <c r="K756" s="66" t="str">
        <f>IF(Data[[#This Row],[Betrag]]&lt;0,"A","E")</f>
        <v>A</v>
      </c>
    </row>
    <row r="757" spans="1:11" x14ac:dyDescent="0.25">
      <c r="A757" s="1">
        <v>42760</v>
      </c>
      <c r="B757" s="66" t="s">
        <v>63</v>
      </c>
      <c r="C757" s="66" t="s">
        <v>64</v>
      </c>
      <c r="D757" t="s">
        <v>65</v>
      </c>
      <c r="E757">
        <v>-70</v>
      </c>
      <c r="F757" s="66" t="s">
        <v>7</v>
      </c>
      <c r="G757" s="66" t="s">
        <v>11</v>
      </c>
      <c r="H757" s="66" t="str">
        <f>TEXT(Data[[#This Row],[Buchung]],"MMM")</f>
        <v>Jan</v>
      </c>
      <c r="I757" s="67">
        <f>YEAR(Data[[#This Row],[Buchung]])</f>
        <v>2017</v>
      </c>
      <c r="J757" s="2">
        <f>ABS(Data[[#This Row],[Betrag]])</f>
        <v>70</v>
      </c>
      <c r="K757" s="66" t="str">
        <f>IF(Data[[#This Row],[Betrag]]&lt;0,"A","E")</f>
        <v>A</v>
      </c>
    </row>
    <row r="758" spans="1:11" x14ac:dyDescent="0.25">
      <c r="A758" s="1">
        <v>42761</v>
      </c>
      <c r="B758" s="66" t="s">
        <v>54</v>
      </c>
      <c r="C758" s="66" t="s">
        <v>55</v>
      </c>
      <c r="D758" t="s">
        <v>66</v>
      </c>
      <c r="E758">
        <v>-80</v>
      </c>
      <c r="F758" s="66" t="s">
        <v>7</v>
      </c>
      <c r="G758" s="66" t="s">
        <v>57</v>
      </c>
      <c r="H758" s="66" t="str">
        <f>TEXT(Data[[#This Row],[Buchung]],"MMM")</f>
        <v>Jan</v>
      </c>
      <c r="I758" s="67">
        <f>YEAR(Data[[#This Row],[Buchung]])</f>
        <v>2017</v>
      </c>
      <c r="J758" s="2">
        <f>ABS(Data[[#This Row],[Betrag]])</f>
        <v>80</v>
      </c>
      <c r="K758" s="66" t="str">
        <f>IF(Data[[#This Row],[Betrag]]&lt;0,"A","E")</f>
        <v>A</v>
      </c>
    </row>
    <row r="759" spans="1:11" x14ac:dyDescent="0.25">
      <c r="A759" s="1">
        <v>42762</v>
      </c>
      <c r="B759" s="66" t="s">
        <v>67</v>
      </c>
      <c r="C759" s="66" t="s">
        <v>59</v>
      </c>
      <c r="D759" t="s">
        <v>68</v>
      </c>
      <c r="E759">
        <v>-25</v>
      </c>
      <c r="F759" s="66" t="s">
        <v>7</v>
      </c>
      <c r="G759" s="66" t="s">
        <v>10</v>
      </c>
      <c r="H759" s="66" t="str">
        <f>TEXT(Data[[#This Row],[Buchung]],"MMM")</f>
        <v>Jan</v>
      </c>
      <c r="I759" s="67">
        <f>YEAR(Data[[#This Row],[Buchung]])</f>
        <v>2017</v>
      </c>
      <c r="J759" s="2">
        <f>ABS(Data[[#This Row],[Betrag]])</f>
        <v>25</v>
      </c>
      <c r="K759" s="66" t="str">
        <f>IF(Data[[#This Row],[Betrag]]&lt;0,"A","E")</f>
        <v>A</v>
      </c>
    </row>
    <row r="760" spans="1:11" x14ac:dyDescent="0.25">
      <c r="A760" s="1">
        <v>42763</v>
      </c>
      <c r="B760" s="66" t="s">
        <v>45</v>
      </c>
      <c r="C760" s="66" t="s">
        <v>46</v>
      </c>
      <c r="D760" t="s">
        <v>47</v>
      </c>
      <c r="E760">
        <v>1000</v>
      </c>
      <c r="F760" s="66" t="s">
        <v>7</v>
      </c>
      <c r="G760" s="66" t="s">
        <v>9</v>
      </c>
      <c r="H760" s="66" t="str">
        <f>TEXT(Data[[#This Row],[Buchung]],"MMM")</f>
        <v>Jan</v>
      </c>
      <c r="I760" s="67">
        <f>YEAR(Data[[#This Row],[Buchung]])</f>
        <v>2017</v>
      </c>
      <c r="J760" s="2">
        <f>ABS(Data[[#This Row],[Betrag]])</f>
        <v>1000</v>
      </c>
      <c r="K760" s="66" t="str">
        <f>IF(Data[[#This Row],[Betrag]]&lt;0,"A","E")</f>
        <v>E</v>
      </c>
    </row>
    <row r="761" spans="1:11" x14ac:dyDescent="0.25">
      <c r="A761" s="1">
        <v>42764</v>
      </c>
      <c r="B761" s="66" t="s">
        <v>48</v>
      </c>
      <c r="C761" s="66" t="s">
        <v>49</v>
      </c>
      <c r="D761" t="s">
        <v>50</v>
      </c>
      <c r="E761">
        <v>-15</v>
      </c>
      <c r="F761" s="66" t="s">
        <v>7</v>
      </c>
      <c r="G761" s="66" t="s">
        <v>8</v>
      </c>
      <c r="H761" s="66" t="str">
        <f>TEXT(Data[[#This Row],[Buchung]],"MMM")</f>
        <v>Jan</v>
      </c>
      <c r="I761" s="67">
        <f>YEAR(Data[[#This Row],[Buchung]])</f>
        <v>2017</v>
      </c>
      <c r="J761" s="2">
        <f>ABS(Data[[#This Row],[Betrag]])</f>
        <v>15</v>
      </c>
      <c r="K761" s="66" t="str">
        <f>IF(Data[[#This Row],[Betrag]]&lt;0,"A","E")</f>
        <v>A</v>
      </c>
    </row>
    <row r="762" spans="1:11" x14ac:dyDescent="0.25">
      <c r="A762" s="1">
        <v>42765</v>
      </c>
      <c r="B762" s="66" t="s">
        <v>51</v>
      </c>
      <c r="C762" s="66" t="s">
        <v>52</v>
      </c>
      <c r="D762" t="s">
        <v>53</v>
      </c>
      <c r="E762">
        <v>-350</v>
      </c>
      <c r="F762" s="66" t="s">
        <v>7</v>
      </c>
      <c r="G762" s="66" t="s">
        <v>11</v>
      </c>
      <c r="H762" s="66" t="str">
        <f>TEXT(Data[[#This Row],[Buchung]],"MMM")</f>
        <v>Jan</v>
      </c>
      <c r="I762" s="67">
        <f>YEAR(Data[[#This Row],[Buchung]])</f>
        <v>2017</v>
      </c>
      <c r="J762" s="2">
        <f>ABS(Data[[#This Row],[Betrag]])</f>
        <v>350</v>
      </c>
      <c r="K762" s="66" t="str">
        <f>IF(Data[[#This Row],[Betrag]]&lt;0,"A","E")</f>
        <v>A</v>
      </c>
    </row>
    <row r="763" spans="1:11" x14ac:dyDescent="0.25">
      <c r="A763" s="1">
        <v>42766</v>
      </c>
      <c r="B763" s="66" t="s">
        <v>54</v>
      </c>
      <c r="C763" s="66" t="s">
        <v>55</v>
      </c>
      <c r="D763" t="s">
        <v>56</v>
      </c>
      <c r="E763">
        <v>-120</v>
      </c>
      <c r="F763" s="66" t="s">
        <v>7</v>
      </c>
      <c r="G763" s="66" t="s">
        <v>57</v>
      </c>
      <c r="H763" s="66" t="str">
        <f>TEXT(Data[[#This Row],[Buchung]],"MMM")</f>
        <v>Jan</v>
      </c>
      <c r="I763" s="67">
        <f>YEAR(Data[[#This Row],[Buchung]])</f>
        <v>2017</v>
      </c>
      <c r="J763" s="2">
        <f>ABS(Data[[#This Row],[Betrag]])</f>
        <v>120</v>
      </c>
      <c r="K763" s="66" t="str">
        <f>IF(Data[[#This Row],[Betrag]]&lt;0,"A","E")</f>
        <v>A</v>
      </c>
    </row>
    <row r="764" spans="1:11" x14ac:dyDescent="0.25">
      <c r="A764" s="1">
        <v>42767</v>
      </c>
      <c r="B764" s="66" t="s">
        <v>58</v>
      </c>
      <c r="C764" s="66" t="s">
        <v>59</v>
      </c>
      <c r="D764" t="s">
        <v>60</v>
      </c>
      <c r="E764">
        <v>-70</v>
      </c>
      <c r="F764" s="66" t="s">
        <v>7</v>
      </c>
      <c r="G764" s="66" t="s">
        <v>10</v>
      </c>
      <c r="H764" s="66" t="str">
        <f>TEXT(Data[[#This Row],[Buchung]],"MMM")</f>
        <v>Feb</v>
      </c>
      <c r="I764" s="67">
        <f>YEAR(Data[[#This Row],[Buchung]])</f>
        <v>2017</v>
      </c>
      <c r="J764" s="2">
        <f>ABS(Data[[#This Row],[Betrag]])</f>
        <v>70</v>
      </c>
      <c r="K764" s="66" t="str">
        <f>IF(Data[[#This Row],[Betrag]]&lt;0,"A","E")</f>
        <v>A</v>
      </c>
    </row>
    <row r="765" spans="1:11" x14ac:dyDescent="0.25">
      <c r="A765" s="1">
        <v>42768</v>
      </c>
      <c r="B765" s="66" t="s">
        <v>45</v>
      </c>
      <c r="C765" s="66" t="s">
        <v>46</v>
      </c>
      <c r="D765" t="s">
        <v>47</v>
      </c>
      <c r="E765">
        <v>1000</v>
      </c>
      <c r="F765" s="66" t="s">
        <v>7</v>
      </c>
      <c r="G765" s="66" t="s">
        <v>9</v>
      </c>
      <c r="H765" s="66" t="str">
        <f>TEXT(Data[[#This Row],[Buchung]],"MMM")</f>
        <v>Feb</v>
      </c>
      <c r="I765" s="67">
        <f>YEAR(Data[[#This Row],[Buchung]])</f>
        <v>2017</v>
      </c>
      <c r="J765" s="2">
        <f>ABS(Data[[#This Row],[Betrag]])</f>
        <v>1000</v>
      </c>
      <c r="K765" s="66" t="str">
        <f>IF(Data[[#This Row],[Betrag]]&lt;0,"A","E")</f>
        <v>E</v>
      </c>
    </row>
    <row r="766" spans="1:11" x14ac:dyDescent="0.25">
      <c r="A766" s="1">
        <v>42769</v>
      </c>
      <c r="B766" s="66" t="s">
        <v>61</v>
      </c>
      <c r="C766" s="66" t="s">
        <v>49</v>
      </c>
      <c r="D766" t="s">
        <v>62</v>
      </c>
      <c r="E766">
        <v>-10</v>
      </c>
      <c r="F766" s="66" t="s">
        <v>7</v>
      </c>
      <c r="G766" s="66" t="s">
        <v>8</v>
      </c>
      <c r="H766" s="66" t="str">
        <f>TEXT(Data[[#This Row],[Buchung]],"MMM")</f>
        <v>Feb</v>
      </c>
      <c r="I766" s="67">
        <f>YEAR(Data[[#This Row],[Buchung]])</f>
        <v>2017</v>
      </c>
      <c r="J766" s="2">
        <f>ABS(Data[[#This Row],[Betrag]])</f>
        <v>10</v>
      </c>
      <c r="K766" s="66" t="str">
        <f>IF(Data[[#This Row],[Betrag]]&lt;0,"A","E")</f>
        <v>A</v>
      </c>
    </row>
    <row r="767" spans="1:11" x14ac:dyDescent="0.25">
      <c r="A767" s="1">
        <v>42770</v>
      </c>
      <c r="B767" s="66" t="s">
        <v>63</v>
      </c>
      <c r="C767" s="66" t="s">
        <v>64</v>
      </c>
      <c r="D767" t="s">
        <v>65</v>
      </c>
      <c r="E767">
        <v>-60</v>
      </c>
      <c r="F767" s="66" t="s">
        <v>7</v>
      </c>
      <c r="G767" s="66" t="s">
        <v>11</v>
      </c>
      <c r="H767" s="66" t="str">
        <f>TEXT(Data[[#This Row],[Buchung]],"MMM")</f>
        <v>Feb</v>
      </c>
      <c r="I767" s="67">
        <f>YEAR(Data[[#This Row],[Buchung]])</f>
        <v>2017</v>
      </c>
      <c r="J767" s="2">
        <f>ABS(Data[[#This Row],[Betrag]])</f>
        <v>60</v>
      </c>
      <c r="K767" s="66" t="str">
        <f>IF(Data[[#This Row],[Betrag]]&lt;0,"A","E")</f>
        <v>A</v>
      </c>
    </row>
    <row r="768" spans="1:11" x14ac:dyDescent="0.25">
      <c r="A768" s="1">
        <v>42771</v>
      </c>
      <c r="B768" s="66" t="s">
        <v>54</v>
      </c>
      <c r="C768" s="66" t="s">
        <v>55</v>
      </c>
      <c r="D768" t="s">
        <v>66</v>
      </c>
      <c r="E768">
        <v>-80</v>
      </c>
      <c r="F768" s="66" t="s">
        <v>7</v>
      </c>
      <c r="G768" s="66" t="s">
        <v>57</v>
      </c>
      <c r="H768" s="66" t="str">
        <f>TEXT(Data[[#This Row],[Buchung]],"MMM")</f>
        <v>Feb</v>
      </c>
      <c r="I768" s="67">
        <f>YEAR(Data[[#This Row],[Buchung]])</f>
        <v>2017</v>
      </c>
      <c r="J768" s="2">
        <f>ABS(Data[[#This Row],[Betrag]])</f>
        <v>80</v>
      </c>
      <c r="K768" s="66" t="str">
        <f>IF(Data[[#This Row],[Betrag]]&lt;0,"A","E")</f>
        <v>A</v>
      </c>
    </row>
    <row r="769" spans="1:11" x14ac:dyDescent="0.25">
      <c r="A769" s="1">
        <v>42772</v>
      </c>
      <c r="B769" s="66" t="s">
        <v>67</v>
      </c>
      <c r="C769" s="66" t="s">
        <v>59</v>
      </c>
      <c r="D769" t="s">
        <v>68</v>
      </c>
      <c r="E769">
        <v>-30</v>
      </c>
      <c r="F769" s="66" t="s">
        <v>7</v>
      </c>
      <c r="G769" s="66" t="s">
        <v>10</v>
      </c>
      <c r="H769" s="66" t="str">
        <f>TEXT(Data[[#This Row],[Buchung]],"MMM")</f>
        <v>Feb</v>
      </c>
      <c r="I769" s="67">
        <f>YEAR(Data[[#This Row],[Buchung]])</f>
        <v>2017</v>
      </c>
      <c r="J769" s="2">
        <f>ABS(Data[[#This Row],[Betrag]])</f>
        <v>30</v>
      </c>
      <c r="K769" s="66" t="str">
        <f>IF(Data[[#This Row],[Betrag]]&lt;0,"A","E")</f>
        <v>A</v>
      </c>
    </row>
    <row r="770" spans="1:11" x14ac:dyDescent="0.25">
      <c r="A770" s="1">
        <v>42773</v>
      </c>
      <c r="B770" s="66" t="s">
        <v>45</v>
      </c>
      <c r="C770" s="66" t="s">
        <v>46</v>
      </c>
      <c r="D770" t="s">
        <v>47</v>
      </c>
      <c r="E770">
        <v>1000</v>
      </c>
      <c r="F770" s="66" t="s">
        <v>7</v>
      </c>
      <c r="G770" s="66" t="s">
        <v>9</v>
      </c>
      <c r="H770" s="66" t="str">
        <f>TEXT(Data[[#This Row],[Buchung]],"MMM")</f>
        <v>Feb</v>
      </c>
      <c r="I770" s="67">
        <f>YEAR(Data[[#This Row],[Buchung]])</f>
        <v>2017</v>
      </c>
      <c r="J770" s="2">
        <f>ABS(Data[[#This Row],[Betrag]])</f>
        <v>1000</v>
      </c>
      <c r="K770" s="66" t="str">
        <f>IF(Data[[#This Row],[Betrag]]&lt;0,"A","E")</f>
        <v>E</v>
      </c>
    </row>
    <row r="771" spans="1:11" x14ac:dyDescent="0.25">
      <c r="A771" s="1">
        <v>42774</v>
      </c>
      <c r="B771" s="66" t="s">
        <v>48</v>
      </c>
      <c r="C771" s="66" t="s">
        <v>49</v>
      </c>
      <c r="D771" t="s">
        <v>50</v>
      </c>
      <c r="E771">
        <v>-15</v>
      </c>
      <c r="F771" s="66" t="s">
        <v>7</v>
      </c>
      <c r="G771" s="66" t="s">
        <v>8</v>
      </c>
      <c r="H771" s="66" t="str">
        <f>TEXT(Data[[#This Row],[Buchung]],"MMM")</f>
        <v>Feb</v>
      </c>
      <c r="I771" s="67">
        <f>YEAR(Data[[#This Row],[Buchung]])</f>
        <v>2017</v>
      </c>
      <c r="J771" s="2">
        <f>ABS(Data[[#This Row],[Betrag]])</f>
        <v>15</v>
      </c>
      <c r="K771" s="66" t="str">
        <f>IF(Data[[#This Row],[Betrag]]&lt;0,"A","E")</f>
        <v>A</v>
      </c>
    </row>
    <row r="772" spans="1:11" x14ac:dyDescent="0.25">
      <c r="A772" s="1">
        <v>42775</v>
      </c>
      <c r="B772" s="66" t="s">
        <v>51</v>
      </c>
      <c r="C772" s="66" t="s">
        <v>52</v>
      </c>
      <c r="D772" t="s">
        <v>53</v>
      </c>
      <c r="E772">
        <v>-350</v>
      </c>
      <c r="F772" s="66" t="s">
        <v>7</v>
      </c>
      <c r="G772" s="66" t="s">
        <v>11</v>
      </c>
      <c r="H772" s="66" t="str">
        <f>TEXT(Data[[#This Row],[Buchung]],"MMM")</f>
        <v>Feb</v>
      </c>
      <c r="I772" s="67">
        <f>YEAR(Data[[#This Row],[Buchung]])</f>
        <v>2017</v>
      </c>
      <c r="J772" s="2">
        <f>ABS(Data[[#This Row],[Betrag]])</f>
        <v>350</v>
      </c>
      <c r="K772" s="66" t="str">
        <f>IF(Data[[#This Row],[Betrag]]&lt;0,"A","E")</f>
        <v>A</v>
      </c>
    </row>
    <row r="773" spans="1:11" x14ac:dyDescent="0.25">
      <c r="A773" s="1">
        <v>42776</v>
      </c>
      <c r="B773" s="66" t="s">
        <v>54</v>
      </c>
      <c r="C773" s="66" t="s">
        <v>55</v>
      </c>
      <c r="D773" t="s">
        <v>56</v>
      </c>
      <c r="E773">
        <v>-120</v>
      </c>
      <c r="F773" s="66" t="s">
        <v>7</v>
      </c>
      <c r="G773" s="66" t="s">
        <v>57</v>
      </c>
      <c r="H773" s="66" t="str">
        <f>TEXT(Data[[#This Row],[Buchung]],"MMM")</f>
        <v>Feb</v>
      </c>
      <c r="I773" s="67">
        <f>YEAR(Data[[#This Row],[Buchung]])</f>
        <v>2017</v>
      </c>
      <c r="J773" s="2">
        <f>ABS(Data[[#This Row],[Betrag]])</f>
        <v>120</v>
      </c>
      <c r="K773" s="66" t="str">
        <f>IF(Data[[#This Row],[Betrag]]&lt;0,"A","E")</f>
        <v>A</v>
      </c>
    </row>
    <row r="774" spans="1:11" x14ac:dyDescent="0.25">
      <c r="A774" s="1">
        <v>42777</v>
      </c>
      <c r="B774" s="66" t="s">
        <v>58</v>
      </c>
      <c r="C774" s="66" t="s">
        <v>59</v>
      </c>
      <c r="D774" t="s">
        <v>60</v>
      </c>
      <c r="E774">
        <v>-80</v>
      </c>
      <c r="F774" s="66" t="s">
        <v>7</v>
      </c>
      <c r="G774" s="66" t="s">
        <v>10</v>
      </c>
      <c r="H774" s="66" t="str">
        <f>TEXT(Data[[#This Row],[Buchung]],"MMM")</f>
        <v>Feb</v>
      </c>
      <c r="I774" s="67">
        <f>YEAR(Data[[#This Row],[Buchung]])</f>
        <v>2017</v>
      </c>
      <c r="J774" s="2">
        <f>ABS(Data[[#This Row],[Betrag]])</f>
        <v>80</v>
      </c>
      <c r="K774" s="66" t="str">
        <f>IF(Data[[#This Row],[Betrag]]&lt;0,"A","E")</f>
        <v>A</v>
      </c>
    </row>
    <row r="775" spans="1:11" x14ac:dyDescent="0.25">
      <c r="A775" s="1">
        <v>42778</v>
      </c>
      <c r="B775" s="66" t="s">
        <v>45</v>
      </c>
      <c r="C775" s="66" t="s">
        <v>46</v>
      </c>
      <c r="D775" t="s">
        <v>47</v>
      </c>
      <c r="E775">
        <v>1000</v>
      </c>
      <c r="F775" s="66" t="s">
        <v>7</v>
      </c>
      <c r="G775" s="66" t="s">
        <v>9</v>
      </c>
      <c r="H775" s="66" t="str">
        <f>TEXT(Data[[#This Row],[Buchung]],"MMM")</f>
        <v>Feb</v>
      </c>
      <c r="I775" s="67">
        <f>YEAR(Data[[#This Row],[Buchung]])</f>
        <v>2017</v>
      </c>
      <c r="J775" s="2">
        <f>ABS(Data[[#This Row],[Betrag]])</f>
        <v>1000</v>
      </c>
      <c r="K775" s="66" t="str">
        <f>IF(Data[[#This Row],[Betrag]]&lt;0,"A","E")</f>
        <v>E</v>
      </c>
    </row>
    <row r="776" spans="1:11" x14ac:dyDescent="0.25">
      <c r="A776" s="1">
        <v>42779</v>
      </c>
      <c r="B776" s="66" t="s">
        <v>61</v>
      </c>
      <c r="C776" s="66" t="s">
        <v>49</v>
      </c>
      <c r="D776" t="s">
        <v>62</v>
      </c>
      <c r="E776">
        <v>-10</v>
      </c>
      <c r="F776" s="66" t="s">
        <v>7</v>
      </c>
      <c r="G776" s="66" t="s">
        <v>8</v>
      </c>
      <c r="H776" s="66" t="str">
        <f>TEXT(Data[[#This Row],[Buchung]],"MMM")</f>
        <v>Feb</v>
      </c>
      <c r="I776" s="67">
        <f>YEAR(Data[[#This Row],[Buchung]])</f>
        <v>2017</v>
      </c>
      <c r="J776" s="2">
        <f>ABS(Data[[#This Row],[Betrag]])</f>
        <v>10</v>
      </c>
      <c r="K776" s="66" t="str">
        <f>IF(Data[[#This Row],[Betrag]]&lt;0,"A","E")</f>
        <v>A</v>
      </c>
    </row>
    <row r="777" spans="1:11" x14ac:dyDescent="0.25">
      <c r="A777" s="1">
        <v>42780</v>
      </c>
      <c r="B777" s="66" t="s">
        <v>63</v>
      </c>
      <c r="C777" s="66" t="s">
        <v>64</v>
      </c>
      <c r="D777" t="s">
        <v>65</v>
      </c>
      <c r="E777">
        <v>-65</v>
      </c>
      <c r="F777" s="66" t="s">
        <v>7</v>
      </c>
      <c r="G777" s="66" t="s">
        <v>11</v>
      </c>
      <c r="H777" s="66" t="str">
        <f>TEXT(Data[[#This Row],[Buchung]],"MMM")</f>
        <v>Feb</v>
      </c>
      <c r="I777" s="67">
        <f>YEAR(Data[[#This Row],[Buchung]])</f>
        <v>2017</v>
      </c>
      <c r="J777" s="2">
        <f>ABS(Data[[#This Row],[Betrag]])</f>
        <v>65</v>
      </c>
      <c r="K777" s="66" t="str">
        <f>IF(Data[[#This Row],[Betrag]]&lt;0,"A","E")</f>
        <v>A</v>
      </c>
    </row>
    <row r="778" spans="1:11" x14ac:dyDescent="0.25">
      <c r="A778" s="1">
        <v>42781</v>
      </c>
      <c r="B778" s="66" t="s">
        <v>54</v>
      </c>
      <c r="C778" s="66" t="s">
        <v>55</v>
      </c>
      <c r="D778" t="s">
        <v>66</v>
      </c>
      <c r="E778">
        <v>-80</v>
      </c>
      <c r="F778" s="66" t="s">
        <v>7</v>
      </c>
      <c r="G778" s="66" t="s">
        <v>57</v>
      </c>
      <c r="H778" s="66" t="str">
        <f>TEXT(Data[[#This Row],[Buchung]],"MMM")</f>
        <v>Feb</v>
      </c>
      <c r="I778" s="67">
        <f>YEAR(Data[[#This Row],[Buchung]])</f>
        <v>2017</v>
      </c>
      <c r="J778" s="2">
        <f>ABS(Data[[#This Row],[Betrag]])</f>
        <v>80</v>
      </c>
      <c r="K778" s="66" t="str">
        <f>IF(Data[[#This Row],[Betrag]]&lt;0,"A","E")</f>
        <v>A</v>
      </c>
    </row>
    <row r="779" spans="1:11" x14ac:dyDescent="0.25">
      <c r="A779" s="1">
        <v>42782</v>
      </c>
      <c r="B779" s="66" t="s">
        <v>67</v>
      </c>
      <c r="C779" s="66" t="s">
        <v>59</v>
      </c>
      <c r="D779" t="s">
        <v>68</v>
      </c>
      <c r="E779">
        <v>-35</v>
      </c>
      <c r="F779" s="66" t="s">
        <v>7</v>
      </c>
      <c r="G779" s="66" t="s">
        <v>10</v>
      </c>
      <c r="H779" s="66" t="str">
        <f>TEXT(Data[[#This Row],[Buchung]],"MMM")</f>
        <v>Feb</v>
      </c>
      <c r="I779" s="67">
        <f>YEAR(Data[[#This Row],[Buchung]])</f>
        <v>2017</v>
      </c>
      <c r="J779" s="2">
        <f>ABS(Data[[#This Row],[Betrag]])</f>
        <v>35</v>
      </c>
      <c r="K779" s="66" t="str">
        <f>IF(Data[[#This Row],[Betrag]]&lt;0,"A","E")</f>
        <v>A</v>
      </c>
    </row>
    <row r="780" spans="1:11" x14ac:dyDescent="0.25">
      <c r="A780" s="1">
        <v>42783</v>
      </c>
      <c r="B780" s="66" t="s">
        <v>45</v>
      </c>
      <c r="C780" s="66" t="s">
        <v>46</v>
      </c>
      <c r="D780" t="s">
        <v>47</v>
      </c>
      <c r="E780">
        <v>1000</v>
      </c>
      <c r="F780" s="66" t="s">
        <v>7</v>
      </c>
      <c r="G780" s="66" t="s">
        <v>9</v>
      </c>
      <c r="H780" s="66" t="str">
        <f>TEXT(Data[[#This Row],[Buchung]],"MMM")</f>
        <v>Feb</v>
      </c>
      <c r="I780" s="67">
        <f>YEAR(Data[[#This Row],[Buchung]])</f>
        <v>2017</v>
      </c>
      <c r="J780" s="2">
        <f>ABS(Data[[#This Row],[Betrag]])</f>
        <v>1000</v>
      </c>
      <c r="K780" s="66" t="str">
        <f>IF(Data[[#This Row],[Betrag]]&lt;0,"A","E")</f>
        <v>E</v>
      </c>
    </row>
    <row r="781" spans="1:11" x14ac:dyDescent="0.25">
      <c r="A781" s="1">
        <v>42784</v>
      </c>
      <c r="B781" s="66" t="s">
        <v>45</v>
      </c>
      <c r="C781" s="66" t="s">
        <v>46</v>
      </c>
      <c r="D781" t="s">
        <v>47</v>
      </c>
      <c r="E781">
        <v>1000</v>
      </c>
      <c r="F781" s="66" t="s">
        <v>7</v>
      </c>
      <c r="G781" s="66" t="s">
        <v>9</v>
      </c>
      <c r="H781" s="66" t="str">
        <f>TEXT(Data[[#This Row],[Buchung]],"MMM")</f>
        <v>Feb</v>
      </c>
      <c r="I781" s="67">
        <f>YEAR(Data[[#This Row],[Buchung]])</f>
        <v>2017</v>
      </c>
      <c r="J781" s="2">
        <f>ABS(Data[[#This Row],[Betrag]])</f>
        <v>1000</v>
      </c>
      <c r="K781" s="66" t="str">
        <f>IF(Data[[#This Row],[Betrag]]&lt;0,"A","E")</f>
        <v>E</v>
      </c>
    </row>
    <row r="782" spans="1:11" x14ac:dyDescent="0.25">
      <c r="A782" s="1">
        <v>42785</v>
      </c>
      <c r="B782" s="66" t="s">
        <v>48</v>
      </c>
      <c r="C782" s="66" t="s">
        <v>49</v>
      </c>
      <c r="D782" t="s">
        <v>50</v>
      </c>
      <c r="E782">
        <v>-15</v>
      </c>
      <c r="F782" s="66" t="s">
        <v>7</v>
      </c>
      <c r="G782" s="66" t="s">
        <v>8</v>
      </c>
      <c r="H782" s="66" t="str">
        <f>TEXT(Data[[#This Row],[Buchung]],"MMM")</f>
        <v>Feb</v>
      </c>
      <c r="I782" s="67">
        <f>YEAR(Data[[#This Row],[Buchung]])</f>
        <v>2017</v>
      </c>
      <c r="J782" s="2">
        <f>ABS(Data[[#This Row],[Betrag]])</f>
        <v>15</v>
      </c>
      <c r="K782" s="66" t="str">
        <f>IF(Data[[#This Row],[Betrag]]&lt;0,"A","E")</f>
        <v>A</v>
      </c>
    </row>
    <row r="783" spans="1:11" x14ac:dyDescent="0.25">
      <c r="A783" s="1">
        <v>42786</v>
      </c>
      <c r="B783" s="66" t="s">
        <v>51</v>
      </c>
      <c r="C783" s="66" t="s">
        <v>52</v>
      </c>
      <c r="D783" t="s">
        <v>53</v>
      </c>
      <c r="E783">
        <v>-350</v>
      </c>
      <c r="F783" s="66" t="s">
        <v>7</v>
      </c>
      <c r="G783" s="66" t="s">
        <v>11</v>
      </c>
      <c r="H783" s="66" t="str">
        <f>TEXT(Data[[#This Row],[Buchung]],"MMM")</f>
        <v>Feb</v>
      </c>
      <c r="I783" s="67">
        <f>YEAR(Data[[#This Row],[Buchung]])</f>
        <v>2017</v>
      </c>
      <c r="J783" s="2">
        <f>ABS(Data[[#This Row],[Betrag]])</f>
        <v>350</v>
      </c>
      <c r="K783" s="66" t="str">
        <f>IF(Data[[#This Row],[Betrag]]&lt;0,"A","E")</f>
        <v>A</v>
      </c>
    </row>
    <row r="784" spans="1:11" x14ac:dyDescent="0.25">
      <c r="A784" s="1">
        <v>42787</v>
      </c>
      <c r="B784" s="66" t="s">
        <v>54</v>
      </c>
      <c r="C784" s="66" t="s">
        <v>55</v>
      </c>
      <c r="D784" t="s">
        <v>56</v>
      </c>
      <c r="E784">
        <v>-120</v>
      </c>
      <c r="F784" s="66" t="s">
        <v>7</v>
      </c>
      <c r="G784" s="66" t="s">
        <v>57</v>
      </c>
      <c r="H784" s="66" t="str">
        <f>TEXT(Data[[#This Row],[Buchung]],"MMM")</f>
        <v>Feb</v>
      </c>
      <c r="I784" s="67">
        <f>YEAR(Data[[#This Row],[Buchung]])</f>
        <v>2017</v>
      </c>
      <c r="J784" s="2">
        <f>ABS(Data[[#This Row],[Betrag]])</f>
        <v>120</v>
      </c>
      <c r="K784" s="66" t="str">
        <f>IF(Data[[#This Row],[Betrag]]&lt;0,"A","E")</f>
        <v>A</v>
      </c>
    </row>
    <row r="785" spans="1:11" x14ac:dyDescent="0.25">
      <c r="A785" s="1">
        <v>42788</v>
      </c>
      <c r="B785" s="66" t="s">
        <v>58</v>
      </c>
      <c r="C785" s="66" t="s">
        <v>59</v>
      </c>
      <c r="D785" t="s">
        <v>60</v>
      </c>
      <c r="E785">
        <v>-50</v>
      </c>
      <c r="F785" s="66" t="s">
        <v>7</v>
      </c>
      <c r="G785" s="66" t="s">
        <v>10</v>
      </c>
      <c r="H785" s="66" t="str">
        <f>TEXT(Data[[#This Row],[Buchung]],"MMM")</f>
        <v>Feb</v>
      </c>
      <c r="I785" s="67">
        <f>YEAR(Data[[#This Row],[Buchung]])</f>
        <v>2017</v>
      </c>
      <c r="J785" s="2">
        <f>ABS(Data[[#This Row],[Betrag]])</f>
        <v>50</v>
      </c>
      <c r="K785" s="66" t="str">
        <f>IF(Data[[#This Row],[Betrag]]&lt;0,"A","E")</f>
        <v>A</v>
      </c>
    </row>
    <row r="786" spans="1:11" x14ac:dyDescent="0.25">
      <c r="A786" s="1">
        <v>42789</v>
      </c>
      <c r="B786" s="66" t="s">
        <v>45</v>
      </c>
      <c r="C786" s="66" t="s">
        <v>46</v>
      </c>
      <c r="D786" t="s">
        <v>47</v>
      </c>
      <c r="E786">
        <v>1000</v>
      </c>
      <c r="F786" s="66" t="s">
        <v>7</v>
      </c>
      <c r="G786" s="66" t="s">
        <v>9</v>
      </c>
      <c r="H786" s="66" t="str">
        <f>TEXT(Data[[#This Row],[Buchung]],"MMM")</f>
        <v>Feb</v>
      </c>
      <c r="I786" s="67">
        <f>YEAR(Data[[#This Row],[Buchung]])</f>
        <v>2017</v>
      </c>
      <c r="J786" s="2">
        <f>ABS(Data[[#This Row],[Betrag]])</f>
        <v>1000</v>
      </c>
      <c r="K786" s="66" t="str">
        <f>IF(Data[[#This Row],[Betrag]]&lt;0,"A","E")</f>
        <v>E</v>
      </c>
    </row>
    <row r="787" spans="1:11" x14ac:dyDescent="0.25">
      <c r="A787" s="1">
        <v>42790</v>
      </c>
      <c r="B787" s="66" t="s">
        <v>61</v>
      </c>
      <c r="C787" s="66" t="s">
        <v>49</v>
      </c>
      <c r="D787" t="s">
        <v>62</v>
      </c>
      <c r="E787">
        <v>-10</v>
      </c>
      <c r="F787" s="66" t="s">
        <v>7</v>
      </c>
      <c r="G787" s="66" t="s">
        <v>8</v>
      </c>
      <c r="H787" s="66" t="str">
        <f>TEXT(Data[[#This Row],[Buchung]],"MMM")</f>
        <v>Feb</v>
      </c>
      <c r="I787" s="67">
        <f>YEAR(Data[[#This Row],[Buchung]])</f>
        <v>2017</v>
      </c>
      <c r="J787" s="2">
        <f>ABS(Data[[#This Row],[Betrag]])</f>
        <v>10</v>
      </c>
      <c r="K787" s="66" t="str">
        <f>IF(Data[[#This Row],[Betrag]]&lt;0,"A","E")</f>
        <v>A</v>
      </c>
    </row>
    <row r="788" spans="1:11" x14ac:dyDescent="0.25">
      <c r="A788" s="1">
        <v>42791</v>
      </c>
      <c r="B788" s="66" t="s">
        <v>63</v>
      </c>
      <c r="C788" s="66" t="s">
        <v>64</v>
      </c>
      <c r="D788" t="s">
        <v>65</v>
      </c>
      <c r="E788">
        <v>-60</v>
      </c>
      <c r="F788" s="66" t="s">
        <v>7</v>
      </c>
      <c r="G788" s="66" t="s">
        <v>11</v>
      </c>
      <c r="H788" s="66" t="str">
        <f>TEXT(Data[[#This Row],[Buchung]],"MMM")</f>
        <v>Feb</v>
      </c>
      <c r="I788" s="67">
        <f>YEAR(Data[[#This Row],[Buchung]])</f>
        <v>2017</v>
      </c>
      <c r="J788" s="2">
        <f>ABS(Data[[#This Row],[Betrag]])</f>
        <v>60</v>
      </c>
      <c r="K788" s="66" t="str">
        <f>IF(Data[[#This Row],[Betrag]]&lt;0,"A","E")</f>
        <v>A</v>
      </c>
    </row>
    <row r="789" spans="1:11" x14ac:dyDescent="0.25">
      <c r="A789" s="1">
        <v>42792</v>
      </c>
      <c r="B789" s="66" t="s">
        <v>54</v>
      </c>
      <c r="C789" s="66" t="s">
        <v>55</v>
      </c>
      <c r="D789" t="s">
        <v>66</v>
      </c>
      <c r="E789">
        <v>-80</v>
      </c>
      <c r="F789" s="66" t="s">
        <v>7</v>
      </c>
      <c r="G789" s="66" t="s">
        <v>57</v>
      </c>
      <c r="H789" s="66" t="str">
        <f>TEXT(Data[[#This Row],[Buchung]],"MMM")</f>
        <v>Feb</v>
      </c>
      <c r="I789" s="67">
        <f>YEAR(Data[[#This Row],[Buchung]])</f>
        <v>2017</v>
      </c>
      <c r="J789" s="2">
        <f>ABS(Data[[#This Row],[Betrag]])</f>
        <v>80</v>
      </c>
      <c r="K789" s="66" t="str">
        <f>IF(Data[[#This Row],[Betrag]]&lt;0,"A","E")</f>
        <v>A</v>
      </c>
    </row>
    <row r="790" spans="1:11" x14ac:dyDescent="0.25">
      <c r="A790" s="1">
        <v>42793</v>
      </c>
      <c r="B790" s="66" t="s">
        <v>67</v>
      </c>
      <c r="C790" s="66" t="s">
        <v>59</v>
      </c>
      <c r="D790" t="s">
        <v>68</v>
      </c>
      <c r="E790">
        <v>-20</v>
      </c>
      <c r="F790" s="66" t="s">
        <v>7</v>
      </c>
      <c r="G790" s="66" t="s">
        <v>10</v>
      </c>
      <c r="H790" s="66" t="str">
        <f>TEXT(Data[[#This Row],[Buchung]],"MMM")</f>
        <v>Feb</v>
      </c>
      <c r="I790" s="67">
        <f>YEAR(Data[[#This Row],[Buchung]])</f>
        <v>2017</v>
      </c>
      <c r="J790" s="2">
        <f>ABS(Data[[#This Row],[Betrag]])</f>
        <v>20</v>
      </c>
      <c r="K790" s="66" t="str">
        <f>IF(Data[[#This Row],[Betrag]]&lt;0,"A","E")</f>
        <v>A</v>
      </c>
    </row>
    <row r="791" spans="1:11" x14ac:dyDescent="0.25">
      <c r="A791" s="1">
        <v>42794</v>
      </c>
      <c r="B791" s="66" t="s">
        <v>45</v>
      </c>
      <c r="C791" s="66" t="s">
        <v>46</v>
      </c>
      <c r="D791" t="s">
        <v>47</v>
      </c>
      <c r="E791">
        <v>1000</v>
      </c>
      <c r="F791" s="66" t="s">
        <v>7</v>
      </c>
      <c r="G791" s="66" t="s">
        <v>9</v>
      </c>
      <c r="H791" s="66" t="str">
        <f>TEXT(Data[[#This Row],[Buchung]],"MMM")</f>
        <v>Feb</v>
      </c>
      <c r="I791" s="67">
        <f>YEAR(Data[[#This Row],[Buchung]])</f>
        <v>2017</v>
      </c>
      <c r="J791" s="2">
        <f>ABS(Data[[#This Row],[Betrag]])</f>
        <v>1000</v>
      </c>
      <c r="K791" s="66" t="str">
        <f>IF(Data[[#This Row],[Betrag]]&lt;0,"A","E")</f>
        <v>E</v>
      </c>
    </row>
    <row r="792" spans="1:11" x14ac:dyDescent="0.25">
      <c r="A792" s="1">
        <v>42795</v>
      </c>
      <c r="B792" s="66" t="s">
        <v>48</v>
      </c>
      <c r="C792" s="66" t="s">
        <v>49</v>
      </c>
      <c r="D792" t="s">
        <v>50</v>
      </c>
      <c r="E792">
        <v>-15</v>
      </c>
      <c r="F792" s="66" t="s">
        <v>7</v>
      </c>
      <c r="G792" s="66" t="s">
        <v>8</v>
      </c>
      <c r="H792" s="66" t="str">
        <f>TEXT(Data[[#This Row],[Buchung]],"MMM")</f>
        <v>Mrz</v>
      </c>
      <c r="I792" s="67">
        <f>YEAR(Data[[#This Row],[Buchung]])</f>
        <v>2017</v>
      </c>
      <c r="J792" s="2">
        <f>ABS(Data[[#This Row],[Betrag]])</f>
        <v>15</v>
      </c>
      <c r="K792" s="66" t="str">
        <f>IF(Data[[#This Row],[Betrag]]&lt;0,"A","E")</f>
        <v>A</v>
      </c>
    </row>
    <row r="793" spans="1:11" x14ac:dyDescent="0.25">
      <c r="A793" s="1">
        <v>42796</v>
      </c>
      <c r="B793" s="66" t="s">
        <v>51</v>
      </c>
      <c r="C793" s="66" t="s">
        <v>52</v>
      </c>
      <c r="D793" t="s">
        <v>53</v>
      </c>
      <c r="E793">
        <v>-350</v>
      </c>
      <c r="F793" s="66" t="s">
        <v>7</v>
      </c>
      <c r="G793" s="66" t="s">
        <v>11</v>
      </c>
      <c r="H793" s="66" t="str">
        <f>TEXT(Data[[#This Row],[Buchung]],"MMM")</f>
        <v>Mrz</v>
      </c>
      <c r="I793" s="67">
        <f>YEAR(Data[[#This Row],[Buchung]])</f>
        <v>2017</v>
      </c>
      <c r="J793" s="2">
        <f>ABS(Data[[#This Row],[Betrag]])</f>
        <v>350</v>
      </c>
      <c r="K793" s="66" t="str">
        <f>IF(Data[[#This Row],[Betrag]]&lt;0,"A","E")</f>
        <v>A</v>
      </c>
    </row>
    <row r="794" spans="1:11" x14ac:dyDescent="0.25">
      <c r="A794" s="1">
        <v>42797</v>
      </c>
      <c r="B794" s="66" t="s">
        <v>54</v>
      </c>
      <c r="C794" s="66" t="s">
        <v>55</v>
      </c>
      <c r="D794" t="s">
        <v>56</v>
      </c>
      <c r="E794">
        <v>-120</v>
      </c>
      <c r="F794" s="66" t="s">
        <v>7</v>
      </c>
      <c r="G794" s="66" t="s">
        <v>57</v>
      </c>
      <c r="H794" s="66" t="str">
        <f>TEXT(Data[[#This Row],[Buchung]],"MMM")</f>
        <v>Mrz</v>
      </c>
      <c r="I794" s="67">
        <f>YEAR(Data[[#This Row],[Buchung]])</f>
        <v>2017</v>
      </c>
      <c r="J794" s="2">
        <f>ABS(Data[[#This Row],[Betrag]])</f>
        <v>120</v>
      </c>
      <c r="K794" s="66" t="str">
        <f>IF(Data[[#This Row],[Betrag]]&lt;0,"A","E")</f>
        <v>A</v>
      </c>
    </row>
    <row r="795" spans="1:11" x14ac:dyDescent="0.25">
      <c r="A795" s="1">
        <v>42798</v>
      </c>
      <c r="B795" s="66" t="s">
        <v>58</v>
      </c>
      <c r="C795" s="66" t="s">
        <v>59</v>
      </c>
      <c r="D795" t="s">
        <v>60</v>
      </c>
      <c r="E795">
        <v>-60</v>
      </c>
      <c r="F795" s="66" t="s">
        <v>7</v>
      </c>
      <c r="G795" s="66" t="s">
        <v>10</v>
      </c>
      <c r="H795" s="66" t="str">
        <f>TEXT(Data[[#This Row],[Buchung]],"MMM")</f>
        <v>Mrz</v>
      </c>
      <c r="I795" s="67">
        <f>YEAR(Data[[#This Row],[Buchung]])</f>
        <v>2017</v>
      </c>
      <c r="J795" s="2">
        <f>ABS(Data[[#This Row],[Betrag]])</f>
        <v>60</v>
      </c>
      <c r="K795" s="66" t="str">
        <f>IF(Data[[#This Row],[Betrag]]&lt;0,"A","E")</f>
        <v>A</v>
      </c>
    </row>
    <row r="796" spans="1:11" x14ac:dyDescent="0.25">
      <c r="A796" s="1">
        <v>42799</v>
      </c>
      <c r="B796" s="66" t="s">
        <v>45</v>
      </c>
      <c r="C796" s="66" t="s">
        <v>46</v>
      </c>
      <c r="D796" t="s">
        <v>47</v>
      </c>
      <c r="E796">
        <v>1000</v>
      </c>
      <c r="F796" s="66" t="s">
        <v>7</v>
      </c>
      <c r="G796" s="66" t="s">
        <v>9</v>
      </c>
      <c r="H796" s="66" t="str">
        <f>TEXT(Data[[#This Row],[Buchung]],"MMM")</f>
        <v>Mrz</v>
      </c>
      <c r="I796" s="67">
        <f>YEAR(Data[[#This Row],[Buchung]])</f>
        <v>2017</v>
      </c>
      <c r="J796" s="2">
        <f>ABS(Data[[#This Row],[Betrag]])</f>
        <v>1000</v>
      </c>
      <c r="K796" s="66" t="str">
        <f>IF(Data[[#This Row],[Betrag]]&lt;0,"A","E")</f>
        <v>E</v>
      </c>
    </row>
    <row r="797" spans="1:11" x14ac:dyDescent="0.25">
      <c r="A797" s="1">
        <v>42800</v>
      </c>
      <c r="B797" s="66" t="s">
        <v>61</v>
      </c>
      <c r="C797" s="66" t="s">
        <v>49</v>
      </c>
      <c r="D797" t="s">
        <v>62</v>
      </c>
      <c r="E797">
        <v>-10</v>
      </c>
      <c r="F797" s="66" t="s">
        <v>7</v>
      </c>
      <c r="G797" s="66" t="s">
        <v>8</v>
      </c>
      <c r="H797" s="66" t="str">
        <f>TEXT(Data[[#This Row],[Buchung]],"MMM")</f>
        <v>Mrz</v>
      </c>
      <c r="I797" s="67">
        <f>YEAR(Data[[#This Row],[Buchung]])</f>
        <v>2017</v>
      </c>
      <c r="J797" s="2">
        <f>ABS(Data[[#This Row],[Betrag]])</f>
        <v>10</v>
      </c>
      <c r="K797" s="66" t="str">
        <f>IF(Data[[#This Row],[Betrag]]&lt;0,"A","E")</f>
        <v>A</v>
      </c>
    </row>
    <row r="798" spans="1:11" x14ac:dyDescent="0.25">
      <c r="A798" s="1">
        <v>42801</v>
      </c>
      <c r="B798" s="66" t="s">
        <v>63</v>
      </c>
      <c r="C798" s="66" t="s">
        <v>64</v>
      </c>
      <c r="D798" t="s">
        <v>65</v>
      </c>
      <c r="E798">
        <v>-70</v>
      </c>
      <c r="F798" s="66" t="s">
        <v>7</v>
      </c>
      <c r="G798" s="66" t="s">
        <v>11</v>
      </c>
      <c r="H798" s="66" t="str">
        <f>TEXT(Data[[#This Row],[Buchung]],"MMM")</f>
        <v>Mrz</v>
      </c>
      <c r="I798" s="67">
        <f>YEAR(Data[[#This Row],[Buchung]])</f>
        <v>2017</v>
      </c>
      <c r="J798" s="2">
        <f>ABS(Data[[#This Row],[Betrag]])</f>
        <v>70</v>
      </c>
      <c r="K798" s="66" t="str">
        <f>IF(Data[[#This Row],[Betrag]]&lt;0,"A","E")</f>
        <v>A</v>
      </c>
    </row>
    <row r="799" spans="1:11" x14ac:dyDescent="0.25">
      <c r="A799" s="1">
        <v>42802</v>
      </c>
      <c r="B799" s="66" t="s">
        <v>54</v>
      </c>
      <c r="C799" s="66" t="s">
        <v>55</v>
      </c>
      <c r="D799" t="s">
        <v>66</v>
      </c>
      <c r="E799">
        <v>-80</v>
      </c>
      <c r="F799" s="66" t="s">
        <v>7</v>
      </c>
      <c r="G799" s="66" t="s">
        <v>57</v>
      </c>
      <c r="H799" s="66" t="str">
        <f>TEXT(Data[[#This Row],[Buchung]],"MMM")</f>
        <v>Mrz</v>
      </c>
      <c r="I799" s="67">
        <f>YEAR(Data[[#This Row],[Buchung]])</f>
        <v>2017</v>
      </c>
      <c r="J799" s="2">
        <f>ABS(Data[[#This Row],[Betrag]])</f>
        <v>80</v>
      </c>
      <c r="K799" s="66" t="str">
        <f>IF(Data[[#This Row],[Betrag]]&lt;0,"A","E")</f>
        <v>A</v>
      </c>
    </row>
    <row r="800" spans="1:11" x14ac:dyDescent="0.25">
      <c r="A800" s="1">
        <v>42803</v>
      </c>
      <c r="B800" s="66" t="s">
        <v>67</v>
      </c>
      <c r="C800" s="66" t="s">
        <v>59</v>
      </c>
      <c r="D800" t="s">
        <v>68</v>
      </c>
      <c r="E800">
        <v>-25</v>
      </c>
      <c r="F800" s="66" t="s">
        <v>7</v>
      </c>
      <c r="G800" s="66" t="s">
        <v>10</v>
      </c>
      <c r="H800" s="66" t="str">
        <f>TEXT(Data[[#This Row],[Buchung]],"MMM")</f>
        <v>Mrz</v>
      </c>
      <c r="I800" s="67">
        <f>YEAR(Data[[#This Row],[Buchung]])</f>
        <v>2017</v>
      </c>
      <c r="J800" s="2">
        <f>ABS(Data[[#This Row],[Betrag]])</f>
        <v>25</v>
      </c>
      <c r="K800" s="66" t="str">
        <f>IF(Data[[#This Row],[Betrag]]&lt;0,"A","E")</f>
        <v>A</v>
      </c>
    </row>
    <row r="801" spans="1:11" x14ac:dyDescent="0.25">
      <c r="A801" s="1">
        <v>42804</v>
      </c>
      <c r="B801" s="66" t="s">
        <v>45</v>
      </c>
      <c r="C801" s="66" t="s">
        <v>46</v>
      </c>
      <c r="D801" t="s">
        <v>47</v>
      </c>
      <c r="E801">
        <v>1000</v>
      </c>
      <c r="F801" s="66" t="s">
        <v>7</v>
      </c>
      <c r="G801" s="66" t="s">
        <v>9</v>
      </c>
      <c r="H801" s="66" t="str">
        <f>TEXT(Data[[#This Row],[Buchung]],"MMM")</f>
        <v>Mrz</v>
      </c>
      <c r="I801" s="67">
        <f>YEAR(Data[[#This Row],[Buchung]])</f>
        <v>2017</v>
      </c>
      <c r="J801" s="2">
        <f>ABS(Data[[#This Row],[Betrag]])</f>
        <v>1000</v>
      </c>
      <c r="K801" s="66" t="str">
        <f>IF(Data[[#This Row],[Betrag]]&lt;0,"A","E")</f>
        <v>E</v>
      </c>
    </row>
    <row r="802" spans="1:11" x14ac:dyDescent="0.25">
      <c r="A802" s="1">
        <v>42805</v>
      </c>
      <c r="B802" s="66" t="s">
        <v>48</v>
      </c>
      <c r="C802" s="66" t="s">
        <v>49</v>
      </c>
      <c r="D802" t="s">
        <v>50</v>
      </c>
      <c r="E802">
        <v>-15</v>
      </c>
      <c r="F802" s="66" t="s">
        <v>7</v>
      </c>
      <c r="G802" s="66" t="s">
        <v>8</v>
      </c>
      <c r="H802" s="66" t="str">
        <f>TEXT(Data[[#This Row],[Buchung]],"MMM")</f>
        <v>Mrz</v>
      </c>
      <c r="I802" s="67">
        <f>YEAR(Data[[#This Row],[Buchung]])</f>
        <v>2017</v>
      </c>
      <c r="J802" s="2">
        <f>ABS(Data[[#This Row],[Betrag]])</f>
        <v>15</v>
      </c>
      <c r="K802" s="66" t="str">
        <f>IF(Data[[#This Row],[Betrag]]&lt;0,"A","E")</f>
        <v>A</v>
      </c>
    </row>
    <row r="803" spans="1:11" x14ac:dyDescent="0.25">
      <c r="A803" s="1">
        <v>42806</v>
      </c>
      <c r="B803" s="66" t="s">
        <v>51</v>
      </c>
      <c r="C803" s="66" t="s">
        <v>52</v>
      </c>
      <c r="D803" t="s">
        <v>53</v>
      </c>
      <c r="E803">
        <v>-350</v>
      </c>
      <c r="F803" s="66" t="s">
        <v>7</v>
      </c>
      <c r="G803" s="66" t="s">
        <v>11</v>
      </c>
      <c r="H803" s="66" t="str">
        <f>TEXT(Data[[#This Row],[Buchung]],"MMM")</f>
        <v>Mrz</v>
      </c>
      <c r="I803" s="67">
        <f>YEAR(Data[[#This Row],[Buchung]])</f>
        <v>2017</v>
      </c>
      <c r="J803" s="2">
        <f>ABS(Data[[#This Row],[Betrag]])</f>
        <v>350</v>
      </c>
      <c r="K803" s="66" t="str">
        <f>IF(Data[[#This Row],[Betrag]]&lt;0,"A","E")</f>
        <v>A</v>
      </c>
    </row>
    <row r="804" spans="1:11" x14ac:dyDescent="0.25">
      <c r="A804" s="1">
        <v>42807</v>
      </c>
      <c r="B804" s="66" t="s">
        <v>54</v>
      </c>
      <c r="C804" s="66" t="s">
        <v>55</v>
      </c>
      <c r="D804" t="s">
        <v>56</v>
      </c>
      <c r="E804">
        <v>-120</v>
      </c>
      <c r="F804" s="66" t="s">
        <v>7</v>
      </c>
      <c r="G804" s="66" t="s">
        <v>57</v>
      </c>
      <c r="H804" s="66" t="str">
        <f>TEXT(Data[[#This Row],[Buchung]],"MMM")</f>
        <v>Mrz</v>
      </c>
      <c r="I804" s="67">
        <f>YEAR(Data[[#This Row],[Buchung]])</f>
        <v>2017</v>
      </c>
      <c r="J804" s="2">
        <f>ABS(Data[[#This Row],[Betrag]])</f>
        <v>120</v>
      </c>
      <c r="K804" s="66" t="str">
        <f>IF(Data[[#This Row],[Betrag]]&lt;0,"A","E")</f>
        <v>A</v>
      </c>
    </row>
    <row r="805" spans="1:11" x14ac:dyDescent="0.25">
      <c r="A805" s="1">
        <v>42808</v>
      </c>
      <c r="B805" s="66" t="s">
        <v>58</v>
      </c>
      <c r="C805" s="66" t="s">
        <v>59</v>
      </c>
      <c r="D805" t="s">
        <v>60</v>
      </c>
      <c r="E805">
        <v>-70</v>
      </c>
      <c r="F805" s="66" t="s">
        <v>7</v>
      </c>
      <c r="G805" s="66" t="s">
        <v>10</v>
      </c>
      <c r="H805" s="66" t="str">
        <f>TEXT(Data[[#This Row],[Buchung]],"MMM")</f>
        <v>Mrz</v>
      </c>
      <c r="I805" s="67">
        <f>YEAR(Data[[#This Row],[Buchung]])</f>
        <v>2017</v>
      </c>
      <c r="J805" s="2">
        <f>ABS(Data[[#This Row],[Betrag]])</f>
        <v>70</v>
      </c>
      <c r="K805" s="66" t="str">
        <f>IF(Data[[#This Row],[Betrag]]&lt;0,"A","E")</f>
        <v>A</v>
      </c>
    </row>
    <row r="806" spans="1:11" x14ac:dyDescent="0.25">
      <c r="A806" s="1">
        <v>42809</v>
      </c>
      <c r="B806" s="66" t="s">
        <v>45</v>
      </c>
      <c r="C806" s="66" t="s">
        <v>46</v>
      </c>
      <c r="D806" t="s">
        <v>47</v>
      </c>
      <c r="E806">
        <v>1000</v>
      </c>
      <c r="F806" s="66" t="s">
        <v>7</v>
      </c>
      <c r="G806" s="66" t="s">
        <v>9</v>
      </c>
      <c r="H806" s="66" t="str">
        <f>TEXT(Data[[#This Row],[Buchung]],"MMM")</f>
        <v>Mrz</v>
      </c>
      <c r="I806" s="67">
        <f>YEAR(Data[[#This Row],[Buchung]])</f>
        <v>2017</v>
      </c>
      <c r="J806" s="2">
        <f>ABS(Data[[#This Row],[Betrag]])</f>
        <v>1000</v>
      </c>
      <c r="K806" s="66" t="str">
        <f>IF(Data[[#This Row],[Betrag]]&lt;0,"A","E")</f>
        <v>E</v>
      </c>
    </row>
    <row r="807" spans="1:11" x14ac:dyDescent="0.25">
      <c r="A807" s="1">
        <v>42810</v>
      </c>
      <c r="B807" s="66" t="s">
        <v>61</v>
      </c>
      <c r="C807" s="66" t="s">
        <v>49</v>
      </c>
      <c r="D807" t="s">
        <v>62</v>
      </c>
      <c r="E807">
        <v>-10</v>
      </c>
      <c r="F807" s="66" t="s">
        <v>7</v>
      </c>
      <c r="G807" s="66" t="s">
        <v>8</v>
      </c>
      <c r="H807" s="66" t="str">
        <f>TEXT(Data[[#This Row],[Buchung]],"MMM")</f>
        <v>Mrz</v>
      </c>
      <c r="I807" s="67">
        <f>YEAR(Data[[#This Row],[Buchung]])</f>
        <v>2017</v>
      </c>
      <c r="J807" s="2">
        <f>ABS(Data[[#This Row],[Betrag]])</f>
        <v>10</v>
      </c>
      <c r="K807" s="66" t="str">
        <f>IF(Data[[#This Row],[Betrag]]&lt;0,"A","E")</f>
        <v>A</v>
      </c>
    </row>
    <row r="808" spans="1:11" x14ac:dyDescent="0.25">
      <c r="A808" s="1">
        <v>42811</v>
      </c>
      <c r="B808" s="66" t="s">
        <v>63</v>
      </c>
      <c r="C808" s="66" t="s">
        <v>64</v>
      </c>
      <c r="D808" t="s">
        <v>65</v>
      </c>
      <c r="E808">
        <v>-60</v>
      </c>
      <c r="F808" s="66" t="s">
        <v>7</v>
      </c>
      <c r="G808" s="66" t="s">
        <v>11</v>
      </c>
      <c r="H808" s="66" t="str">
        <f>TEXT(Data[[#This Row],[Buchung]],"MMM")</f>
        <v>Mrz</v>
      </c>
      <c r="I808" s="67">
        <f>YEAR(Data[[#This Row],[Buchung]])</f>
        <v>2017</v>
      </c>
      <c r="J808" s="2">
        <f>ABS(Data[[#This Row],[Betrag]])</f>
        <v>60</v>
      </c>
      <c r="K808" s="66" t="str">
        <f>IF(Data[[#This Row],[Betrag]]&lt;0,"A","E")</f>
        <v>A</v>
      </c>
    </row>
    <row r="809" spans="1:11" x14ac:dyDescent="0.25">
      <c r="A809" s="1">
        <v>42812</v>
      </c>
      <c r="B809" s="66" t="s">
        <v>54</v>
      </c>
      <c r="C809" s="66" t="s">
        <v>55</v>
      </c>
      <c r="D809" t="s">
        <v>66</v>
      </c>
      <c r="E809">
        <v>-80</v>
      </c>
      <c r="F809" s="66" t="s">
        <v>7</v>
      </c>
      <c r="G809" s="66" t="s">
        <v>57</v>
      </c>
      <c r="H809" s="66" t="str">
        <f>TEXT(Data[[#This Row],[Buchung]],"MMM")</f>
        <v>Mrz</v>
      </c>
      <c r="I809" s="67">
        <f>YEAR(Data[[#This Row],[Buchung]])</f>
        <v>2017</v>
      </c>
      <c r="J809" s="2">
        <f>ABS(Data[[#This Row],[Betrag]])</f>
        <v>80</v>
      </c>
      <c r="K809" s="66" t="str">
        <f>IF(Data[[#This Row],[Betrag]]&lt;0,"A","E")</f>
        <v>A</v>
      </c>
    </row>
    <row r="810" spans="1:11" x14ac:dyDescent="0.25">
      <c r="A810" s="1">
        <v>42813</v>
      </c>
      <c r="B810" s="66" t="s">
        <v>67</v>
      </c>
      <c r="C810" s="66" t="s">
        <v>59</v>
      </c>
      <c r="D810" t="s">
        <v>68</v>
      </c>
      <c r="E810">
        <v>-30</v>
      </c>
      <c r="F810" s="66" t="s">
        <v>7</v>
      </c>
      <c r="G810" s="66" t="s">
        <v>10</v>
      </c>
      <c r="H810" s="66" t="str">
        <f>TEXT(Data[[#This Row],[Buchung]],"MMM")</f>
        <v>Mrz</v>
      </c>
      <c r="I810" s="67">
        <f>YEAR(Data[[#This Row],[Buchung]])</f>
        <v>2017</v>
      </c>
      <c r="J810" s="2">
        <f>ABS(Data[[#This Row],[Betrag]])</f>
        <v>30</v>
      </c>
      <c r="K810" s="66" t="str">
        <f>IF(Data[[#This Row],[Betrag]]&lt;0,"A","E")</f>
        <v>A</v>
      </c>
    </row>
    <row r="811" spans="1:11" x14ac:dyDescent="0.25">
      <c r="A811" s="1">
        <v>42814</v>
      </c>
      <c r="B811" s="66" t="s">
        <v>45</v>
      </c>
      <c r="C811" s="66" t="s">
        <v>46</v>
      </c>
      <c r="D811" t="s">
        <v>47</v>
      </c>
      <c r="E811">
        <v>1000</v>
      </c>
      <c r="F811" s="66" t="s">
        <v>7</v>
      </c>
      <c r="G811" s="66" t="s">
        <v>9</v>
      </c>
      <c r="H811" s="66" t="str">
        <f>TEXT(Data[[#This Row],[Buchung]],"MMM")</f>
        <v>Mrz</v>
      </c>
      <c r="I811" s="67">
        <f>YEAR(Data[[#This Row],[Buchung]])</f>
        <v>2017</v>
      </c>
      <c r="J811" s="2">
        <f>ABS(Data[[#This Row],[Betrag]])</f>
        <v>1000</v>
      </c>
      <c r="K811" s="66" t="str">
        <f>IF(Data[[#This Row],[Betrag]]&lt;0,"A","E")</f>
        <v>E</v>
      </c>
    </row>
    <row r="812" spans="1:11" x14ac:dyDescent="0.25">
      <c r="A812" s="1">
        <v>42815</v>
      </c>
      <c r="B812" s="66" t="s">
        <v>48</v>
      </c>
      <c r="C812" s="66" t="s">
        <v>49</v>
      </c>
      <c r="D812" t="s">
        <v>50</v>
      </c>
      <c r="E812">
        <v>-15</v>
      </c>
      <c r="F812" s="66" t="s">
        <v>7</v>
      </c>
      <c r="G812" s="66" t="s">
        <v>8</v>
      </c>
      <c r="H812" s="66" t="str">
        <f>TEXT(Data[[#This Row],[Buchung]],"MMM")</f>
        <v>Mrz</v>
      </c>
      <c r="I812" s="67">
        <f>YEAR(Data[[#This Row],[Buchung]])</f>
        <v>2017</v>
      </c>
      <c r="J812" s="2">
        <f>ABS(Data[[#This Row],[Betrag]])</f>
        <v>15</v>
      </c>
      <c r="K812" s="66" t="str">
        <f>IF(Data[[#This Row],[Betrag]]&lt;0,"A","E")</f>
        <v>A</v>
      </c>
    </row>
    <row r="813" spans="1:11" x14ac:dyDescent="0.25">
      <c r="A813" s="1">
        <v>42816</v>
      </c>
      <c r="B813" s="66" t="s">
        <v>51</v>
      </c>
      <c r="C813" s="66" t="s">
        <v>52</v>
      </c>
      <c r="D813" t="s">
        <v>53</v>
      </c>
      <c r="E813">
        <v>-350</v>
      </c>
      <c r="F813" s="66" t="s">
        <v>7</v>
      </c>
      <c r="G813" s="66" t="s">
        <v>11</v>
      </c>
      <c r="H813" s="66" t="str">
        <f>TEXT(Data[[#This Row],[Buchung]],"MMM")</f>
        <v>Mrz</v>
      </c>
      <c r="I813" s="67">
        <f>YEAR(Data[[#This Row],[Buchung]])</f>
        <v>2017</v>
      </c>
      <c r="J813" s="2">
        <f>ABS(Data[[#This Row],[Betrag]])</f>
        <v>350</v>
      </c>
      <c r="K813" s="66" t="str">
        <f>IF(Data[[#This Row],[Betrag]]&lt;0,"A","E")</f>
        <v>A</v>
      </c>
    </row>
    <row r="814" spans="1:11" x14ac:dyDescent="0.25">
      <c r="A814" s="1">
        <v>42817</v>
      </c>
      <c r="B814" s="66" t="s">
        <v>54</v>
      </c>
      <c r="C814" s="66" t="s">
        <v>55</v>
      </c>
      <c r="D814" t="s">
        <v>56</v>
      </c>
      <c r="E814">
        <v>-120</v>
      </c>
      <c r="F814" s="66" t="s">
        <v>7</v>
      </c>
      <c r="G814" s="66" t="s">
        <v>57</v>
      </c>
      <c r="H814" s="66" t="str">
        <f>TEXT(Data[[#This Row],[Buchung]],"MMM")</f>
        <v>Mrz</v>
      </c>
      <c r="I814" s="67">
        <f>YEAR(Data[[#This Row],[Buchung]])</f>
        <v>2017</v>
      </c>
      <c r="J814" s="2">
        <f>ABS(Data[[#This Row],[Betrag]])</f>
        <v>120</v>
      </c>
      <c r="K814" s="66" t="str">
        <f>IF(Data[[#This Row],[Betrag]]&lt;0,"A","E")</f>
        <v>A</v>
      </c>
    </row>
    <row r="815" spans="1:11" x14ac:dyDescent="0.25">
      <c r="A815" s="1">
        <v>42818</v>
      </c>
      <c r="B815" s="66" t="s">
        <v>58</v>
      </c>
      <c r="C815" s="66" t="s">
        <v>59</v>
      </c>
      <c r="D815" t="s">
        <v>60</v>
      </c>
      <c r="E815">
        <v>-80</v>
      </c>
      <c r="F815" s="66" t="s">
        <v>7</v>
      </c>
      <c r="G815" s="66" t="s">
        <v>10</v>
      </c>
      <c r="H815" s="66" t="str">
        <f>TEXT(Data[[#This Row],[Buchung]],"MMM")</f>
        <v>Mrz</v>
      </c>
      <c r="I815" s="67">
        <f>YEAR(Data[[#This Row],[Buchung]])</f>
        <v>2017</v>
      </c>
      <c r="J815" s="2">
        <f>ABS(Data[[#This Row],[Betrag]])</f>
        <v>80</v>
      </c>
      <c r="K815" s="66" t="str">
        <f>IF(Data[[#This Row],[Betrag]]&lt;0,"A","E")</f>
        <v>A</v>
      </c>
    </row>
    <row r="816" spans="1:11" x14ac:dyDescent="0.25">
      <c r="A816" s="1">
        <v>42819</v>
      </c>
      <c r="B816" s="66" t="s">
        <v>45</v>
      </c>
      <c r="C816" s="66" t="s">
        <v>46</v>
      </c>
      <c r="D816" t="s">
        <v>47</v>
      </c>
      <c r="E816">
        <v>1000</v>
      </c>
      <c r="F816" s="66" t="s">
        <v>7</v>
      </c>
      <c r="G816" s="66" t="s">
        <v>9</v>
      </c>
      <c r="H816" s="66" t="str">
        <f>TEXT(Data[[#This Row],[Buchung]],"MMM")</f>
        <v>Mrz</v>
      </c>
      <c r="I816" s="67">
        <f>YEAR(Data[[#This Row],[Buchung]])</f>
        <v>2017</v>
      </c>
      <c r="J816" s="2">
        <f>ABS(Data[[#This Row],[Betrag]])</f>
        <v>1000</v>
      </c>
      <c r="K816" s="66" t="str">
        <f>IF(Data[[#This Row],[Betrag]]&lt;0,"A","E")</f>
        <v>E</v>
      </c>
    </row>
    <row r="817" spans="1:11" x14ac:dyDescent="0.25">
      <c r="A817" s="1">
        <v>42820</v>
      </c>
      <c r="B817" s="66" t="s">
        <v>61</v>
      </c>
      <c r="C817" s="66" t="s">
        <v>49</v>
      </c>
      <c r="D817" t="s">
        <v>62</v>
      </c>
      <c r="E817">
        <v>-10</v>
      </c>
      <c r="F817" s="66" t="s">
        <v>7</v>
      </c>
      <c r="G817" s="66" t="s">
        <v>8</v>
      </c>
      <c r="H817" s="66" t="str">
        <f>TEXT(Data[[#This Row],[Buchung]],"MMM")</f>
        <v>Mrz</v>
      </c>
      <c r="I817" s="67">
        <f>YEAR(Data[[#This Row],[Buchung]])</f>
        <v>2017</v>
      </c>
      <c r="J817" s="2">
        <f>ABS(Data[[#This Row],[Betrag]])</f>
        <v>10</v>
      </c>
      <c r="K817" s="66" t="str">
        <f>IF(Data[[#This Row],[Betrag]]&lt;0,"A","E")</f>
        <v>A</v>
      </c>
    </row>
    <row r="818" spans="1:11" x14ac:dyDescent="0.25">
      <c r="A818" s="1">
        <v>42821</v>
      </c>
      <c r="B818" s="66" t="s">
        <v>63</v>
      </c>
      <c r="C818" s="66" t="s">
        <v>64</v>
      </c>
      <c r="D818" t="s">
        <v>65</v>
      </c>
      <c r="E818">
        <v>-65</v>
      </c>
      <c r="F818" s="66" t="s">
        <v>7</v>
      </c>
      <c r="G818" s="66" t="s">
        <v>11</v>
      </c>
      <c r="H818" s="66" t="str">
        <f>TEXT(Data[[#This Row],[Buchung]],"MMM")</f>
        <v>Mrz</v>
      </c>
      <c r="I818" s="67">
        <f>YEAR(Data[[#This Row],[Buchung]])</f>
        <v>2017</v>
      </c>
      <c r="J818" s="2">
        <f>ABS(Data[[#This Row],[Betrag]])</f>
        <v>65</v>
      </c>
      <c r="K818" s="66" t="str">
        <f>IF(Data[[#This Row],[Betrag]]&lt;0,"A","E")</f>
        <v>A</v>
      </c>
    </row>
    <row r="819" spans="1:11" x14ac:dyDescent="0.25">
      <c r="A819" s="1">
        <v>42822</v>
      </c>
      <c r="B819" s="66" t="s">
        <v>54</v>
      </c>
      <c r="C819" s="66" t="s">
        <v>55</v>
      </c>
      <c r="D819" t="s">
        <v>66</v>
      </c>
      <c r="E819">
        <v>-80</v>
      </c>
      <c r="F819" s="66" t="s">
        <v>7</v>
      </c>
      <c r="G819" s="66" t="s">
        <v>57</v>
      </c>
      <c r="H819" s="66" t="str">
        <f>TEXT(Data[[#This Row],[Buchung]],"MMM")</f>
        <v>Mrz</v>
      </c>
      <c r="I819" s="67">
        <f>YEAR(Data[[#This Row],[Buchung]])</f>
        <v>2017</v>
      </c>
      <c r="J819" s="2">
        <f>ABS(Data[[#This Row],[Betrag]])</f>
        <v>80</v>
      </c>
      <c r="K819" s="66" t="str">
        <f>IF(Data[[#This Row],[Betrag]]&lt;0,"A","E")</f>
        <v>A</v>
      </c>
    </row>
    <row r="820" spans="1:11" x14ac:dyDescent="0.25">
      <c r="A820" s="1">
        <v>42823</v>
      </c>
      <c r="B820" s="66" t="s">
        <v>67</v>
      </c>
      <c r="C820" s="66" t="s">
        <v>59</v>
      </c>
      <c r="D820" t="s">
        <v>68</v>
      </c>
      <c r="E820">
        <v>-35</v>
      </c>
      <c r="F820" s="66" t="s">
        <v>7</v>
      </c>
      <c r="G820" s="66" t="s">
        <v>10</v>
      </c>
      <c r="H820" s="66" t="str">
        <f>TEXT(Data[[#This Row],[Buchung]],"MMM")</f>
        <v>Mrz</v>
      </c>
      <c r="I820" s="67">
        <f>YEAR(Data[[#This Row],[Buchung]])</f>
        <v>2017</v>
      </c>
      <c r="J820" s="2">
        <f>ABS(Data[[#This Row],[Betrag]])</f>
        <v>35</v>
      </c>
      <c r="K820" s="66" t="str">
        <f>IF(Data[[#This Row],[Betrag]]&lt;0,"A","E")</f>
        <v>A</v>
      </c>
    </row>
    <row r="821" spans="1:11" x14ac:dyDescent="0.25">
      <c r="A821" s="1">
        <v>42824</v>
      </c>
      <c r="B821" s="66" t="s">
        <v>45</v>
      </c>
      <c r="C821" s="66" t="s">
        <v>46</v>
      </c>
      <c r="D821" t="s">
        <v>47</v>
      </c>
      <c r="E821">
        <v>1000</v>
      </c>
      <c r="F821" s="66" t="s">
        <v>7</v>
      </c>
      <c r="G821" s="66" t="s">
        <v>9</v>
      </c>
      <c r="H821" s="66" t="str">
        <f>TEXT(Data[[#This Row],[Buchung]],"MMM")</f>
        <v>Mrz</v>
      </c>
      <c r="I821" s="67">
        <f>YEAR(Data[[#This Row],[Buchung]])</f>
        <v>2017</v>
      </c>
      <c r="J821" s="2">
        <f>ABS(Data[[#This Row],[Betrag]])</f>
        <v>1000</v>
      </c>
      <c r="K821" s="66" t="str">
        <f>IF(Data[[#This Row],[Betrag]]&lt;0,"A","E")</f>
        <v>E</v>
      </c>
    </row>
    <row r="822" spans="1:11" x14ac:dyDescent="0.25">
      <c r="A822" s="1">
        <v>42825</v>
      </c>
      <c r="B822" s="66" t="s">
        <v>45</v>
      </c>
      <c r="C822" s="66" t="s">
        <v>46</v>
      </c>
      <c r="D822" t="s">
        <v>47</v>
      </c>
      <c r="E822">
        <v>1000</v>
      </c>
      <c r="F822" s="66" t="s">
        <v>7</v>
      </c>
      <c r="G822" s="66" t="s">
        <v>9</v>
      </c>
      <c r="H822" s="66" t="str">
        <f>TEXT(Data[[#This Row],[Buchung]],"MMM")</f>
        <v>Mrz</v>
      </c>
      <c r="I822" s="67">
        <f>YEAR(Data[[#This Row],[Buchung]])</f>
        <v>2017</v>
      </c>
      <c r="J822" s="2">
        <f>ABS(Data[[#This Row],[Betrag]])</f>
        <v>1000</v>
      </c>
      <c r="K822" s="66" t="str">
        <f>IF(Data[[#This Row],[Betrag]]&lt;0,"A","E")</f>
        <v>E</v>
      </c>
    </row>
    <row r="823" spans="1:11" x14ac:dyDescent="0.25">
      <c r="A823" s="1">
        <v>42826</v>
      </c>
      <c r="B823" s="66" t="s">
        <v>48</v>
      </c>
      <c r="C823" s="66" t="s">
        <v>49</v>
      </c>
      <c r="D823" t="s">
        <v>50</v>
      </c>
      <c r="E823">
        <v>-15</v>
      </c>
      <c r="F823" s="66" t="s">
        <v>7</v>
      </c>
      <c r="G823" s="66" t="s">
        <v>8</v>
      </c>
      <c r="H823" s="66" t="str">
        <f>TEXT(Data[[#This Row],[Buchung]],"MMM")</f>
        <v>Apr</v>
      </c>
      <c r="I823" s="67">
        <f>YEAR(Data[[#This Row],[Buchung]])</f>
        <v>2017</v>
      </c>
      <c r="J823" s="2">
        <f>ABS(Data[[#This Row],[Betrag]])</f>
        <v>15</v>
      </c>
      <c r="K823" s="66" t="str">
        <f>IF(Data[[#This Row],[Betrag]]&lt;0,"A","E")</f>
        <v>A</v>
      </c>
    </row>
    <row r="824" spans="1:11" x14ac:dyDescent="0.25">
      <c r="A824" s="1">
        <v>42827</v>
      </c>
      <c r="B824" s="66" t="s">
        <v>51</v>
      </c>
      <c r="C824" s="66" t="s">
        <v>52</v>
      </c>
      <c r="D824" t="s">
        <v>53</v>
      </c>
      <c r="E824">
        <v>-350</v>
      </c>
      <c r="F824" s="66" t="s">
        <v>7</v>
      </c>
      <c r="G824" s="66" t="s">
        <v>11</v>
      </c>
      <c r="H824" s="66" t="str">
        <f>TEXT(Data[[#This Row],[Buchung]],"MMM")</f>
        <v>Apr</v>
      </c>
      <c r="I824" s="67">
        <f>YEAR(Data[[#This Row],[Buchung]])</f>
        <v>2017</v>
      </c>
      <c r="J824" s="2">
        <f>ABS(Data[[#This Row],[Betrag]])</f>
        <v>350</v>
      </c>
      <c r="K824" s="66" t="str">
        <f>IF(Data[[#This Row],[Betrag]]&lt;0,"A","E")</f>
        <v>A</v>
      </c>
    </row>
    <row r="825" spans="1:11" x14ac:dyDescent="0.25">
      <c r="A825" s="1">
        <v>42828</v>
      </c>
      <c r="B825" s="66" t="s">
        <v>54</v>
      </c>
      <c r="C825" s="66" t="s">
        <v>55</v>
      </c>
      <c r="D825" t="s">
        <v>56</v>
      </c>
      <c r="E825">
        <v>-120</v>
      </c>
      <c r="F825" s="66" t="s">
        <v>7</v>
      </c>
      <c r="G825" s="66" t="s">
        <v>57</v>
      </c>
      <c r="H825" s="66" t="str">
        <f>TEXT(Data[[#This Row],[Buchung]],"MMM")</f>
        <v>Apr</v>
      </c>
      <c r="I825" s="67">
        <f>YEAR(Data[[#This Row],[Buchung]])</f>
        <v>2017</v>
      </c>
      <c r="J825" s="2">
        <f>ABS(Data[[#This Row],[Betrag]])</f>
        <v>120</v>
      </c>
      <c r="K825" s="66" t="str">
        <f>IF(Data[[#This Row],[Betrag]]&lt;0,"A","E")</f>
        <v>A</v>
      </c>
    </row>
    <row r="826" spans="1:11" x14ac:dyDescent="0.25">
      <c r="A826" s="1">
        <v>42829</v>
      </c>
      <c r="B826" s="66" t="s">
        <v>58</v>
      </c>
      <c r="C826" s="66" t="s">
        <v>59</v>
      </c>
      <c r="D826" t="s">
        <v>60</v>
      </c>
      <c r="E826">
        <v>-50</v>
      </c>
      <c r="F826" s="66" t="s">
        <v>7</v>
      </c>
      <c r="G826" s="66" t="s">
        <v>10</v>
      </c>
      <c r="H826" s="66" t="str">
        <f>TEXT(Data[[#This Row],[Buchung]],"MMM")</f>
        <v>Apr</v>
      </c>
      <c r="I826" s="67">
        <f>YEAR(Data[[#This Row],[Buchung]])</f>
        <v>2017</v>
      </c>
      <c r="J826" s="2">
        <f>ABS(Data[[#This Row],[Betrag]])</f>
        <v>50</v>
      </c>
      <c r="K826" s="66" t="str">
        <f>IF(Data[[#This Row],[Betrag]]&lt;0,"A","E")</f>
        <v>A</v>
      </c>
    </row>
    <row r="827" spans="1:11" x14ac:dyDescent="0.25">
      <c r="A827" s="1">
        <v>42830</v>
      </c>
      <c r="B827" s="66" t="s">
        <v>45</v>
      </c>
      <c r="C827" s="66" t="s">
        <v>46</v>
      </c>
      <c r="D827" t="s">
        <v>47</v>
      </c>
      <c r="E827">
        <v>1000</v>
      </c>
      <c r="F827" s="66" t="s">
        <v>7</v>
      </c>
      <c r="G827" s="66" t="s">
        <v>9</v>
      </c>
      <c r="H827" s="66" t="str">
        <f>TEXT(Data[[#This Row],[Buchung]],"MMM")</f>
        <v>Apr</v>
      </c>
      <c r="I827" s="67">
        <f>YEAR(Data[[#This Row],[Buchung]])</f>
        <v>2017</v>
      </c>
      <c r="J827" s="2">
        <f>ABS(Data[[#This Row],[Betrag]])</f>
        <v>1000</v>
      </c>
      <c r="K827" s="66" t="str">
        <f>IF(Data[[#This Row],[Betrag]]&lt;0,"A","E")</f>
        <v>E</v>
      </c>
    </row>
    <row r="828" spans="1:11" x14ac:dyDescent="0.25">
      <c r="A828" s="1">
        <v>42831</v>
      </c>
      <c r="B828" s="66" t="s">
        <v>61</v>
      </c>
      <c r="C828" s="66" t="s">
        <v>49</v>
      </c>
      <c r="D828" t="s">
        <v>62</v>
      </c>
      <c r="E828">
        <v>-10</v>
      </c>
      <c r="F828" s="66" t="s">
        <v>7</v>
      </c>
      <c r="G828" s="66" t="s">
        <v>8</v>
      </c>
      <c r="H828" s="66" t="str">
        <f>TEXT(Data[[#This Row],[Buchung]],"MMM")</f>
        <v>Apr</v>
      </c>
      <c r="I828" s="67">
        <f>YEAR(Data[[#This Row],[Buchung]])</f>
        <v>2017</v>
      </c>
      <c r="J828" s="2">
        <f>ABS(Data[[#This Row],[Betrag]])</f>
        <v>10</v>
      </c>
      <c r="K828" s="66" t="str">
        <f>IF(Data[[#This Row],[Betrag]]&lt;0,"A","E")</f>
        <v>A</v>
      </c>
    </row>
    <row r="829" spans="1:11" x14ac:dyDescent="0.25">
      <c r="A829" s="1">
        <v>42832</v>
      </c>
      <c r="B829" s="66" t="s">
        <v>63</v>
      </c>
      <c r="C829" s="66" t="s">
        <v>64</v>
      </c>
      <c r="D829" t="s">
        <v>65</v>
      </c>
      <c r="E829">
        <v>-60</v>
      </c>
      <c r="F829" s="66" t="s">
        <v>7</v>
      </c>
      <c r="G829" s="66" t="s">
        <v>11</v>
      </c>
      <c r="H829" s="66" t="str">
        <f>TEXT(Data[[#This Row],[Buchung]],"MMM")</f>
        <v>Apr</v>
      </c>
      <c r="I829" s="67">
        <f>YEAR(Data[[#This Row],[Buchung]])</f>
        <v>2017</v>
      </c>
      <c r="J829" s="2">
        <f>ABS(Data[[#This Row],[Betrag]])</f>
        <v>60</v>
      </c>
      <c r="K829" s="66" t="str">
        <f>IF(Data[[#This Row],[Betrag]]&lt;0,"A","E")</f>
        <v>A</v>
      </c>
    </row>
    <row r="830" spans="1:11" x14ac:dyDescent="0.25">
      <c r="A830" s="1">
        <v>42833</v>
      </c>
      <c r="B830" s="66" t="s">
        <v>54</v>
      </c>
      <c r="C830" s="66" t="s">
        <v>55</v>
      </c>
      <c r="D830" t="s">
        <v>66</v>
      </c>
      <c r="E830">
        <v>-80</v>
      </c>
      <c r="F830" s="66" t="s">
        <v>7</v>
      </c>
      <c r="G830" s="66" t="s">
        <v>57</v>
      </c>
      <c r="H830" s="66" t="str">
        <f>TEXT(Data[[#This Row],[Buchung]],"MMM")</f>
        <v>Apr</v>
      </c>
      <c r="I830" s="67">
        <f>YEAR(Data[[#This Row],[Buchung]])</f>
        <v>2017</v>
      </c>
      <c r="J830" s="2">
        <f>ABS(Data[[#This Row],[Betrag]])</f>
        <v>80</v>
      </c>
      <c r="K830" s="66" t="str">
        <f>IF(Data[[#This Row],[Betrag]]&lt;0,"A","E")</f>
        <v>A</v>
      </c>
    </row>
    <row r="831" spans="1:11" x14ac:dyDescent="0.25">
      <c r="A831" s="1">
        <v>42834</v>
      </c>
      <c r="B831" s="66" t="s">
        <v>67</v>
      </c>
      <c r="C831" s="66" t="s">
        <v>59</v>
      </c>
      <c r="D831" t="s">
        <v>68</v>
      </c>
      <c r="E831">
        <v>-20</v>
      </c>
      <c r="F831" s="66" t="s">
        <v>7</v>
      </c>
      <c r="G831" s="66" t="s">
        <v>10</v>
      </c>
      <c r="H831" s="66" t="str">
        <f>TEXT(Data[[#This Row],[Buchung]],"MMM")</f>
        <v>Apr</v>
      </c>
      <c r="I831" s="67">
        <f>YEAR(Data[[#This Row],[Buchung]])</f>
        <v>2017</v>
      </c>
      <c r="J831" s="2">
        <f>ABS(Data[[#This Row],[Betrag]])</f>
        <v>20</v>
      </c>
      <c r="K831" s="66" t="str">
        <f>IF(Data[[#This Row],[Betrag]]&lt;0,"A","E")</f>
        <v>A</v>
      </c>
    </row>
    <row r="832" spans="1:11" x14ac:dyDescent="0.25">
      <c r="A832" s="1">
        <v>42835</v>
      </c>
      <c r="B832" s="66" t="s">
        <v>45</v>
      </c>
      <c r="C832" s="66" t="s">
        <v>46</v>
      </c>
      <c r="D832" t="s">
        <v>47</v>
      </c>
      <c r="E832">
        <v>1000</v>
      </c>
      <c r="F832" s="66" t="s">
        <v>7</v>
      </c>
      <c r="G832" s="66" t="s">
        <v>9</v>
      </c>
      <c r="H832" s="66" t="str">
        <f>TEXT(Data[[#This Row],[Buchung]],"MMM")</f>
        <v>Apr</v>
      </c>
      <c r="I832" s="67">
        <f>YEAR(Data[[#This Row],[Buchung]])</f>
        <v>2017</v>
      </c>
      <c r="J832" s="2">
        <f>ABS(Data[[#This Row],[Betrag]])</f>
        <v>1000</v>
      </c>
      <c r="K832" s="66" t="str">
        <f>IF(Data[[#This Row],[Betrag]]&lt;0,"A","E")</f>
        <v>E</v>
      </c>
    </row>
    <row r="833" spans="1:11" x14ac:dyDescent="0.25">
      <c r="A833" s="1">
        <v>42836</v>
      </c>
      <c r="B833" s="66" t="s">
        <v>48</v>
      </c>
      <c r="C833" s="66" t="s">
        <v>49</v>
      </c>
      <c r="D833" t="s">
        <v>50</v>
      </c>
      <c r="E833">
        <v>-15</v>
      </c>
      <c r="F833" s="66" t="s">
        <v>7</v>
      </c>
      <c r="G833" s="66" t="s">
        <v>8</v>
      </c>
      <c r="H833" s="66" t="str">
        <f>TEXT(Data[[#This Row],[Buchung]],"MMM")</f>
        <v>Apr</v>
      </c>
      <c r="I833" s="67">
        <f>YEAR(Data[[#This Row],[Buchung]])</f>
        <v>2017</v>
      </c>
      <c r="J833" s="2">
        <f>ABS(Data[[#This Row],[Betrag]])</f>
        <v>15</v>
      </c>
      <c r="K833" s="66" t="str">
        <f>IF(Data[[#This Row],[Betrag]]&lt;0,"A","E")</f>
        <v>A</v>
      </c>
    </row>
    <row r="834" spans="1:11" x14ac:dyDescent="0.25">
      <c r="A834" s="1">
        <v>42837</v>
      </c>
      <c r="B834" s="66" t="s">
        <v>51</v>
      </c>
      <c r="C834" s="66" t="s">
        <v>52</v>
      </c>
      <c r="D834" t="s">
        <v>53</v>
      </c>
      <c r="E834">
        <v>-350</v>
      </c>
      <c r="F834" s="66" t="s">
        <v>7</v>
      </c>
      <c r="G834" s="66" t="s">
        <v>11</v>
      </c>
      <c r="H834" s="66" t="str">
        <f>TEXT(Data[[#This Row],[Buchung]],"MMM")</f>
        <v>Apr</v>
      </c>
      <c r="I834" s="67">
        <f>YEAR(Data[[#This Row],[Buchung]])</f>
        <v>2017</v>
      </c>
      <c r="J834" s="2">
        <f>ABS(Data[[#This Row],[Betrag]])</f>
        <v>350</v>
      </c>
      <c r="K834" s="66" t="str">
        <f>IF(Data[[#This Row],[Betrag]]&lt;0,"A","E")</f>
        <v>A</v>
      </c>
    </row>
    <row r="835" spans="1:11" x14ac:dyDescent="0.25">
      <c r="A835" s="1">
        <v>42838</v>
      </c>
      <c r="B835" s="66" t="s">
        <v>54</v>
      </c>
      <c r="C835" s="66" t="s">
        <v>55</v>
      </c>
      <c r="D835" t="s">
        <v>56</v>
      </c>
      <c r="E835">
        <v>-120</v>
      </c>
      <c r="F835" s="66" t="s">
        <v>7</v>
      </c>
      <c r="G835" s="66" t="s">
        <v>57</v>
      </c>
      <c r="H835" s="66" t="str">
        <f>TEXT(Data[[#This Row],[Buchung]],"MMM")</f>
        <v>Apr</v>
      </c>
      <c r="I835" s="67">
        <f>YEAR(Data[[#This Row],[Buchung]])</f>
        <v>2017</v>
      </c>
      <c r="J835" s="2">
        <f>ABS(Data[[#This Row],[Betrag]])</f>
        <v>120</v>
      </c>
      <c r="K835" s="66" t="str">
        <f>IF(Data[[#This Row],[Betrag]]&lt;0,"A","E")</f>
        <v>A</v>
      </c>
    </row>
    <row r="836" spans="1:11" x14ac:dyDescent="0.25">
      <c r="A836" s="1">
        <v>42839</v>
      </c>
      <c r="B836" s="66" t="s">
        <v>58</v>
      </c>
      <c r="C836" s="66" t="s">
        <v>59</v>
      </c>
      <c r="D836" t="s">
        <v>60</v>
      </c>
      <c r="E836">
        <v>-60</v>
      </c>
      <c r="F836" s="66" t="s">
        <v>7</v>
      </c>
      <c r="G836" s="66" t="s">
        <v>10</v>
      </c>
      <c r="H836" s="66" t="str">
        <f>TEXT(Data[[#This Row],[Buchung]],"MMM")</f>
        <v>Apr</v>
      </c>
      <c r="I836" s="67">
        <f>YEAR(Data[[#This Row],[Buchung]])</f>
        <v>2017</v>
      </c>
      <c r="J836" s="2">
        <f>ABS(Data[[#This Row],[Betrag]])</f>
        <v>60</v>
      </c>
      <c r="K836" s="66" t="str">
        <f>IF(Data[[#This Row],[Betrag]]&lt;0,"A","E")</f>
        <v>A</v>
      </c>
    </row>
    <row r="837" spans="1:11" x14ac:dyDescent="0.25">
      <c r="A837" s="1">
        <v>42840</v>
      </c>
      <c r="B837" s="66" t="s">
        <v>45</v>
      </c>
      <c r="C837" s="66" t="s">
        <v>46</v>
      </c>
      <c r="D837" t="s">
        <v>47</v>
      </c>
      <c r="E837">
        <v>1000</v>
      </c>
      <c r="F837" s="66" t="s">
        <v>7</v>
      </c>
      <c r="G837" s="66" t="s">
        <v>9</v>
      </c>
      <c r="H837" s="66" t="str">
        <f>TEXT(Data[[#This Row],[Buchung]],"MMM")</f>
        <v>Apr</v>
      </c>
      <c r="I837" s="67">
        <f>YEAR(Data[[#This Row],[Buchung]])</f>
        <v>2017</v>
      </c>
      <c r="J837" s="2">
        <f>ABS(Data[[#This Row],[Betrag]])</f>
        <v>1000</v>
      </c>
      <c r="K837" s="66" t="str">
        <f>IF(Data[[#This Row],[Betrag]]&lt;0,"A","E")</f>
        <v>E</v>
      </c>
    </row>
    <row r="838" spans="1:11" x14ac:dyDescent="0.25">
      <c r="A838" s="1">
        <v>42841</v>
      </c>
      <c r="B838" s="66" t="s">
        <v>61</v>
      </c>
      <c r="C838" s="66" t="s">
        <v>49</v>
      </c>
      <c r="D838" t="s">
        <v>62</v>
      </c>
      <c r="E838">
        <v>-10</v>
      </c>
      <c r="F838" s="66" t="s">
        <v>7</v>
      </c>
      <c r="G838" s="66" t="s">
        <v>8</v>
      </c>
      <c r="H838" s="66" t="str">
        <f>TEXT(Data[[#This Row],[Buchung]],"MMM")</f>
        <v>Apr</v>
      </c>
      <c r="I838" s="67">
        <f>YEAR(Data[[#This Row],[Buchung]])</f>
        <v>2017</v>
      </c>
      <c r="J838" s="2">
        <f>ABS(Data[[#This Row],[Betrag]])</f>
        <v>10</v>
      </c>
      <c r="K838" s="66" t="str">
        <f>IF(Data[[#This Row],[Betrag]]&lt;0,"A","E")</f>
        <v>A</v>
      </c>
    </row>
    <row r="839" spans="1:11" x14ac:dyDescent="0.25">
      <c r="A839" s="1">
        <v>42842</v>
      </c>
      <c r="B839" s="66" t="s">
        <v>63</v>
      </c>
      <c r="C839" s="66" t="s">
        <v>64</v>
      </c>
      <c r="D839" t="s">
        <v>65</v>
      </c>
      <c r="E839">
        <v>-70</v>
      </c>
      <c r="F839" s="66" t="s">
        <v>7</v>
      </c>
      <c r="G839" s="66" t="s">
        <v>11</v>
      </c>
      <c r="H839" s="66" t="str">
        <f>TEXT(Data[[#This Row],[Buchung]],"MMM")</f>
        <v>Apr</v>
      </c>
      <c r="I839" s="67">
        <f>YEAR(Data[[#This Row],[Buchung]])</f>
        <v>2017</v>
      </c>
      <c r="J839" s="2">
        <f>ABS(Data[[#This Row],[Betrag]])</f>
        <v>70</v>
      </c>
      <c r="K839" s="66" t="str">
        <f>IF(Data[[#This Row],[Betrag]]&lt;0,"A","E")</f>
        <v>A</v>
      </c>
    </row>
    <row r="840" spans="1:11" x14ac:dyDescent="0.25">
      <c r="A840" s="1">
        <v>42843</v>
      </c>
      <c r="B840" s="66" t="s">
        <v>54</v>
      </c>
      <c r="C840" s="66" t="s">
        <v>55</v>
      </c>
      <c r="D840" t="s">
        <v>66</v>
      </c>
      <c r="E840">
        <v>-80</v>
      </c>
      <c r="F840" s="66" t="s">
        <v>7</v>
      </c>
      <c r="G840" s="66" t="s">
        <v>57</v>
      </c>
      <c r="H840" s="66" t="str">
        <f>TEXT(Data[[#This Row],[Buchung]],"MMM")</f>
        <v>Apr</v>
      </c>
      <c r="I840" s="67">
        <f>YEAR(Data[[#This Row],[Buchung]])</f>
        <v>2017</v>
      </c>
      <c r="J840" s="2">
        <f>ABS(Data[[#This Row],[Betrag]])</f>
        <v>80</v>
      </c>
      <c r="K840" s="66" t="str">
        <f>IF(Data[[#This Row],[Betrag]]&lt;0,"A","E")</f>
        <v>A</v>
      </c>
    </row>
    <row r="841" spans="1:11" x14ac:dyDescent="0.25">
      <c r="A841" s="1">
        <v>42844</v>
      </c>
      <c r="B841" s="66" t="s">
        <v>67</v>
      </c>
      <c r="C841" s="66" t="s">
        <v>59</v>
      </c>
      <c r="D841" t="s">
        <v>68</v>
      </c>
      <c r="E841">
        <v>-25</v>
      </c>
      <c r="F841" s="66" t="s">
        <v>7</v>
      </c>
      <c r="G841" s="66" t="s">
        <v>10</v>
      </c>
      <c r="H841" s="66" t="str">
        <f>TEXT(Data[[#This Row],[Buchung]],"MMM")</f>
        <v>Apr</v>
      </c>
      <c r="I841" s="67">
        <f>YEAR(Data[[#This Row],[Buchung]])</f>
        <v>2017</v>
      </c>
      <c r="J841" s="2">
        <f>ABS(Data[[#This Row],[Betrag]])</f>
        <v>25</v>
      </c>
      <c r="K841" s="66" t="str">
        <f>IF(Data[[#This Row],[Betrag]]&lt;0,"A","E")</f>
        <v>A</v>
      </c>
    </row>
    <row r="842" spans="1:11" x14ac:dyDescent="0.25">
      <c r="A842" s="1">
        <v>42845</v>
      </c>
      <c r="B842" s="66" t="s">
        <v>45</v>
      </c>
      <c r="C842" s="66" t="s">
        <v>46</v>
      </c>
      <c r="D842" t="s">
        <v>47</v>
      </c>
      <c r="E842">
        <v>1000</v>
      </c>
      <c r="F842" s="66" t="s">
        <v>7</v>
      </c>
      <c r="G842" s="66" t="s">
        <v>9</v>
      </c>
      <c r="H842" s="66" t="str">
        <f>TEXT(Data[[#This Row],[Buchung]],"MMM")</f>
        <v>Apr</v>
      </c>
      <c r="I842" s="67">
        <f>YEAR(Data[[#This Row],[Buchung]])</f>
        <v>2017</v>
      </c>
      <c r="J842" s="2">
        <f>ABS(Data[[#This Row],[Betrag]])</f>
        <v>1000</v>
      </c>
      <c r="K842" s="66" t="str">
        <f>IF(Data[[#This Row],[Betrag]]&lt;0,"A","E")</f>
        <v>E</v>
      </c>
    </row>
    <row r="843" spans="1:11" x14ac:dyDescent="0.25">
      <c r="A843" s="1">
        <v>42846</v>
      </c>
      <c r="B843" s="66" t="s">
        <v>48</v>
      </c>
      <c r="C843" s="66" t="s">
        <v>49</v>
      </c>
      <c r="D843" t="s">
        <v>50</v>
      </c>
      <c r="E843">
        <v>-15</v>
      </c>
      <c r="F843" s="66" t="s">
        <v>7</v>
      </c>
      <c r="G843" s="66" t="s">
        <v>8</v>
      </c>
      <c r="H843" s="66" t="str">
        <f>TEXT(Data[[#This Row],[Buchung]],"MMM")</f>
        <v>Apr</v>
      </c>
      <c r="I843" s="67">
        <f>YEAR(Data[[#This Row],[Buchung]])</f>
        <v>2017</v>
      </c>
      <c r="J843" s="2">
        <f>ABS(Data[[#This Row],[Betrag]])</f>
        <v>15</v>
      </c>
      <c r="K843" s="66" t="str">
        <f>IF(Data[[#This Row],[Betrag]]&lt;0,"A","E")</f>
        <v>A</v>
      </c>
    </row>
    <row r="844" spans="1:11" x14ac:dyDescent="0.25">
      <c r="A844" s="1">
        <v>42847</v>
      </c>
      <c r="B844" s="66" t="s">
        <v>51</v>
      </c>
      <c r="C844" s="66" t="s">
        <v>52</v>
      </c>
      <c r="D844" t="s">
        <v>53</v>
      </c>
      <c r="E844">
        <v>-350</v>
      </c>
      <c r="F844" s="66" t="s">
        <v>7</v>
      </c>
      <c r="G844" s="66" t="s">
        <v>11</v>
      </c>
      <c r="H844" s="66" t="str">
        <f>TEXT(Data[[#This Row],[Buchung]],"MMM")</f>
        <v>Apr</v>
      </c>
      <c r="I844" s="67">
        <f>YEAR(Data[[#This Row],[Buchung]])</f>
        <v>2017</v>
      </c>
      <c r="J844" s="2">
        <f>ABS(Data[[#This Row],[Betrag]])</f>
        <v>350</v>
      </c>
      <c r="K844" s="66" t="str">
        <f>IF(Data[[#This Row],[Betrag]]&lt;0,"A","E")</f>
        <v>A</v>
      </c>
    </row>
    <row r="845" spans="1:11" x14ac:dyDescent="0.25">
      <c r="A845" s="1">
        <v>42848</v>
      </c>
      <c r="B845" s="66" t="s">
        <v>54</v>
      </c>
      <c r="C845" s="66" t="s">
        <v>55</v>
      </c>
      <c r="D845" t="s">
        <v>56</v>
      </c>
      <c r="E845">
        <v>-120</v>
      </c>
      <c r="F845" s="66" t="s">
        <v>7</v>
      </c>
      <c r="G845" s="66" t="s">
        <v>57</v>
      </c>
      <c r="H845" s="66" t="str">
        <f>TEXT(Data[[#This Row],[Buchung]],"MMM")</f>
        <v>Apr</v>
      </c>
      <c r="I845" s="67">
        <f>YEAR(Data[[#This Row],[Buchung]])</f>
        <v>2017</v>
      </c>
      <c r="J845" s="2">
        <f>ABS(Data[[#This Row],[Betrag]])</f>
        <v>120</v>
      </c>
      <c r="K845" s="66" t="str">
        <f>IF(Data[[#This Row],[Betrag]]&lt;0,"A","E")</f>
        <v>A</v>
      </c>
    </row>
    <row r="846" spans="1:11" x14ac:dyDescent="0.25">
      <c r="A846" s="1">
        <v>42849</v>
      </c>
      <c r="B846" s="66" t="s">
        <v>58</v>
      </c>
      <c r="C846" s="66" t="s">
        <v>59</v>
      </c>
      <c r="D846" t="s">
        <v>60</v>
      </c>
      <c r="E846">
        <v>-70</v>
      </c>
      <c r="F846" s="66" t="s">
        <v>7</v>
      </c>
      <c r="G846" s="66" t="s">
        <v>10</v>
      </c>
      <c r="H846" s="66" t="str">
        <f>TEXT(Data[[#This Row],[Buchung]],"MMM")</f>
        <v>Apr</v>
      </c>
      <c r="I846" s="67">
        <f>YEAR(Data[[#This Row],[Buchung]])</f>
        <v>2017</v>
      </c>
      <c r="J846" s="2">
        <f>ABS(Data[[#This Row],[Betrag]])</f>
        <v>70</v>
      </c>
      <c r="K846" s="66" t="str">
        <f>IF(Data[[#This Row],[Betrag]]&lt;0,"A","E")</f>
        <v>A</v>
      </c>
    </row>
    <row r="847" spans="1:11" x14ac:dyDescent="0.25">
      <c r="A847" s="1">
        <v>42850</v>
      </c>
      <c r="B847" s="66" t="s">
        <v>45</v>
      </c>
      <c r="C847" s="66" t="s">
        <v>46</v>
      </c>
      <c r="D847" t="s">
        <v>47</v>
      </c>
      <c r="E847">
        <v>1000</v>
      </c>
      <c r="F847" s="66" t="s">
        <v>7</v>
      </c>
      <c r="G847" s="66" t="s">
        <v>9</v>
      </c>
      <c r="H847" s="66" t="str">
        <f>TEXT(Data[[#This Row],[Buchung]],"MMM")</f>
        <v>Apr</v>
      </c>
      <c r="I847" s="67">
        <f>YEAR(Data[[#This Row],[Buchung]])</f>
        <v>2017</v>
      </c>
      <c r="J847" s="2">
        <f>ABS(Data[[#This Row],[Betrag]])</f>
        <v>1000</v>
      </c>
      <c r="K847" s="66" t="str">
        <f>IF(Data[[#This Row],[Betrag]]&lt;0,"A","E")</f>
        <v>E</v>
      </c>
    </row>
    <row r="848" spans="1:11" x14ac:dyDescent="0.25">
      <c r="A848" s="1">
        <v>42851</v>
      </c>
      <c r="B848" s="66" t="s">
        <v>61</v>
      </c>
      <c r="C848" s="66" t="s">
        <v>49</v>
      </c>
      <c r="D848" t="s">
        <v>62</v>
      </c>
      <c r="E848">
        <v>-10</v>
      </c>
      <c r="F848" s="66" t="s">
        <v>7</v>
      </c>
      <c r="G848" s="66" t="s">
        <v>8</v>
      </c>
      <c r="H848" s="66" t="str">
        <f>TEXT(Data[[#This Row],[Buchung]],"MMM")</f>
        <v>Apr</v>
      </c>
      <c r="I848" s="67">
        <f>YEAR(Data[[#This Row],[Buchung]])</f>
        <v>2017</v>
      </c>
      <c r="J848" s="2">
        <f>ABS(Data[[#This Row],[Betrag]])</f>
        <v>10</v>
      </c>
      <c r="K848" s="66" t="str">
        <f>IF(Data[[#This Row],[Betrag]]&lt;0,"A","E")</f>
        <v>A</v>
      </c>
    </row>
    <row r="849" spans="1:11" x14ac:dyDescent="0.25">
      <c r="A849" s="1">
        <v>42852</v>
      </c>
      <c r="B849" s="66" t="s">
        <v>63</v>
      </c>
      <c r="C849" s="66" t="s">
        <v>64</v>
      </c>
      <c r="D849" t="s">
        <v>65</v>
      </c>
      <c r="E849">
        <v>-60</v>
      </c>
      <c r="F849" s="66" t="s">
        <v>7</v>
      </c>
      <c r="G849" s="66" t="s">
        <v>11</v>
      </c>
      <c r="H849" s="66" t="str">
        <f>TEXT(Data[[#This Row],[Buchung]],"MMM")</f>
        <v>Apr</v>
      </c>
      <c r="I849" s="67">
        <f>YEAR(Data[[#This Row],[Buchung]])</f>
        <v>2017</v>
      </c>
      <c r="J849" s="2">
        <f>ABS(Data[[#This Row],[Betrag]])</f>
        <v>60</v>
      </c>
      <c r="K849" s="66" t="str">
        <f>IF(Data[[#This Row],[Betrag]]&lt;0,"A","E")</f>
        <v>A</v>
      </c>
    </row>
    <row r="850" spans="1:11" x14ac:dyDescent="0.25">
      <c r="A850" s="1">
        <v>42853</v>
      </c>
      <c r="B850" s="66" t="s">
        <v>54</v>
      </c>
      <c r="C850" s="66" t="s">
        <v>55</v>
      </c>
      <c r="D850" t="s">
        <v>66</v>
      </c>
      <c r="E850">
        <v>-80</v>
      </c>
      <c r="F850" s="66" t="s">
        <v>7</v>
      </c>
      <c r="G850" s="66" t="s">
        <v>57</v>
      </c>
      <c r="H850" s="66" t="str">
        <f>TEXT(Data[[#This Row],[Buchung]],"MMM")</f>
        <v>Apr</v>
      </c>
      <c r="I850" s="67">
        <f>YEAR(Data[[#This Row],[Buchung]])</f>
        <v>2017</v>
      </c>
      <c r="J850" s="2">
        <f>ABS(Data[[#This Row],[Betrag]])</f>
        <v>80</v>
      </c>
      <c r="K850" s="66" t="str">
        <f>IF(Data[[#This Row],[Betrag]]&lt;0,"A","E")</f>
        <v>A</v>
      </c>
    </row>
    <row r="851" spans="1:11" x14ac:dyDescent="0.25">
      <c r="A851" s="1">
        <v>42854</v>
      </c>
      <c r="B851" s="66" t="s">
        <v>67</v>
      </c>
      <c r="C851" s="66" t="s">
        <v>59</v>
      </c>
      <c r="D851" t="s">
        <v>68</v>
      </c>
      <c r="E851">
        <v>-30</v>
      </c>
      <c r="F851" s="66" t="s">
        <v>7</v>
      </c>
      <c r="G851" s="66" t="s">
        <v>10</v>
      </c>
      <c r="H851" s="66" t="str">
        <f>TEXT(Data[[#This Row],[Buchung]],"MMM")</f>
        <v>Apr</v>
      </c>
      <c r="I851" s="67">
        <f>YEAR(Data[[#This Row],[Buchung]])</f>
        <v>2017</v>
      </c>
      <c r="J851" s="2">
        <f>ABS(Data[[#This Row],[Betrag]])</f>
        <v>30</v>
      </c>
      <c r="K851" s="66" t="str">
        <f>IF(Data[[#This Row],[Betrag]]&lt;0,"A","E")</f>
        <v>A</v>
      </c>
    </row>
    <row r="852" spans="1:11" x14ac:dyDescent="0.25">
      <c r="A852" s="1">
        <v>42855</v>
      </c>
      <c r="B852" s="66" t="s">
        <v>45</v>
      </c>
      <c r="C852" s="66" t="s">
        <v>46</v>
      </c>
      <c r="D852" t="s">
        <v>47</v>
      </c>
      <c r="E852">
        <v>1000</v>
      </c>
      <c r="F852" s="66" t="s">
        <v>7</v>
      </c>
      <c r="G852" s="66" t="s">
        <v>9</v>
      </c>
      <c r="H852" s="66" t="str">
        <f>TEXT(Data[[#This Row],[Buchung]],"MMM")</f>
        <v>Apr</v>
      </c>
      <c r="I852" s="67">
        <f>YEAR(Data[[#This Row],[Buchung]])</f>
        <v>2017</v>
      </c>
      <c r="J852" s="2">
        <f>ABS(Data[[#This Row],[Betrag]])</f>
        <v>1000</v>
      </c>
      <c r="K852" s="66" t="str">
        <f>IF(Data[[#This Row],[Betrag]]&lt;0,"A","E")</f>
        <v>E</v>
      </c>
    </row>
    <row r="853" spans="1:11" x14ac:dyDescent="0.25">
      <c r="A853" s="1">
        <v>42856</v>
      </c>
      <c r="B853" s="66" t="s">
        <v>48</v>
      </c>
      <c r="C853" s="66" t="s">
        <v>49</v>
      </c>
      <c r="D853" t="s">
        <v>50</v>
      </c>
      <c r="E853">
        <v>-15</v>
      </c>
      <c r="F853" s="66" t="s">
        <v>7</v>
      </c>
      <c r="G853" s="66" t="s">
        <v>8</v>
      </c>
      <c r="H853" s="66" t="str">
        <f>TEXT(Data[[#This Row],[Buchung]],"MMM")</f>
        <v>Mai</v>
      </c>
      <c r="I853" s="67">
        <f>YEAR(Data[[#This Row],[Buchung]])</f>
        <v>2017</v>
      </c>
      <c r="J853" s="2">
        <f>ABS(Data[[#This Row],[Betrag]])</f>
        <v>15</v>
      </c>
      <c r="K853" s="66" t="str">
        <f>IF(Data[[#This Row],[Betrag]]&lt;0,"A","E")</f>
        <v>A</v>
      </c>
    </row>
    <row r="854" spans="1:11" x14ac:dyDescent="0.25">
      <c r="A854" s="1">
        <v>42857</v>
      </c>
      <c r="B854" s="66" t="s">
        <v>51</v>
      </c>
      <c r="C854" s="66" t="s">
        <v>52</v>
      </c>
      <c r="D854" t="s">
        <v>53</v>
      </c>
      <c r="E854">
        <v>-350</v>
      </c>
      <c r="F854" s="66" t="s">
        <v>7</v>
      </c>
      <c r="G854" s="66" t="s">
        <v>11</v>
      </c>
      <c r="H854" s="66" t="str">
        <f>TEXT(Data[[#This Row],[Buchung]],"MMM")</f>
        <v>Mai</v>
      </c>
      <c r="I854" s="67">
        <f>YEAR(Data[[#This Row],[Buchung]])</f>
        <v>2017</v>
      </c>
      <c r="J854" s="2">
        <f>ABS(Data[[#This Row],[Betrag]])</f>
        <v>350</v>
      </c>
      <c r="K854" s="66" t="str">
        <f>IF(Data[[#This Row],[Betrag]]&lt;0,"A","E")</f>
        <v>A</v>
      </c>
    </row>
    <row r="855" spans="1:11" x14ac:dyDescent="0.25">
      <c r="A855" s="1">
        <v>42858</v>
      </c>
      <c r="B855" s="66" t="s">
        <v>54</v>
      </c>
      <c r="C855" s="66" t="s">
        <v>55</v>
      </c>
      <c r="D855" t="s">
        <v>56</v>
      </c>
      <c r="E855">
        <v>-120</v>
      </c>
      <c r="F855" s="66" t="s">
        <v>7</v>
      </c>
      <c r="G855" s="66" t="s">
        <v>57</v>
      </c>
      <c r="H855" s="66" t="str">
        <f>TEXT(Data[[#This Row],[Buchung]],"MMM")</f>
        <v>Mai</v>
      </c>
      <c r="I855" s="67">
        <f>YEAR(Data[[#This Row],[Buchung]])</f>
        <v>2017</v>
      </c>
      <c r="J855" s="2">
        <f>ABS(Data[[#This Row],[Betrag]])</f>
        <v>120</v>
      </c>
      <c r="K855" s="66" t="str">
        <f>IF(Data[[#This Row],[Betrag]]&lt;0,"A","E")</f>
        <v>A</v>
      </c>
    </row>
    <row r="856" spans="1:11" x14ac:dyDescent="0.25">
      <c r="A856" s="1">
        <v>42859</v>
      </c>
      <c r="B856" s="66" t="s">
        <v>58</v>
      </c>
      <c r="C856" s="66" t="s">
        <v>59</v>
      </c>
      <c r="D856" t="s">
        <v>60</v>
      </c>
      <c r="E856">
        <v>-80</v>
      </c>
      <c r="F856" s="66" t="s">
        <v>7</v>
      </c>
      <c r="G856" s="66" t="s">
        <v>10</v>
      </c>
      <c r="H856" s="66" t="str">
        <f>TEXT(Data[[#This Row],[Buchung]],"MMM")</f>
        <v>Mai</v>
      </c>
      <c r="I856" s="67">
        <f>YEAR(Data[[#This Row],[Buchung]])</f>
        <v>2017</v>
      </c>
      <c r="J856" s="2">
        <f>ABS(Data[[#This Row],[Betrag]])</f>
        <v>80</v>
      </c>
      <c r="K856" s="66" t="str">
        <f>IF(Data[[#This Row],[Betrag]]&lt;0,"A","E")</f>
        <v>A</v>
      </c>
    </row>
    <row r="857" spans="1:11" x14ac:dyDescent="0.25">
      <c r="A857" s="1">
        <v>42860</v>
      </c>
      <c r="B857" s="66" t="s">
        <v>45</v>
      </c>
      <c r="C857" s="66" t="s">
        <v>46</v>
      </c>
      <c r="D857" t="s">
        <v>47</v>
      </c>
      <c r="E857">
        <v>1000</v>
      </c>
      <c r="F857" s="66" t="s">
        <v>7</v>
      </c>
      <c r="G857" s="66" t="s">
        <v>9</v>
      </c>
      <c r="H857" s="66" t="str">
        <f>TEXT(Data[[#This Row],[Buchung]],"MMM")</f>
        <v>Mai</v>
      </c>
      <c r="I857" s="67">
        <f>YEAR(Data[[#This Row],[Buchung]])</f>
        <v>2017</v>
      </c>
      <c r="J857" s="2">
        <f>ABS(Data[[#This Row],[Betrag]])</f>
        <v>1000</v>
      </c>
      <c r="K857" s="66" t="str">
        <f>IF(Data[[#This Row],[Betrag]]&lt;0,"A","E")</f>
        <v>E</v>
      </c>
    </row>
    <row r="858" spans="1:11" x14ac:dyDescent="0.25">
      <c r="A858" s="1">
        <v>42861</v>
      </c>
      <c r="B858" s="66" t="s">
        <v>61</v>
      </c>
      <c r="C858" s="66" t="s">
        <v>49</v>
      </c>
      <c r="D858" t="s">
        <v>62</v>
      </c>
      <c r="E858">
        <v>-10</v>
      </c>
      <c r="F858" s="66" t="s">
        <v>7</v>
      </c>
      <c r="G858" s="66" t="s">
        <v>8</v>
      </c>
      <c r="H858" s="66" t="str">
        <f>TEXT(Data[[#This Row],[Buchung]],"MMM")</f>
        <v>Mai</v>
      </c>
      <c r="I858" s="67">
        <f>YEAR(Data[[#This Row],[Buchung]])</f>
        <v>2017</v>
      </c>
      <c r="J858" s="2">
        <f>ABS(Data[[#This Row],[Betrag]])</f>
        <v>10</v>
      </c>
      <c r="K858" s="66" t="str">
        <f>IF(Data[[#This Row],[Betrag]]&lt;0,"A","E")</f>
        <v>A</v>
      </c>
    </row>
    <row r="859" spans="1:11" x14ac:dyDescent="0.25">
      <c r="A859" s="1">
        <v>42862</v>
      </c>
      <c r="B859" s="66" t="s">
        <v>63</v>
      </c>
      <c r="C859" s="66" t="s">
        <v>64</v>
      </c>
      <c r="D859" t="s">
        <v>65</v>
      </c>
      <c r="E859">
        <v>-65</v>
      </c>
      <c r="F859" s="66" t="s">
        <v>7</v>
      </c>
      <c r="G859" s="66" t="s">
        <v>11</v>
      </c>
      <c r="H859" s="66" t="str">
        <f>TEXT(Data[[#This Row],[Buchung]],"MMM")</f>
        <v>Mai</v>
      </c>
      <c r="I859" s="67">
        <f>YEAR(Data[[#This Row],[Buchung]])</f>
        <v>2017</v>
      </c>
      <c r="J859" s="2">
        <f>ABS(Data[[#This Row],[Betrag]])</f>
        <v>65</v>
      </c>
      <c r="K859" s="66" t="str">
        <f>IF(Data[[#This Row],[Betrag]]&lt;0,"A","E")</f>
        <v>A</v>
      </c>
    </row>
    <row r="860" spans="1:11" x14ac:dyDescent="0.25">
      <c r="A860" s="1">
        <v>42863</v>
      </c>
      <c r="B860" s="66" t="s">
        <v>54</v>
      </c>
      <c r="C860" s="66" t="s">
        <v>55</v>
      </c>
      <c r="D860" t="s">
        <v>66</v>
      </c>
      <c r="E860">
        <v>-80</v>
      </c>
      <c r="F860" s="66" t="s">
        <v>7</v>
      </c>
      <c r="G860" s="66" t="s">
        <v>57</v>
      </c>
      <c r="H860" s="66" t="str">
        <f>TEXT(Data[[#This Row],[Buchung]],"MMM")</f>
        <v>Mai</v>
      </c>
      <c r="I860" s="67">
        <f>YEAR(Data[[#This Row],[Buchung]])</f>
        <v>2017</v>
      </c>
      <c r="J860" s="2">
        <f>ABS(Data[[#This Row],[Betrag]])</f>
        <v>80</v>
      </c>
      <c r="K860" s="66" t="str">
        <f>IF(Data[[#This Row],[Betrag]]&lt;0,"A","E")</f>
        <v>A</v>
      </c>
    </row>
    <row r="861" spans="1:11" x14ac:dyDescent="0.25">
      <c r="A861" s="1">
        <v>42864</v>
      </c>
      <c r="B861" s="66" t="s">
        <v>67</v>
      </c>
      <c r="C861" s="66" t="s">
        <v>59</v>
      </c>
      <c r="D861" t="s">
        <v>68</v>
      </c>
      <c r="E861">
        <v>-35</v>
      </c>
      <c r="F861" s="66" t="s">
        <v>7</v>
      </c>
      <c r="G861" s="66" t="s">
        <v>10</v>
      </c>
      <c r="H861" s="66" t="str">
        <f>TEXT(Data[[#This Row],[Buchung]],"MMM")</f>
        <v>Mai</v>
      </c>
      <c r="I861" s="67">
        <f>YEAR(Data[[#This Row],[Buchung]])</f>
        <v>2017</v>
      </c>
      <c r="J861" s="2">
        <f>ABS(Data[[#This Row],[Betrag]])</f>
        <v>35</v>
      </c>
      <c r="K861" s="66" t="str">
        <f>IF(Data[[#This Row],[Betrag]]&lt;0,"A","E")</f>
        <v>A</v>
      </c>
    </row>
    <row r="862" spans="1:11" x14ac:dyDescent="0.25">
      <c r="A862" s="1">
        <v>42865</v>
      </c>
      <c r="B862" s="66" t="s">
        <v>45</v>
      </c>
      <c r="C862" s="66" t="s">
        <v>46</v>
      </c>
      <c r="D862" t="s">
        <v>47</v>
      </c>
      <c r="E862">
        <v>1000</v>
      </c>
      <c r="F862" s="66" t="s">
        <v>7</v>
      </c>
      <c r="G862" s="66" t="s">
        <v>9</v>
      </c>
      <c r="H862" s="66" t="str">
        <f>TEXT(Data[[#This Row],[Buchung]],"MMM")</f>
        <v>Mai</v>
      </c>
      <c r="I862" s="67">
        <f>YEAR(Data[[#This Row],[Buchung]])</f>
        <v>2017</v>
      </c>
      <c r="J862" s="2">
        <f>ABS(Data[[#This Row],[Betrag]])</f>
        <v>1000</v>
      </c>
      <c r="K862" s="66" t="str">
        <f>IF(Data[[#This Row],[Betrag]]&lt;0,"A","E")</f>
        <v>E</v>
      </c>
    </row>
    <row r="863" spans="1:11" x14ac:dyDescent="0.25">
      <c r="A863" s="1">
        <v>42866</v>
      </c>
      <c r="B863" s="66" t="s">
        <v>45</v>
      </c>
      <c r="C863" s="66" t="s">
        <v>46</v>
      </c>
      <c r="D863" t="s">
        <v>47</v>
      </c>
      <c r="E863">
        <v>1000</v>
      </c>
      <c r="F863" s="66" t="s">
        <v>7</v>
      </c>
      <c r="G863" s="66" t="s">
        <v>9</v>
      </c>
      <c r="H863" s="66" t="str">
        <f>TEXT(Data[[#This Row],[Buchung]],"MMM")</f>
        <v>Mai</v>
      </c>
      <c r="I863" s="67">
        <f>YEAR(Data[[#This Row],[Buchung]])</f>
        <v>2017</v>
      </c>
      <c r="J863" s="2">
        <f>ABS(Data[[#This Row],[Betrag]])</f>
        <v>1000</v>
      </c>
      <c r="K863" s="66" t="str">
        <f>IF(Data[[#This Row],[Betrag]]&lt;0,"A","E")</f>
        <v>E</v>
      </c>
    </row>
    <row r="864" spans="1:11" x14ac:dyDescent="0.25">
      <c r="A864" s="1">
        <v>42867</v>
      </c>
      <c r="B864" s="66" t="s">
        <v>48</v>
      </c>
      <c r="C864" s="66" t="s">
        <v>49</v>
      </c>
      <c r="D864" t="s">
        <v>50</v>
      </c>
      <c r="E864">
        <v>-15</v>
      </c>
      <c r="F864" s="66" t="s">
        <v>7</v>
      </c>
      <c r="G864" s="66" t="s">
        <v>8</v>
      </c>
      <c r="H864" s="66" t="str">
        <f>TEXT(Data[[#This Row],[Buchung]],"MMM")</f>
        <v>Mai</v>
      </c>
      <c r="I864" s="67">
        <f>YEAR(Data[[#This Row],[Buchung]])</f>
        <v>2017</v>
      </c>
      <c r="J864" s="2">
        <f>ABS(Data[[#This Row],[Betrag]])</f>
        <v>15</v>
      </c>
      <c r="K864" s="66" t="str">
        <f>IF(Data[[#This Row],[Betrag]]&lt;0,"A","E")</f>
        <v>A</v>
      </c>
    </row>
    <row r="865" spans="1:11" x14ac:dyDescent="0.25">
      <c r="A865" s="1">
        <v>42868</v>
      </c>
      <c r="B865" s="66" t="s">
        <v>51</v>
      </c>
      <c r="C865" s="66" t="s">
        <v>52</v>
      </c>
      <c r="D865" t="s">
        <v>53</v>
      </c>
      <c r="E865">
        <v>-350</v>
      </c>
      <c r="F865" s="66" t="s">
        <v>7</v>
      </c>
      <c r="G865" s="66" t="s">
        <v>11</v>
      </c>
      <c r="H865" s="66" t="str">
        <f>TEXT(Data[[#This Row],[Buchung]],"MMM")</f>
        <v>Mai</v>
      </c>
      <c r="I865" s="67">
        <f>YEAR(Data[[#This Row],[Buchung]])</f>
        <v>2017</v>
      </c>
      <c r="J865" s="2">
        <f>ABS(Data[[#This Row],[Betrag]])</f>
        <v>350</v>
      </c>
      <c r="K865" s="66" t="str">
        <f>IF(Data[[#This Row],[Betrag]]&lt;0,"A","E")</f>
        <v>A</v>
      </c>
    </row>
    <row r="866" spans="1:11" x14ac:dyDescent="0.25">
      <c r="A866" s="1">
        <v>42869</v>
      </c>
      <c r="B866" s="66" t="s">
        <v>54</v>
      </c>
      <c r="C866" s="66" t="s">
        <v>55</v>
      </c>
      <c r="D866" t="s">
        <v>56</v>
      </c>
      <c r="E866">
        <v>-120</v>
      </c>
      <c r="F866" s="66" t="s">
        <v>7</v>
      </c>
      <c r="G866" s="66" t="s">
        <v>57</v>
      </c>
      <c r="H866" s="66" t="str">
        <f>TEXT(Data[[#This Row],[Buchung]],"MMM")</f>
        <v>Mai</v>
      </c>
      <c r="I866" s="67">
        <f>YEAR(Data[[#This Row],[Buchung]])</f>
        <v>2017</v>
      </c>
      <c r="J866" s="2">
        <f>ABS(Data[[#This Row],[Betrag]])</f>
        <v>120</v>
      </c>
      <c r="K866" s="66" t="str">
        <f>IF(Data[[#This Row],[Betrag]]&lt;0,"A","E")</f>
        <v>A</v>
      </c>
    </row>
    <row r="867" spans="1:11" x14ac:dyDescent="0.25">
      <c r="A867" s="1">
        <v>42870</v>
      </c>
      <c r="B867" s="66" t="s">
        <v>58</v>
      </c>
      <c r="C867" s="66" t="s">
        <v>59</v>
      </c>
      <c r="D867" t="s">
        <v>60</v>
      </c>
      <c r="E867">
        <v>-50</v>
      </c>
      <c r="F867" s="66" t="s">
        <v>7</v>
      </c>
      <c r="G867" s="66" t="s">
        <v>10</v>
      </c>
      <c r="H867" s="66" t="str">
        <f>TEXT(Data[[#This Row],[Buchung]],"MMM")</f>
        <v>Mai</v>
      </c>
      <c r="I867" s="67">
        <f>YEAR(Data[[#This Row],[Buchung]])</f>
        <v>2017</v>
      </c>
      <c r="J867" s="2">
        <f>ABS(Data[[#This Row],[Betrag]])</f>
        <v>50</v>
      </c>
      <c r="K867" s="66" t="str">
        <f>IF(Data[[#This Row],[Betrag]]&lt;0,"A","E")</f>
        <v>A</v>
      </c>
    </row>
    <row r="868" spans="1:11" x14ac:dyDescent="0.25">
      <c r="A868" s="1">
        <v>42871</v>
      </c>
      <c r="B868" s="66" t="s">
        <v>45</v>
      </c>
      <c r="C868" s="66" t="s">
        <v>46</v>
      </c>
      <c r="D868" t="s">
        <v>47</v>
      </c>
      <c r="E868">
        <v>1000</v>
      </c>
      <c r="F868" s="66" t="s">
        <v>7</v>
      </c>
      <c r="G868" s="66" t="s">
        <v>9</v>
      </c>
      <c r="H868" s="66" t="str">
        <f>TEXT(Data[[#This Row],[Buchung]],"MMM")</f>
        <v>Mai</v>
      </c>
      <c r="I868" s="67">
        <f>YEAR(Data[[#This Row],[Buchung]])</f>
        <v>2017</v>
      </c>
      <c r="J868" s="2">
        <f>ABS(Data[[#This Row],[Betrag]])</f>
        <v>1000</v>
      </c>
      <c r="K868" s="66" t="str">
        <f>IF(Data[[#This Row],[Betrag]]&lt;0,"A","E")</f>
        <v>E</v>
      </c>
    </row>
    <row r="869" spans="1:11" x14ac:dyDescent="0.25">
      <c r="A869" s="1">
        <v>42872</v>
      </c>
      <c r="B869" s="66" t="s">
        <v>61</v>
      </c>
      <c r="C869" s="66" t="s">
        <v>49</v>
      </c>
      <c r="D869" t="s">
        <v>62</v>
      </c>
      <c r="E869">
        <v>-10</v>
      </c>
      <c r="F869" s="66" t="s">
        <v>7</v>
      </c>
      <c r="G869" s="66" t="s">
        <v>8</v>
      </c>
      <c r="H869" s="66" t="str">
        <f>TEXT(Data[[#This Row],[Buchung]],"MMM")</f>
        <v>Mai</v>
      </c>
      <c r="I869" s="67">
        <f>YEAR(Data[[#This Row],[Buchung]])</f>
        <v>2017</v>
      </c>
      <c r="J869" s="2">
        <f>ABS(Data[[#This Row],[Betrag]])</f>
        <v>10</v>
      </c>
      <c r="K869" s="66" t="str">
        <f>IF(Data[[#This Row],[Betrag]]&lt;0,"A","E")</f>
        <v>A</v>
      </c>
    </row>
    <row r="870" spans="1:11" x14ac:dyDescent="0.25">
      <c r="A870" s="1">
        <v>42873</v>
      </c>
      <c r="B870" s="66" t="s">
        <v>63</v>
      </c>
      <c r="C870" s="66" t="s">
        <v>64</v>
      </c>
      <c r="D870" t="s">
        <v>65</v>
      </c>
      <c r="E870">
        <v>-60</v>
      </c>
      <c r="F870" s="66" t="s">
        <v>7</v>
      </c>
      <c r="G870" s="66" t="s">
        <v>11</v>
      </c>
      <c r="H870" s="66" t="str">
        <f>TEXT(Data[[#This Row],[Buchung]],"MMM")</f>
        <v>Mai</v>
      </c>
      <c r="I870" s="67">
        <f>YEAR(Data[[#This Row],[Buchung]])</f>
        <v>2017</v>
      </c>
      <c r="J870" s="2">
        <f>ABS(Data[[#This Row],[Betrag]])</f>
        <v>60</v>
      </c>
      <c r="K870" s="66" t="str">
        <f>IF(Data[[#This Row],[Betrag]]&lt;0,"A","E")</f>
        <v>A</v>
      </c>
    </row>
    <row r="871" spans="1:11" x14ac:dyDescent="0.25">
      <c r="A871" s="1">
        <v>42874</v>
      </c>
      <c r="B871" s="66" t="s">
        <v>54</v>
      </c>
      <c r="C871" s="66" t="s">
        <v>55</v>
      </c>
      <c r="D871" t="s">
        <v>66</v>
      </c>
      <c r="E871">
        <v>-80</v>
      </c>
      <c r="F871" s="66" t="s">
        <v>7</v>
      </c>
      <c r="G871" s="66" t="s">
        <v>57</v>
      </c>
      <c r="H871" s="66" t="str">
        <f>TEXT(Data[[#This Row],[Buchung]],"MMM")</f>
        <v>Mai</v>
      </c>
      <c r="I871" s="67">
        <f>YEAR(Data[[#This Row],[Buchung]])</f>
        <v>2017</v>
      </c>
      <c r="J871" s="2">
        <f>ABS(Data[[#This Row],[Betrag]])</f>
        <v>80</v>
      </c>
      <c r="K871" s="66" t="str">
        <f>IF(Data[[#This Row],[Betrag]]&lt;0,"A","E")</f>
        <v>A</v>
      </c>
    </row>
    <row r="872" spans="1:11" x14ac:dyDescent="0.25">
      <c r="A872" s="1">
        <v>42875</v>
      </c>
      <c r="B872" s="66" t="s">
        <v>67</v>
      </c>
      <c r="C872" s="66" t="s">
        <v>59</v>
      </c>
      <c r="D872" t="s">
        <v>68</v>
      </c>
      <c r="E872">
        <v>-20</v>
      </c>
      <c r="F872" s="66" t="s">
        <v>7</v>
      </c>
      <c r="G872" s="66" t="s">
        <v>10</v>
      </c>
      <c r="H872" s="66" t="str">
        <f>TEXT(Data[[#This Row],[Buchung]],"MMM")</f>
        <v>Mai</v>
      </c>
      <c r="I872" s="67">
        <f>YEAR(Data[[#This Row],[Buchung]])</f>
        <v>2017</v>
      </c>
      <c r="J872" s="2">
        <f>ABS(Data[[#This Row],[Betrag]])</f>
        <v>20</v>
      </c>
      <c r="K872" s="66" t="str">
        <f>IF(Data[[#This Row],[Betrag]]&lt;0,"A","E")</f>
        <v>A</v>
      </c>
    </row>
    <row r="873" spans="1:11" x14ac:dyDescent="0.25">
      <c r="A873" s="1">
        <v>42876</v>
      </c>
      <c r="B873" s="66" t="s">
        <v>45</v>
      </c>
      <c r="C873" s="66" t="s">
        <v>46</v>
      </c>
      <c r="D873" t="s">
        <v>47</v>
      </c>
      <c r="E873">
        <v>1000</v>
      </c>
      <c r="F873" s="66" t="s">
        <v>7</v>
      </c>
      <c r="G873" s="66" t="s">
        <v>9</v>
      </c>
      <c r="H873" s="66" t="str">
        <f>TEXT(Data[[#This Row],[Buchung]],"MMM")</f>
        <v>Mai</v>
      </c>
      <c r="I873" s="67">
        <f>YEAR(Data[[#This Row],[Buchung]])</f>
        <v>2017</v>
      </c>
      <c r="J873" s="2">
        <f>ABS(Data[[#This Row],[Betrag]])</f>
        <v>1000</v>
      </c>
      <c r="K873" s="66" t="str">
        <f>IF(Data[[#This Row],[Betrag]]&lt;0,"A","E")</f>
        <v>E</v>
      </c>
    </row>
    <row r="874" spans="1:11" x14ac:dyDescent="0.25">
      <c r="A874" s="1">
        <v>42877</v>
      </c>
      <c r="B874" s="66" t="s">
        <v>48</v>
      </c>
      <c r="C874" s="66" t="s">
        <v>49</v>
      </c>
      <c r="D874" t="s">
        <v>50</v>
      </c>
      <c r="E874">
        <v>-15</v>
      </c>
      <c r="F874" s="66" t="s">
        <v>7</v>
      </c>
      <c r="G874" s="66" t="s">
        <v>8</v>
      </c>
      <c r="H874" s="66" t="str">
        <f>TEXT(Data[[#This Row],[Buchung]],"MMM")</f>
        <v>Mai</v>
      </c>
      <c r="I874" s="67">
        <f>YEAR(Data[[#This Row],[Buchung]])</f>
        <v>2017</v>
      </c>
      <c r="J874" s="2">
        <f>ABS(Data[[#This Row],[Betrag]])</f>
        <v>15</v>
      </c>
      <c r="K874" s="66" t="str">
        <f>IF(Data[[#This Row],[Betrag]]&lt;0,"A","E")</f>
        <v>A</v>
      </c>
    </row>
    <row r="875" spans="1:11" x14ac:dyDescent="0.25">
      <c r="A875" s="1">
        <v>42878</v>
      </c>
      <c r="B875" s="66" t="s">
        <v>51</v>
      </c>
      <c r="C875" s="66" t="s">
        <v>52</v>
      </c>
      <c r="D875" t="s">
        <v>53</v>
      </c>
      <c r="E875">
        <v>-350</v>
      </c>
      <c r="F875" s="66" t="s">
        <v>7</v>
      </c>
      <c r="G875" s="66" t="s">
        <v>11</v>
      </c>
      <c r="H875" s="66" t="str">
        <f>TEXT(Data[[#This Row],[Buchung]],"MMM")</f>
        <v>Mai</v>
      </c>
      <c r="I875" s="67">
        <f>YEAR(Data[[#This Row],[Buchung]])</f>
        <v>2017</v>
      </c>
      <c r="J875" s="2">
        <f>ABS(Data[[#This Row],[Betrag]])</f>
        <v>350</v>
      </c>
      <c r="K875" s="66" t="str">
        <f>IF(Data[[#This Row],[Betrag]]&lt;0,"A","E")</f>
        <v>A</v>
      </c>
    </row>
    <row r="876" spans="1:11" x14ac:dyDescent="0.25">
      <c r="A876" s="1">
        <v>42879</v>
      </c>
      <c r="B876" s="66" t="s">
        <v>54</v>
      </c>
      <c r="C876" s="66" t="s">
        <v>55</v>
      </c>
      <c r="D876" t="s">
        <v>56</v>
      </c>
      <c r="E876">
        <v>-120</v>
      </c>
      <c r="F876" s="66" t="s">
        <v>7</v>
      </c>
      <c r="G876" s="66" t="s">
        <v>57</v>
      </c>
      <c r="H876" s="66" t="str">
        <f>TEXT(Data[[#This Row],[Buchung]],"MMM")</f>
        <v>Mai</v>
      </c>
      <c r="I876" s="67">
        <f>YEAR(Data[[#This Row],[Buchung]])</f>
        <v>2017</v>
      </c>
      <c r="J876" s="2">
        <f>ABS(Data[[#This Row],[Betrag]])</f>
        <v>120</v>
      </c>
      <c r="K876" s="66" t="str">
        <f>IF(Data[[#This Row],[Betrag]]&lt;0,"A","E")</f>
        <v>A</v>
      </c>
    </row>
    <row r="877" spans="1:11" x14ac:dyDescent="0.25">
      <c r="A877" s="1">
        <v>42880</v>
      </c>
      <c r="B877" s="66" t="s">
        <v>58</v>
      </c>
      <c r="C877" s="66" t="s">
        <v>59</v>
      </c>
      <c r="D877" t="s">
        <v>60</v>
      </c>
      <c r="E877">
        <v>-60</v>
      </c>
      <c r="F877" s="66" t="s">
        <v>7</v>
      </c>
      <c r="G877" s="66" t="s">
        <v>10</v>
      </c>
      <c r="H877" s="66" t="str">
        <f>TEXT(Data[[#This Row],[Buchung]],"MMM")</f>
        <v>Mai</v>
      </c>
      <c r="I877" s="67">
        <f>YEAR(Data[[#This Row],[Buchung]])</f>
        <v>2017</v>
      </c>
      <c r="J877" s="2">
        <f>ABS(Data[[#This Row],[Betrag]])</f>
        <v>60</v>
      </c>
      <c r="K877" s="66" t="str">
        <f>IF(Data[[#This Row],[Betrag]]&lt;0,"A","E")</f>
        <v>A</v>
      </c>
    </row>
    <row r="878" spans="1:11" x14ac:dyDescent="0.25">
      <c r="A878" s="1">
        <v>42881</v>
      </c>
      <c r="B878" s="66" t="s">
        <v>45</v>
      </c>
      <c r="C878" s="66" t="s">
        <v>46</v>
      </c>
      <c r="D878" t="s">
        <v>47</v>
      </c>
      <c r="E878">
        <v>1000</v>
      </c>
      <c r="F878" s="66" t="s">
        <v>7</v>
      </c>
      <c r="G878" s="66" t="s">
        <v>9</v>
      </c>
      <c r="H878" s="66" t="str">
        <f>TEXT(Data[[#This Row],[Buchung]],"MMM")</f>
        <v>Mai</v>
      </c>
      <c r="I878" s="67">
        <f>YEAR(Data[[#This Row],[Buchung]])</f>
        <v>2017</v>
      </c>
      <c r="J878" s="2">
        <f>ABS(Data[[#This Row],[Betrag]])</f>
        <v>1000</v>
      </c>
      <c r="K878" s="66" t="str">
        <f>IF(Data[[#This Row],[Betrag]]&lt;0,"A","E")</f>
        <v>E</v>
      </c>
    </row>
    <row r="879" spans="1:11" x14ac:dyDescent="0.25">
      <c r="A879" s="1">
        <v>42882</v>
      </c>
      <c r="B879" s="66" t="s">
        <v>61</v>
      </c>
      <c r="C879" s="66" t="s">
        <v>49</v>
      </c>
      <c r="D879" t="s">
        <v>62</v>
      </c>
      <c r="E879">
        <v>-10</v>
      </c>
      <c r="F879" s="66" t="s">
        <v>7</v>
      </c>
      <c r="G879" s="66" t="s">
        <v>8</v>
      </c>
      <c r="H879" s="66" t="str">
        <f>TEXT(Data[[#This Row],[Buchung]],"MMM")</f>
        <v>Mai</v>
      </c>
      <c r="I879" s="67">
        <f>YEAR(Data[[#This Row],[Buchung]])</f>
        <v>2017</v>
      </c>
      <c r="J879" s="2">
        <f>ABS(Data[[#This Row],[Betrag]])</f>
        <v>10</v>
      </c>
      <c r="K879" s="66" t="str">
        <f>IF(Data[[#This Row],[Betrag]]&lt;0,"A","E")</f>
        <v>A</v>
      </c>
    </row>
    <row r="880" spans="1:11" x14ac:dyDescent="0.25">
      <c r="A880" s="1">
        <v>42883</v>
      </c>
      <c r="B880" s="66" t="s">
        <v>63</v>
      </c>
      <c r="C880" s="66" t="s">
        <v>64</v>
      </c>
      <c r="D880" t="s">
        <v>65</v>
      </c>
      <c r="E880">
        <v>-70</v>
      </c>
      <c r="F880" s="66" t="s">
        <v>7</v>
      </c>
      <c r="G880" s="66" t="s">
        <v>11</v>
      </c>
      <c r="H880" s="66" t="str">
        <f>TEXT(Data[[#This Row],[Buchung]],"MMM")</f>
        <v>Mai</v>
      </c>
      <c r="I880" s="67">
        <f>YEAR(Data[[#This Row],[Buchung]])</f>
        <v>2017</v>
      </c>
      <c r="J880" s="2">
        <f>ABS(Data[[#This Row],[Betrag]])</f>
        <v>70</v>
      </c>
      <c r="K880" s="66" t="str">
        <f>IF(Data[[#This Row],[Betrag]]&lt;0,"A","E")</f>
        <v>A</v>
      </c>
    </row>
    <row r="881" spans="1:11" x14ac:dyDescent="0.25">
      <c r="A881" s="1">
        <v>42884</v>
      </c>
      <c r="B881" s="66" t="s">
        <v>54</v>
      </c>
      <c r="C881" s="66" t="s">
        <v>55</v>
      </c>
      <c r="D881" t="s">
        <v>66</v>
      </c>
      <c r="E881">
        <v>-80</v>
      </c>
      <c r="F881" s="66" t="s">
        <v>7</v>
      </c>
      <c r="G881" s="66" t="s">
        <v>57</v>
      </c>
      <c r="H881" s="66" t="str">
        <f>TEXT(Data[[#This Row],[Buchung]],"MMM")</f>
        <v>Mai</v>
      </c>
      <c r="I881" s="67">
        <f>YEAR(Data[[#This Row],[Buchung]])</f>
        <v>2017</v>
      </c>
      <c r="J881" s="2">
        <f>ABS(Data[[#This Row],[Betrag]])</f>
        <v>80</v>
      </c>
      <c r="K881" s="66" t="str">
        <f>IF(Data[[#This Row],[Betrag]]&lt;0,"A","E")</f>
        <v>A</v>
      </c>
    </row>
    <row r="882" spans="1:11" x14ac:dyDescent="0.25">
      <c r="A882" s="1">
        <v>42885</v>
      </c>
      <c r="B882" s="66" t="s">
        <v>67</v>
      </c>
      <c r="C882" s="66" t="s">
        <v>59</v>
      </c>
      <c r="D882" t="s">
        <v>68</v>
      </c>
      <c r="E882">
        <v>-25</v>
      </c>
      <c r="F882" s="66" t="s">
        <v>7</v>
      </c>
      <c r="G882" s="66" t="s">
        <v>10</v>
      </c>
      <c r="H882" s="66" t="str">
        <f>TEXT(Data[[#This Row],[Buchung]],"MMM")</f>
        <v>Mai</v>
      </c>
      <c r="I882" s="67">
        <f>YEAR(Data[[#This Row],[Buchung]])</f>
        <v>2017</v>
      </c>
      <c r="J882" s="2">
        <f>ABS(Data[[#This Row],[Betrag]])</f>
        <v>25</v>
      </c>
      <c r="K882" s="66" t="str">
        <f>IF(Data[[#This Row],[Betrag]]&lt;0,"A","E")</f>
        <v>A</v>
      </c>
    </row>
    <row r="883" spans="1:11" x14ac:dyDescent="0.25">
      <c r="A883" s="1">
        <v>42886</v>
      </c>
      <c r="B883" s="66" t="s">
        <v>45</v>
      </c>
      <c r="C883" s="66" t="s">
        <v>46</v>
      </c>
      <c r="D883" t="s">
        <v>47</v>
      </c>
      <c r="E883">
        <v>1000</v>
      </c>
      <c r="F883" s="66" t="s">
        <v>7</v>
      </c>
      <c r="G883" s="66" t="s">
        <v>9</v>
      </c>
      <c r="H883" s="66" t="str">
        <f>TEXT(Data[[#This Row],[Buchung]],"MMM")</f>
        <v>Mai</v>
      </c>
      <c r="I883" s="67">
        <f>YEAR(Data[[#This Row],[Buchung]])</f>
        <v>2017</v>
      </c>
      <c r="J883" s="2">
        <f>ABS(Data[[#This Row],[Betrag]])</f>
        <v>1000</v>
      </c>
      <c r="K883" s="66" t="str">
        <f>IF(Data[[#This Row],[Betrag]]&lt;0,"A","E")</f>
        <v>E</v>
      </c>
    </row>
    <row r="884" spans="1:11" x14ac:dyDescent="0.25">
      <c r="A884" s="1">
        <v>42887</v>
      </c>
      <c r="B884" s="66" t="s">
        <v>48</v>
      </c>
      <c r="C884" s="66" t="s">
        <v>49</v>
      </c>
      <c r="D884" t="s">
        <v>50</v>
      </c>
      <c r="E884">
        <v>-15</v>
      </c>
      <c r="F884" s="66" t="s">
        <v>7</v>
      </c>
      <c r="G884" s="66" t="s">
        <v>8</v>
      </c>
      <c r="H884" s="66" t="str">
        <f>TEXT(Data[[#This Row],[Buchung]],"MMM")</f>
        <v>Jun</v>
      </c>
      <c r="I884" s="67">
        <f>YEAR(Data[[#This Row],[Buchung]])</f>
        <v>2017</v>
      </c>
      <c r="J884" s="2">
        <f>ABS(Data[[#This Row],[Betrag]])</f>
        <v>15</v>
      </c>
      <c r="K884" s="66" t="str">
        <f>IF(Data[[#This Row],[Betrag]]&lt;0,"A","E")</f>
        <v>A</v>
      </c>
    </row>
    <row r="885" spans="1:11" x14ac:dyDescent="0.25">
      <c r="A885" s="1">
        <v>42888</v>
      </c>
      <c r="B885" s="66" t="s">
        <v>51</v>
      </c>
      <c r="C885" s="66" t="s">
        <v>52</v>
      </c>
      <c r="D885" t="s">
        <v>53</v>
      </c>
      <c r="E885">
        <v>-350</v>
      </c>
      <c r="F885" s="66" t="s">
        <v>7</v>
      </c>
      <c r="G885" s="66" t="s">
        <v>11</v>
      </c>
      <c r="H885" s="66" t="str">
        <f>TEXT(Data[[#This Row],[Buchung]],"MMM")</f>
        <v>Jun</v>
      </c>
      <c r="I885" s="67">
        <f>YEAR(Data[[#This Row],[Buchung]])</f>
        <v>2017</v>
      </c>
      <c r="J885" s="2">
        <f>ABS(Data[[#This Row],[Betrag]])</f>
        <v>350</v>
      </c>
      <c r="K885" s="66" t="str">
        <f>IF(Data[[#This Row],[Betrag]]&lt;0,"A","E")</f>
        <v>A</v>
      </c>
    </row>
    <row r="886" spans="1:11" x14ac:dyDescent="0.25">
      <c r="A886" s="1">
        <v>42889</v>
      </c>
      <c r="B886" s="66" t="s">
        <v>54</v>
      </c>
      <c r="C886" s="66" t="s">
        <v>55</v>
      </c>
      <c r="D886" t="s">
        <v>56</v>
      </c>
      <c r="E886">
        <v>-120</v>
      </c>
      <c r="F886" s="66" t="s">
        <v>7</v>
      </c>
      <c r="G886" s="66" t="s">
        <v>57</v>
      </c>
      <c r="H886" s="66" t="str">
        <f>TEXT(Data[[#This Row],[Buchung]],"MMM")</f>
        <v>Jun</v>
      </c>
      <c r="I886" s="67">
        <f>YEAR(Data[[#This Row],[Buchung]])</f>
        <v>2017</v>
      </c>
      <c r="J886" s="2">
        <f>ABS(Data[[#This Row],[Betrag]])</f>
        <v>120</v>
      </c>
      <c r="K886" s="66" t="str">
        <f>IF(Data[[#This Row],[Betrag]]&lt;0,"A","E")</f>
        <v>A</v>
      </c>
    </row>
    <row r="887" spans="1:11" x14ac:dyDescent="0.25">
      <c r="A887" s="1">
        <v>42890</v>
      </c>
      <c r="B887" s="66" t="s">
        <v>58</v>
      </c>
      <c r="C887" s="66" t="s">
        <v>59</v>
      </c>
      <c r="D887" t="s">
        <v>60</v>
      </c>
      <c r="E887">
        <v>-70</v>
      </c>
      <c r="F887" s="66" t="s">
        <v>7</v>
      </c>
      <c r="G887" s="66" t="s">
        <v>10</v>
      </c>
      <c r="H887" s="66" t="str">
        <f>TEXT(Data[[#This Row],[Buchung]],"MMM")</f>
        <v>Jun</v>
      </c>
      <c r="I887" s="67">
        <f>YEAR(Data[[#This Row],[Buchung]])</f>
        <v>2017</v>
      </c>
      <c r="J887" s="2">
        <f>ABS(Data[[#This Row],[Betrag]])</f>
        <v>70</v>
      </c>
      <c r="K887" s="66" t="str">
        <f>IF(Data[[#This Row],[Betrag]]&lt;0,"A","E")</f>
        <v>A</v>
      </c>
    </row>
    <row r="888" spans="1:11" x14ac:dyDescent="0.25">
      <c r="A888" s="1">
        <v>42891</v>
      </c>
      <c r="B888" s="66" t="s">
        <v>45</v>
      </c>
      <c r="C888" s="66" t="s">
        <v>46</v>
      </c>
      <c r="D888" t="s">
        <v>47</v>
      </c>
      <c r="E888">
        <v>1000</v>
      </c>
      <c r="F888" s="66" t="s">
        <v>7</v>
      </c>
      <c r="G888" s="66" t="s">
        <v>9</v>
      </c>
      <c r="H888" s="66" t="str">
        <f>TEXT(Data[[#This Row],[Buchung]],"MMM")</f>
        <v>Jun</v>
      </c>
      <c r="I888" s="67">
        <f>YEAR(Data[[#This Row],[Buchung]])</f>
        <v>2017</v>
      </c>
      <c r="J888" s="2">
        <f>ABS(Data[[#This Row],[Betrag]])</f>
        <v>1000</v>
      </c>
      <c r="K888" s="66" t="str">
        <f>IF(Data[[#This Row],[Betrag]]&lt;0,"A","E")</f>
        <v>E</v>
      </c>
    </row>
    <row r="889" spans="1:11" x14ac:dyDescent="0.25">
      <c r="A889" s="1">
        <v>42892</v>
      </c>
      <c r="B889" s="66" t="s">
        <v>61</v>
      </c>
      <c r="C889" s="66" t="s">
        <v>49</v>
      </c>
      <c r="D889" t="s">
        <v>62</v>
      </c>
      <c r="E889">
        <v>-10</v>
      </c>
      <c r="F889" s="66" t="s">
        <v>7</v>
      </c>
      <c r="G889" s="66" t="s">
        <v>8</v>
      </c>
      <c r="H889" s="66" t="str">
        <f>TEXT(Data[[#This Row],[Buchung]],"MMM")</f>
        <v>Jun</v>
      </c>
      <c r="I889" s="67">
        <f>YEAR(Data[[#This Row],[Buchung]])</f>
        <v>2017</v>
      </c>
      <c r="J889" s="2">
        <f>ABS(Data[[#This Row],[Betrag]])</f>
        <v>10</v>
      </c>
      <c r="K889" s="66" t="str">
        <f>IF(Data[[#This Row],[Betrag]]&lt;0,"A","E")</f>
        <v>A</v>
      </c>
    </row>
    <row r="890" spans="1:11" x14ac:dyDescent="0.25">
      <c r="A890" s="1">
        <v>42893</v>
      </c>
      <c r="B890" s="66" t="s">
        <v>63</v>
      </c>
      <c r="C890" s="66" t="s">
        <v>64</v>
      </c>
      <c r="D890" t="s">
        <v>65</v>
      </c>
      <c r="E890">
        <v>-60</v>
      </c>
      <c r="F890" s="66" t="s">
        <v>7</v>
      </c>
      <c r="G890" s="66" t="s">
        <v>11</v>
      </c>
      <c r="H890" s="66" t="str">
        <f>TEXT(Data[[#This Row],[Buchung]],"MMM")</f>
        <v>Jun</v>
      </c>
      <c r="I890" s="67">
        <f>YEAR(Data[[#This Row],[Buchung]])</f>
        <v>2017</v>
      </c>
      <c r="J890" s="2">
        <f>ABS(Data[[#This Row],[Betrag]])</f>
        <v>60</v>
      </c>
      <c r="K890" s="66" t="str">
        <f>IF(Data[[#This Row],[Betrag]]&lt;0,"A","E")</f>
        <v>A</v>
      </c>
    </row>
    <row r="891" spans="1:11" x14ac:dyDescent="0.25">
      <c r="A891" s="1">
        <v>42894</v>
      </c>
      <c r="B891" s="66" t="s">
        <v>54</v>
      </c>
      <c r="C891" s="66" t="s">
        <v>55</v>
      </c>
      <c r="D891" t="s">
        <v>66</v>
      </c>
      <c r="E891">
        <v>-80</v>
      </c>
      <c r="F891" s="66" t="s">
        <v>7</v>
      </c>
      <c r="G891" s="66" t="s">
        <v>57</v>
      </c>
      <c r="H891" s="66" t="str">
        <f>TEXT(Data[[#This Row],[Buchung]],"MMM")</f>
        <v>Jun</v>
      </c>
      <c r="I891" s="67">
        <f>YEAR(Data[[#This Row],[Buchung]])</f>
        <v>2017</v>
      </c>
      <c r="J891" s="2">
        <f>ABS(Data[[#This Row],[Betrag]])</f>
        <v>80</v>
      </c>
      <c r="K891" s="66" t="str">
        <f>IF(Data[[#This Row],[Betrag]]&lt;0,"A","E")</f>
        <v>A</v>
      </c>
    </row>
    <row r="892" spans="1:11" x14ac:dyDescent="0.25">
      <c r="A892" s="1">
        <v>42895</v>
      </c>
      <c r="B892" s="66" t="s">
        <v>67</v>
      </c>
      <c r="C892" s="66" t="s">
        <v>59</v>
      </c>
      <c r="D892" t="s">
        <v>68</v>
      </c>
      <c r="E892">
        <v>-30</v>
      </c>
      <c r="F892" s="66" t="s">
        <v>7</v>
      </c>
      <c r="G892" s="66" t="s">
        <v>10</v>
      </c>
      <c r="H892" s="66" t="str">
        <f>TEXT(Data[[#This Row],[Buchung]],"MMM")</f>
        <v>Jun</v>
      </c>
      <c r="I892" s="67">
        <f>YEAR(Data[[#This Row],[Buchung]])</f>
        <v>2017</v>
      </c>
      <c r="J892" s="2">
        <f>ABS(Data[[#This Row],[Betrag]])</f>
        <v>30</v>
      </c>
      <c r="K892" s="66" t="str">
        <f>IF(Data[[#This Row],[Betrag]]&lt;0,"A","E")</f>
        <v>A</v>
      </c>
    </row>
    <row r="893" spans="1:11" x14ac:dyDescent="0.25">
      <c r="A893" s="1">
        <v>42896</v>
      </c>
      <c r="B893" s="66" t="s">
        <v>45</v>
      </c>
      <c r="C893" s="66" t="s">
        <v>46</v>
      </c>
      <c r="D893" t="s">
        <v>47</v>
      </c>
      <c r="E893">
        <v>1000</v>
      </c>
      <c r="F893" s="66" t="s">
        <v>7</v>
      </c>
      <c r="G893" s="66" t="s">
        <v>9</v>
      </c>
      <c r="H893" s="66" t="str">
        <f>TEXT(Data[[#This Row],[Buchung]],"MMM")</f>
        <v>Jun</v>
      </c>
      <c r="I893" s="67">
        <f>YEAR(Data[[#This Row],[Buchung]])</f>
        <v>2017</v>
      </c>
      <c r="J893" s="2">
        <f>ABS(Data[[#This Row],[Betrag]])</f>
        <v>1000</v>
      </c>
      <c r="K893" s="66" t="str">
        <f>IF(Data[[#This Row],[Betrag]]&lt;0,"A","E")</f>
        <v>E</v>
      </c>
    </row>
    <row r="894" spans="1:11" x14ac:dyDescent="0.25">
      <c r="A894" s="1">
        <v>42897</v>
      </c>
      <c r="B894" s="66" t="s">
        <v>48</v>
      </c>
      <c r="C894" s="66" t="s">
        <v>49</v>
      </c>
      <c r="D894" t="s">
        <v>50</v>
      </c>
      <c r="E894">
        <v>-15</v>
      </c>
      <c r="F894" s="66" t="s">
        <v>7</v>
      </c>
      <c r="G894" s="66" t="s">
        <v>8</v>
      </c>
      <c r="H894" s="66" t="str">
        <f>TEXT(Data[[#This Row],[Buchung]],"MMM")</f>
        <v>Jun</v>
      </c>
      <c r="I894" s="67">
        <f>YEAR(Data[[#This Row],[Buchung]])</f>
        <v>2017</v>
      </c>
      <c r="J894" s="2">
        <f>ABS(Data[[#This Row],[Betrag]])</f>
        <v>15</v>
      </c>
      <c r="K894" s="66" t="str">
        <f>IF(Data[[#This Row],[Betrag]]&lt;0,"A","E")</f>
        <v>A</v>
      </c>
    </row>
    <row r="895" spans="1:11" x14ac:dyDescent="0.25">
      <c r="A895" s="1">
        <v>42898</v>
      </c>
      <c r="B895" s="66" t="s">
        <v>51</v>
      </c>
      <c r="C895" s="66" t="s">
        <v>52</v>
      </c>
      <c r="D895" t="s">
        <v>53</v>
      </c>
      <c r="E895">
        <v>-350</v>
      </c>
      <c r="F895" s="66" t="s">
        <v>7</v>
      </c>
      <c r="G895" s="66" t="s">
        <v>11</v>
      </c>
      <c r="H895" s="66" t="str">
        <f>TEXT(Data[[#This Row],[Buchung]],"MMM")</f>
        <v>Jun</v>
      </c>
      <c r="I895" s="67">
        <f>YEAR(Data[[#This Row],[Buchung]])</f>
        <v>2017</v>
      </c>
      <c r="J895" s="2">
        <f>ABS(Data[[#This Row],[Betrag]])</f>
        <v>350</v>
      </c>
      <c r="K895" s="66" t="str">
        <f>IF(Data[[#This Row],[Betrag]]&lt;0,"A","E")</f>
        <v>A</v>
      </c>
    </row>
    <row r="896" spans="1:11" x14ac:dyDescent="0.25">
      <c r="A896" s="1">
        <v>42899</v>
      </c>
      <c r="B896" s="66" t="s">
        <v>54</v>
      </c>
      <c r="C896" s="66" t="s">
        <v>55</v>
      </c>
      <c r="D896" t="s">
        <v>56</v>
      </c>
      <c r="E896">
        <v>-120</v>
      </c>
      <c r="F896" s="66" t="s">
        <v>7</v>
      </c>
      <c r="G896" s="66" t="s">
        <v>57</v>
      </c>
      <c r="H896" s="66" t="str">
        <f>TEXT(Data[[#This Row],[Buchung]],"MMM")</f>
        <v>Jun</v>
      </c>
      <c r="I896" s="67">
        <f>YEAR(Data[[#This Row],[Buchung]])</f>
        <v>2017</v>
      </c>
      <c r="J896" s="2">
        <f>ABS(Data[[#This Row],[Betrag]])</f>
        <v>120</v>
      </c>
      <c r="K896" s="66" t="str">
        <f>IF(Data[[#This Row],[Betrag]]&lt;0,"A","E")</f>
        <v>A</v>
      </c>
    </row>
    <row r="897" spans="1:11" x14ac:dyDescent="0.25">
      <c r="A897" s="1">
        <v>42900</v>
      </c>
      <c r="B897" s="66" t="s">
        <v>58</v>
      </c>
      <c r="C897" s="66" t="s">
        <v>59</v>
      </c>
      <c r="D897" t="s">
        <v>60</v>
      </c>
      <c r="E897">
        <v>-80</v>
      </c>
      <c r="F897" s="66" t="s">
        <v>7</v>
      </c>
      <c r="G897" s="66" t="s">
        <v>10</v>
      </c>
      <c r="H897" s="66" t="str">
        <f>TEXT(Data[[#This Row],[Buchung]],"MMM")</f>
        <v>Jun</v>
      </c>
      <c r="I897" s="67">
        <f>YEAR(Data[[#This Row],[Buchung]])</f>
        <v>2017</v>
      </c>
      <c r="J897" s="2">
        <f>ABS(Data[[#This Row],[Betrag]])</f>
        <v>80</v>
      </c>
      <c r="K897" s="66" t="str">
        <f>IF(Data[[#This Row],[Betrag]]&lt;0,"A","E")</f>
        <v>A</v>
      </c>
    </row>
    <row r="898" spans="1:11" x14ac:dyDescent="0.25">
      <c r="A898" s="1">
        <v>42901</v>
      </c>
      <c r="B898" s="66" t="s">
        <v>45</v>
      </c>
      <c r="C898" s="66" t="s">
        <v>46</v>
      </c>
      <c r="D898" t="s">
        <v>47</v>
      </c>
      <c r="E898">
        <v>1000</v>
      </c>
      <c r="F898" s="66" t="s">
        <v>7</v>
      </c>
      <c r="G898" s="66" t="s">
        <v>9</v>
      </c>
      <c r="H898" s="66" t="str">
        <f>TEXT(Data[[#This Row],[Buchung]],"MMM")</f>
        <v>Jun</v>
      </c>
      <c r="I898" s="67">
        <f>YEAR(Data[[#This Row],[Buchung]])</f>
        <v>2017</v>
      </c>
      <c r="J898" s="2">
        <f>ABS(Data[[#This Row],[Betrag]])</f>
        <v>1000</v>
      </c>
      <c r="K898" s="66" t="str">
        <f>IF(Data[[#This Row],[Betrag]]&lt;0,"A","E")</f>
        <v>E</v>
      </c>
    </row>
    <row r="899" spans="1:11" x14ac:dyDescent="0.25">
      <c r="A899" s="1">
        <v>42902</v>
      </c>
      <c r="B899" s="66" t="s">
        <v>61</v>
      </c>
      <c r="C899" s="66" t="s">
        <v>49</v>
      </c>
      <c r="D899" t="s">
        <v>62</v>
      </c>
      <c r="E899">
        <v>-10</v>
      </c>
      <c r="F899" s="66" t="s">
        <v>7</v>
      </c>
      <c r="G899" s="66" t="s">
        <v>8</v>
      </c>
      <c r="H899" s="66" t="str">
        <f>TEXT(Data[[#This Row],[Buchung]],"MMM")</f>
        <v>Jun</v>
      </c>
      <c r="I899" s="67">
        <f>YEAR(Data[[#This Row],[Buchung]])</f>
        <v>2017</v>
      </c>
      <c r="J899" s="2">
        <f>ABS(Data[[#This Row],[Betrag]])</f>
        <v>10</v>
      </c>
      <c r="K899" s="66" t="str">
        <f>IF(Data[[#This Row],[Betrag]]&lt;0,"A","E")</f>
        <v>A</v>
      </c>
    </row>
    <row r="900" spans="1:11" x14ac:dyDescent="0.25">
      <c r="A900" s="1">
        <v>42903</v>
      </c>
      <c r="B900" s="66" t="s">
        <v>63</v>
      </c>
      <c r="C900" s="66" t="s">
        <v>64</v>
      </c>
      <c r="D900" t="s">
        <v>65</v>
      </c>
      <c r="E900">
        <v>-65</v>
      </c>
      <c r="F900" s="66" t="s">
        <v>7</v>
      </c>
      <c r="G900" s="66" t="s">
        <v>11</v>
      </c>
      <c r="H900" s="66" t="str">
        <f>TEXT(Data[[#This Row],[Buchung]],"MMM")</f>
        <v>Jun</v>
      </c>
      <c r="I900" s="67">
        <f>YEAR(Data[[#This Row],[Buchung]])</f>
        <v>2017</v>
      </c>
      <c r="J900" s="2">
        <f>ABS(Data[[#This Row],[Betrag]])</f>
        <v>65</v>
      </c>
      <c r="K900" s="66" t="str">
        <f>IF(Data[[#This Row],[Betrag]]&lt;0,"A","E")</f>
        <v>A</v>
      </c>
    </row>
    <row r="901" spans="1:11" x14ac:dyDescent="0.25">
      <c r="A901" s="1">
        <v>42904</v>
      </c>
      <c r="B901" s="66" t="s">
        <v>54</v>
      </c>
      <c r="C901" s="66" t="s">
        <v>55</v>
      </c>
      <c r="D901" t="s">
        <v>66</v>
      </c>
      <c r="E901">
        <v>-80</v>
      </c>
      <c r="F901" s="66" t="s">
        <v>7</v>
      </c>
      <c r="G901" s="66" t="s">
        <v>57</v>
      </c>
      <c r="H901" s="66" t="str">
        <f>TEXT(Data[[#This Row],[Buchung]],"MMM")</f>
        <v>Jun</v>
      </c>
      <c r="I901" s="67">
        <f>YEAR(Data[[#This Row],[Buchung]])</f>
        <v>2017</v>
      </c>
      <c r="J901" s="2">
        <f>ABS(Data[[#This Row],[Betrag]])</f>
        <v>80</v>
      </c>
      <c r="K901" s="66" t="str">
        <f>IF(Data[[#This Row],[Betrag]]&lt;0,"A","E")</f>
        <v>A</v>
      </c>
    </row>
    <row r="902" spans="1:11" x14ac:dyDescent="0.25">
      <c r="A902" s="1">
        <v>42905</v>
      </c>
      <c r="B902" s="66" t="s">
        <v>67</v>
      </c>
      <c r="C902" s="66" t="s">
        <v>59</v>
      </c>
      <c r="D902" t="s">
        <v>68</v>
      </c>
      <c r="E902">
        <v>-35</v>
      </c>
      <c r="F902" s="66" t="s">
        <v>7</v>
      </c>
      <c r="G902" s="66" t="s">
        <v>10</v>
      </c>
      <c r="H902" s="66" t="str">
        <f>TEXT(Data[[#This Row],[Buchung]],"MMM")</f>
        <v>Jun</v>
      </c>
      <c r="I902" s="67">
        <f>YEAR(Data[[#This Row],[Buchung]])</f>
        <v>2017</v>
      </c>
      <c r="J902" s="2">
        <f>ABS(Data[[#This Row],[Betrag]])</f>
        <v>35</v>
      </c>
      <c r="K902" s="66" t="str">
        <f>IF(Data[[#This Row],[Betrag]]&lt;0,"A","E")</f>
        <v>A</v>
      </c>
    </row>
    <row r="903" spans="1:11" x14ac:dyDescent="0.25">
      <c r="A903" s="1">
        <v>42906</v>
      </c>
      <c r="B903" s="66" t="s">
        <v>45</v>
      </c>
      <c r="C903" s="66" t="s">
        <v>46</v>
      </c>
      <c r="D903" t="s">
        <v>47</v>
      </c>
      <c r="E903">
        <v>1000</v>
      </c>
      <c r="F903" s="66" t="s">
        <v>7</v>
      </c>
      <c r="G903" s="66" t="s">
        <v>9</v>
      </c>
      <c r="H903" s="66" t="str">
        <f>TEXT(Data[[#This Row],[Buchung]],"MMM")</f>
        <v>Jun</v>
      </c>
      <c r="I903" s="67">
        <f>YEAR(Data[[#This Row],[Buchung]])</f>
        <v>2017</v>
      </c>
      <c r="J903" s="2">
        <f>ABS(Data[[#This Row],[Betrag]])</f>
        <v>1000</v>
      </c>
      <c r="K903" s="66" t="str">
        <f>IF(Data[[#This Row],[Betrag]]&lt;0,"A","E")</f>
        <v>E</v>
      </c>
    </row>
    <row r="904" spans="1:11" x14ac:dyDescent="0.25">
      <c r="A904" s="1">
        <v>42907</v>
      </c>
      <c r="B904" s="66" t="s">
        <v>45</v>
      </c>
      <c r="C904" s="66" t="s">
        <v>46</v>
      </c>
      <c r="D904" t="s">
        <v>47</v>
      </c>
      <c r="E904">
        <v>1000</v>
      </c>
      <c r="F904" s="66" t="s">
        <v>7</v>
      </c>
      <c r="G904" s="66" t="s">
        <v>9</v>
      </c>
      <c r="H904" s="66" t="str">
        <f>TEXT(Data[[#This Row],[Buchung]],"MMM")</f>
        <v>Jun</v>
      </c>
      <c r="I904" s="67">
        <f>YEAR(Data[[#This Row],[Buchung]])</f>
        <v>2017</v>
      </c>
      <c r="J904" s="2">
        <f>ABS(Data[[#This Row],[Betrag]])</f>
        <v>1000</v>
      </c>
      <c r="K904" s="66" t="str">
        <f>IF(Data[[#This Row],[Betrag]]&lt;0,"A","E")</f>
        <v>E</v>
      </c>
    </row>
    <row r="905" spans="1:11" x14ac:dyDescent="0.25">
      <c r="A905" s="1">
        <v>42908</v>
      </c>
      <c r="B905" s="66" t="s">
        <v>48</v>
      </c>
      <c r="C905" s="66" t="s">
        <v>49</v>
      </c>
      <c r="D905" t="s">
        <v>50</v>
      </c>
      <c r="E905">
        <v>-15</v>
      </c>
      <c r="F905" s="66" t="s">
        <v>7</v>
      </c>
      <c r="G905" s="66" t="s">
        <v>8</v>
      </c>
      <c r="H905" s="66" t="str">
        <f>TEXT(Data[[#This Row],[Buchung]],"MMM")</f>
        <v>Jun</v>
      </c>
      <c r="I905" s="67">
        <f>YEAR(Data[[#This Row],[Buchung]])</f>
        <v>2017</v>
      </c>
      <c r="J905" s="2">
        <f>ABS(Data[[#This Row],[Betrag]])</f>
        <v>15</v>
      </c>
      <c r="K905" s="66" t="str">
        <f>IF(Data[[#This Row],[Betrag]]&lt;0,"A","E")</f>
        <v>A</v>
      </c>
    </row>
    <row r="906" spans="1:11" x14ac:dyDescent="0.25">
      <c r="A906" s="1">
        <v>42909</v>
      </c>
      <c r="B906" s="66" t="s">
        <v>51</v>
      </c>
      <c r="C906" s="66" t="s">
        <v>52</v>
      </c>
      <c r="D906" t="s">
        <v>53</v>
      </c>
      <c r="E906">
        <v>-350</v>
      </c>
      <c r="F906" s="66" t="s">
        <v>7</v>
      </c>
      <c r="G906" s="66" t="s">
        <v>11</v>
      </c>
      <c r="H906" s="66" t="str">
        <f>TEXT(Data[[#This Row],[Buchung]],"MMM")</f>
        <v>Jun</v>
      </c>
      <c r="I906" s="67">
        <f>YEAR(Data[[#This Row],[Buchung]])</f>
        <v>2017</v>
      </c>
      <c r="J906" s="2">
        <f>ABS(Data[[#This Row],[Betrag]])</f>
        <v>350</v>
      </c>
      <c r="K906" s="66" t="str">
        <f>IF(Data[[#This Row],[Betrag]]&lt;0,"A","E")</f>
        <v>A</v>
      </c>
    </row>
    <row r="907" spans="1:11" x14ac:dyDescent="0.25">
      <c r="A907" s="1">
        <v>42910</v>
      </c>
      <c r="B907" s="66" t="s">
        <v>54</v>
      </c>
      <c r="C907" s="66" t="s">
        <v>55</v>
      </c>
      <c r="D907" t="s">
        <v>56</v>
      </c>
      <c r="E907">
        <v>-120</v>
      </c>
      <c r="F907" s="66" t="s">
        <v>7</v>
      </c>
      <c r="G907" s="66" t="s">
        <v>57</v>
      </c>
      <c r="H907" s="66" t="str">
        <f>TEXT(Data[[#This Row],[Buchung]],"MMM")</f>
        <v>Jun</v>
      </c>
      <c r="I907" s="67">
        <f>YEAR(Data[[#This Row],[Buchung]])</f>
        <v>2017</v>
      </c>
      <c r="J907" s="2">
        <f>ABS(Data[[#This Row],[Betrag]])</f>
        <v>120</v>
      </c>
      <c r="K907" s="66" t="str">
        <f>IF(Data[[#This Row],[Betrag]]&lt;0,"A","E")</f>
        <v>A</v>
      </c>
    </row>
    <row r="908" spans="1:11" x14ac:dyDescent="0.25">
      <c r="A908" s="1">
        <v>42911</v>
      </c>
      <c r="B908" s="66" t="s">
        <v>58</v>
      </c>
      <c r="C908" s="66" t="s">
        <v>59</v>
      </c>
      <c r="D908" t="s">
        <v>60</v>
      </c>
      <c r="E908">
        <v>-50</v>
      </c>
      <c r="F908" s="66" t="s">
        <v>7</v>
      </c>
      <c r="G908" s="66" t="s">
        <v>10</v>
      </c>
      <c r="H908" s="66" t="str">
        <f>TEXT(Data[[#This Row],[Buchung]],"MMM")</f>
        <v>Jun</v>
      </c>
      <c r="I908" s="67">
        <f>YEAR(Data[[#This Row],[Buchung]])</f>
        <v>2017</v>
      </c>
      <c r="J908" s="2">
        <f>ABS(Data[[#This Row],[Betrag]])</f>
        <v>50</v>
      </c>
      <c r="K908" s="66" t="str">
        <f>IF(Data[[#This Row],[Betrag]]&lt;0,"A","E")</f>
        <v>A</v>
      </c>
    </row>
    <row r="909" spans="1:11" x14ac:dyDescent="0.25">
      <c r="A909" s="1">
        <v>42912</v>
      </c>
      <c r="B909" s="66" t="s">
        <v>45</v>
      </c>
      <c r="C909" s="66" t="s">
        <v>46</v>
      </c>
      <c r="D909" t="s">
        <v>47</v>
      </c>
      <c r="E909">
        <v>1000</v>
      </c>
      <c r="F909" s="66" t="s">
        <v>7</v>
      </c>
      <c r="G909" s="66" t="s">
        <v>9</v>
      </c>
      <c r="H909" s="66" t="str">
        <f>TEXT(Data[[#This Row],[Buchung]],"MMM")</f>
        <v>Jun</v>
      </c>
      <c r="I909" s="67">
        <f>YEAR(Data[[#This Row],[Buchung]])</f>
        <v>2017</v>
      </c>
      <c r="J909" s="2">
        <f>ABS(Data[[#This Row],[Betrag]])</f>
        <v>1000</v>
      </c>
      <c r="K909" s="66" t="str">
        <f>IF(Data[[#This Row],[Betrag]]&lt;0,"A","E")</f>
        <v>E</v>
      </c>
    </row>
    <row r="910" spans="1:11" x14ac:dyDescent="0.25">
      <c r="A910" s="1">
        <v>42913</v>
      </c>
      <c r="B910" s="66" t="s">
        <v>61</v>
      </c>
      <c r="C910" s="66" t="s">
        <v>49</v>
      </c>
      <c r="D910" t="s">
        <v>62</v>
      </c>
      <c r="E910">
        <v>-10</v>
      </c>
      <c r="F910" s="66" t="s">
        <v>7</v>
      </c>
      <c r="G910" s="66" t="s">
        <v>8</v>
      </c>
      <c r="H910" s="66" t="str">
        <f>TEXT(Data[[#This Row],[Buchung]],"MMM")</f>
        <v>Jun</v>
      </c>
      <c r="I910" s="67">
        <f>YEAR(Data[[#This Row],[Buchung]])</f>
        <v>2017</v>
      </c>
      <c r="J910" s="2">
        <f>ABS(Data[[#This Row],[Betrag]])</f>
        <v>10</v>
      </c>
      <c r="K910" s="66" t="str">
        <f>IF(Data[[#This Row],[Betrag]]&lt;0,"A","E")</f>
        <v>A</v>
      </c>
    </row>
    <row r="911" spans="1:11" x14ac:dyDescent="0.25">
      <c r="A911" s="1">
        <v>42914</v>
      </c>
      <c r="B911" s="66" t="s">
        <v>63</v>
      </c>
      <c r="C911" s="66" t="s">
        <v>64</v>
      </c>
      <c r="D911" t="s">
        <v>65</v>
      </c>
      <c r="E911">
        <v>-60</v>
      </c>
      <c r="F911" s="66" t="s">
        <v>7</v>
      </c>
      <c r="G911" s="66" t="s">
        <v>11</v>
      </c>
      <c r="H911" s="66" t="str">
        <f>TEXT(Data[[#This Row],[Buchung]],"MMM")</f>
        <v>Jun</v>
      </c>
      <c r="I911" s="67">
        <f>YEAR(Data[[#This Row],[Buchung]])</f>
        <v>2017</v>
      </c>
      <c r="J911" s="2">
        <f>ABS(Data[[#This Row],[Betrag]])</f>
        <v>60</v>
      </c>
      <c r="K911" s="66" t="str">
        <f>IF(Data[[#This Row],[Betrag]]&lt;0,"A","E")</f>
        <v>A</v>
      </c>
    </row>
    <row r="912" spans="1:11" x14ac:dyDescent="0.25">
      <c r="A912" s="1">
        <v>42915</v>
      </c>
      <c r="B912" s="66" t="s">
        <v>54</v>
      </c>
      <c r="C912" s="66" t="s">
        <v>55</v>
      </c>
      <c r="D912" t="s">
        <v>66</v>
      </c>
      <c r="E912">
        <v>-80</v>
      </c>
      <c r="F912" s="66" t="s">
        <v>7</v>
      </c>
      <c r="G912" s="66" t="s">
        <v>57</v>
      </c>
      <c r="H912" s="66" t="str">
        <f>TEXT(Data[[#This Row],[Buchung]],"MMM")</f>
        <v>Jun</v>
      </c>
      <c r="I912" s="67">
        <f>YEAR(Data[[#This Row],[Buchung]])</f>
        <v>2017</v>
      </c>
      <c r="J912" s="2">
        <f>ABS(Data[[#This Row],[Betrag]])</f>
        <v>80</v>
      </c>
      <c r="K912" s="66" t="str">
        <f>IF(Data[[#This Row],[Betrag]]&lt;0,"A","E")</f>
        <v>A</v>
      </c>
    </row>
    <row r="913" spans="1:11" x14ac:dyDescent="0.25">
      <c r="A913" s="1">
        <v>42916</v>
      </c>
      <c r="B913" s="66" t="s">
        <v>67</v>
      </c>
      <c r="C913" s="66" t="s">
        <v>59</v>
      </c>
      <c r="D913" t="s">
        <v>68</v>
      </c>
      <c r="E913">
        <v>-20</v>
      </c>
      <c r="F913" s="66" t="s">
        <v>7</v>
      </c>
      <c r="G913" s="66" t="s">
        <v>10</v>
      </c>
      <c r="H913" s="66" t="str">
        <f>TEXT(Data[[#This Row],[Buchung]],"MMM")</f>
        <v>Jun</v>
      </c>
      <c r="I913" s="67">
        <f>YEAR(Data[[#This Row],[Buchung]])</f>
        <v>2017</v>
      </c>
      <c r="J913" s="2">
        <f>ABS(Data[[#This Row],[Betrag]])</f>
        <v>20</v>
      </c>
      <c r="K913" s="66" t="str">
        <f>IF(Data[[#This Row],[Betrag]]&lt;0,"A","E")</f>
        <v>A</v>
      </c>
    </row>
    <row r="914" spans="1:11" x14ac:dyDescent="0.25">
      <c r="A914" s="1">
        <v>42917</v>
      </c>
      <c r="B914" s="66" t="s">
        <v>45</v>
      </c>
      <c r="C914" s="66" t="s">
        <v>46</v>
      </c>
      <c r="D914" t="s">
        <v>47</v>
      </c>
      <c r="E914">
        <v>1000</v>
      </c>
      <c r="F914" s="66" t="s">
        <v>7</v>
      </c>
      <c r="G914" s="66" t="s">
        <v>9</v>
      </c>
      <c r="H914" s="66" t="str">
        <f>TEXT(Data[[#This Row],[Buchung]],"MMM")</f>
        <v>Jul</v>
      </c>
      <c r="I914" s="67">
        <f>YEAR(Data[[#This Row],[Buchung]])</f>
        <v>2017</v>
      </c>
      <c r="J914" s="2">
        <f>ABS(Data[[#This Row],[Betrag]])</f>
        <v>1000</v>
      </c>
      <c r="K914" s="66" t="str">
        <f>IF(Data[[#This Row],[Betrag]]&lt;0,"A","E")</f>
        <v>E</v>
      </c>
    </row>
    <row r="915" spans="1:11" x14ac:dyDescent="0.25">
      <c r="A915" s="1">
        <v>42918</v>
      </c>
      <c r="B915" s="66" t="s">
        <v>48</v>
      </c>
      <c r="C915" s="66" t="s">
        <v>49</v>
      </c>
      <c r="D915" t="s">
        <v>50</v>
      </c>
      <c r="E915">
        <v>-15</v>
      </c>
      <c r="F915" s="66" t="s">
        <v>7</v>
      </c>
      <c r="G915" s="66" t="s">
        <v>8</v>
      </c>
      <c r="H915" s="66" t="str">
        <f>TEXT(Data[[#This Row],[Buchung]],"MMM")</f>
        <v>Jul</v>
      </c>
      <c r="I915" s="67">
        <f>YEAR(Data[[#This Row],[Buchung]])</f>
        <v>2017</v>
      </c>
      <c r="J915" s="2">
        <f>ABS(Data[[#This Row],[Betrag]])</f>
        <v>15</v>
      </c>
      <c r="K915" s="66" t="str">
        <f>IF(Data[[#This Row],[Betrag]]&lt;0,"A","E")</f>
        <v>A</v>
      </c>
    </row>
    <row r="916" spans="1:11" x14ac:dyDescent="0.25">
      <c r="A916" s="1">
        <v>42919</v>
      </c>
      <c r="B916" s="66" t="s">
        <v>51</v>
      </c>
      <c r="C916" s="66" t="s">
        <v>52</v>
      </c>
      <c r="D916" t="s">
        <v>53</v>
      </c>
      <c r="E916">
        <v>-350</v>
      </c>
      <c r="F916" s="66" t="s">
        <v>7</v>
      </c>
      <c r="G916" s="66" t="s">
        <v>11</v>
      </c>
      <c r="H916" s="66" t="str">
        <f>TEXT(Data[[#This Row],[Buchung]],"MMM")</f>
        <v>Jul</v>
      </c>
      <c r="I916" s="67">
        <f>YEAR(Data[[#This Row],[Buchung]])</f>
        <v>2017</v>
      </c>
      <c r="J916" s="2">
        <f>ABS(Data[[#This Row],[Betrag]])</f>
        <v>350</v>
      </c>
      <c r="K916" s="66" t="str">
        <f>IF(Data[[#This Row],[Betrag]]&lt;0,"A","E")</f>
        <v>A</v>
      </c>
    </row>
    <row r="917" spans="1:11" x14ac:dyDescent="0.25">
      <c r="A917" s="1">
        <v>42920</v>
      </c>
      <c r="B917" s="66" t="s">
        <v>54</v>
      </c>
      <c r="C917" s="66" t="s">
        <v>55</v>
      </c>
      <c r="D917" t="s">
        <v>56</v>
      </c>
      <c r="E917">
        <v>-120</v>
      </c>
      <c r="F917" s="66" t="s">
        <v>7</v>
      </c>
      <c r="G917" s="66" t="s">
        <v>57</v>
      </c>
      <c r="H917" s="66" t="str">
        <f>TEXT(Data[[#This Row],[Buchung]],"MMM")</f>
        <v>Jul</v>
      </c>
      <c r="I917" s="67">
        <f>YEAR(Data[[#This Row],[Buchung]])</f>
        <v>2017</v>
      </c>
      <c r="J917" s="2">
        <f>ABS(Data[[#This Row],[Betrag]])</f>
        <v>120</v>
      </c>
      <c r="K917" s="66" t="str">
        <f>IF(Data[[#This Row],[Betrag]]&lt;0,"A","E")</f>
        <v>A</v>
      </c>
    </row>
    <row r="918" spans="1:11" x14ac:dyDescent="0.25">
      <c r="A918" s="1">
        <v>42921</v>
      </c>
      <c r="B918" s="66" t="s">
        <v>58</v>
      </c>
      <c r="C918" s="66" t="s">
        <v>59</v>
      </c>
      <c r="D918" t="s">
        <v>60</v>
      </c>
      <c r="E918">
        <v>-60</v>
      </c>
      <c r="F918" s="66" t="s">
        <v>7</v>
      </c>
      <c r="G918" s="66" t="s">
        <v>10</v>
      </c>
      <c r="H918" s="66" t="str">
        <f>TEXT(Data[[#This Row],[Buchung]],"MMM")</f>
        <v>Jul</v>
      </c>
      <c r="I918" s="67">
        <f>YEAR(Data[[#This Row],[Buchung]])</f>
        <v>2017</v>
      </c>
      <c r="J918" s="2">
        <f>ABS(Data[[#This Row],[Betrag]])</f>
        <v>60</v>
      </c>
      <c r="K918" s="66" t="str">
        <f>IF(Data[[#This Row],[Betrag]]&lt;0,"A","E")</f>
        <v>A</v>
      </c>
    </row>
    <row r="919" spans="1:11" x14ac:dyDescent="0.25">
      <c r="A919" s="1">
        <v>42922</v>
      </c>
      <c r="B919" s="66" t="s">
        <v>45</v>
      </c>
      <c r="C919" s="66" t="s">
        <v>46</v>
      </c>
      <c r="D919" t="s">
        <v>47</v>
      </c>
      <c r="E919">
        <v>1000</v>
      </c>
      <c r="F919" s="66" t="s">
        <v>7</v>
      </c>
      <c r="G919" s="66" t="s">
        <v>9</v>
      </c>
      <c r="H919" s="66" t="str">
        <f>TEXT(Data[[#This Row],[Buchung]],"MMM")</f>
        <v>Jul</v>
      </c>
      <c r="I919" s="67">
        <f>YEAR(Data[[#This Row],[Buchung]])</f>
        <v>2017</v>
      </c>
      <c r="J919" s="2">
        <f>ABS(Data[[#This Row],[Betrag]])</f>
        <v>1000</v>
      </c>
      <c r="K919" s="66" t="str">
        <f>IF(Data[[#This Row],[Betrag]]&lt;0,"A","E")</f>
        <v>E</v>
      </c>
    </row>
    <row r="920" spans="1:11" x14ac:dyDescent="0.25">
      <c r="A920" s="1">
        <v>42923</v>
      </c>
      <c r="B920" s="66" t="s">
        <v>61</v>
      </c>
      <c r="C920" s="66" t="s">
        <v>49</v>
      </c>
      <c r="D920" t="s">
        <v>62</v>
      </c>
      <c r="E920">
        <v>-10</v>
      </c>
      <c r="F920" s="66" t="s">
        <v>7</v>
      </c>
      <c r="G920" s="66" t="s">
        <v>8</v>
      </c>
      <c r="H920" s="66" t="str">
        <f>TEXT(Data[[#This Row],[Buchung]],"MMM")</f>
        <v>Jul</v>
      </c>
      <c r="I920" s="67">
        <f>YEAR(Data[[#This Row],[Buchung]])</f>
        <v>2017</v>
      </c>
      <c r="J920" s="2">
        <f>ABS(Data[[#This Row],[Betrag]])</f>
        <v>10</v>
      </c>
      <c r="K920" s="66" t="str">
        <f>IF(Data[[#This Row],[Betrag]]&lt;0,"A","E")</f>
        <v>A</v>
      </c>
    </row>
    <row r="921" spans="1:11" x14ac:dyDescent="0.25">
      <c r="A921" s="1">
        <v>42924</v>
      </c>
      <c r="B921" s="66" t="s">
        <v>63</v>
      </c>
      <c r="C921" s="66" t="s">
        <v>64</v>
      </c>
      <c r="D921" t="s">
        <v>65</v>
      </c>
      <c r="E921">
        <v>-70</v>
      </c>
      <c r="F921" s="66" t="s">
        <v>7</v>
      </c>
      <c r="G921" s="66" t="s">
        <v>11</v>
      </c>
      <c r="H921" s="66" t="str">
        <f>TEXT(Data[[#This Row],[Buchung]],"MMM")</f>
        <v>Jul</v>
      </c>
      <c r="I921" s="67">
        <f>YEAR(Data[[#This Row],[Buchung]])</f>
        <v>2017</v>
      </c>
      <c r="J921" s="2">
        <f>ABS(Data[[#This Row],[Betrag]])</f>
        <v>70</v>
      </c>
      <c r="K921" s="66" t="str">
        <f>IF(Data[[#This Row],[Betrag]]&lt;0,"A","E")</f>
        <v>A</v>
      </c>
    </row>
    <row r="922" spans="1:11" x14ac:dyDescent="0.25">
      <c r="A922" s="1">
        <v>42925</v>
      </c>
      <c r="B922" s="66" t="s">
        <v>54</v>
      </c>
      <c r="C922" s="66" t="s">
        <v>55</v>
      </c>
      <c r="D922" t="s">
        <v>66</v>
      </c>
      <c r="E922">
        <v>-80</v>
      </c>
      <c r="F922" s="66" t="s">
        <v>7</v>
      </c>
      <c r="G922" s="66" t="s">
        <v>57</v>
      </c>
      <c r="H922" s="66" t="str">
        <f>TEXT(Data[[#This Row],[Buchung]],"MMM")</f>
        <v>Jul</v>
      </c>
      <c r="I922" s="67">
        <f>YEAR(Data[[#This Row],[Buchung]])</f>
        <v>2017</v>
      </c>
      <c r="J922" s="2">
        <f>ABS(Data[[#This Row],[Betrag]])</f>
        <v>80</v>
      </c>
      <c r="K922" s="66" t="str">
        <f>IF(Data[[#This Row],[Betrag]]&lt;0,"A","E")</f>
        <v>A</v>
      </c>
    </row>
    <row r="923" spans="1:11" x14ac:dyDescent="0.25">
      <c r="A923" s="1">
        <v>42926</v>
      </c>
      <c r="B923" s="66" t="s">
        <v>67</v>
      </c>
      <c r="C923" s="66" t="s">
        <v>59</v>
      </c>
      <c r="D923" t="s">
        <v>68</v>
      </c>
      <c r="E923">
        <v>-25</v>
      </c>
      <c r="F923" s="66" t="s">
        <v>7</v>
      </c>
      <c r="G923" s="66" t="s">
        <v>10</v>
      </c>
      <c r="H923" s="66" t="str">
        <f>TEXT(Data[[#This Row],[Buchung]],"MMM")</f>
        <v>Jul</v>
      </c>
      <c r="I923" s="67">
        <f>YEAR(Data[[#This Row],[Buchung]])</f>
        <v>2017</v>
      </c>
      <c r="J923" s="2">
        <f>ABS(Data[[#This Row],[Betrag]])</f>
        <v>25</v>
      </c>
      <c r="K923" s="66" t="str">
        <f>IF(Data[[#This Row],[Betrag]]&lt;0,"A","E")</f>
        <v>A</v>
      </c>
    </row>
    <row r="924" spans="1:11" x14ac:dyDescent="0.25">
      <c r="A924" s="1">
        <v>42927</v>
      </c>
      <c r="B924" s="66" t="s">
        <v>45</v>
      </c>
      <c r="C924" s="66" t="s">
        <v>46</v>
      </c>
      <c r="D924" t="s">
        <v>47</v>
      </c>
      <c r="E924">
        <v>1000</v>
      </c>
      <c r="F924" s="66" t="s">
        <v>7</v>
      </c>
      <c r="G924" s="66" t="s">
        <v>9</v>
      </c>
      <c r="H924" s="66" t="str">
        <f>TEXT(Data[[#This Row],[Buchung]],"MMM")</f>
        <v>Jul</v>
      </c>
      <c r="I924" s="67">
        <f>YEAR(Data[[#This Row],[Buchung]])</f>
        <v>2017</v>
      </c>
      <c r="J924" s="2">
        <f>ABS(Data[[#This Row],[Betrag]])</f>
        <v>1000</v>
      </c>
      <c r="K924" s="66" t="str">
        <f>IF(Data[[#This Row],[Betrag]]&lt;0,"A","E")</f>
        <v>E</v>
      </c>
    </row>
    <row r="925" spans="1:11" x14ac:dyDescent="0.25">
      <c r="A925" s="1">
        <v>42928</v>
      </c>
      <c r="B925" s="66" t="s">
        <v>48</v>
      </c>
      <c r="C925" s="66" t="s">
        <v>49</v>
      </c>
      <c r="D925" t="s">
        <v>50</v>
      </c>
      <c r="E925">
        <v>-15</v>
      </c>
      <c r="F925" s="66" t="s">
        <v>7</v>
      </c>
      <c r="G925" s="66" t="s">
        <v>8</v>
      </c>
      <c r="H925" s="66" t="str">
        <f>TEXT(Data[[#This Row],[Buchung]],"MMM")</f>
        <v>Jul</v>
      </c>
      <c r="I925" s="67">
        <f>YEAR(Data[[#This Row],[Buchung]])</f>
        <v>2017</v>
      </c>
      <c r="J925" s="2">
        <f>ABS(Data[[#This Row],[Betrag]])</f>
        <v>15</v>
      </c>
      <c r="K925" s="66" t="str">
        <f>IF(Data[[#This Row],[Betrag]]&lt;0,"A","E")</f>
        <v>A</v>
      </c>
    </row>
    <row r="926" spans="1:11" x14ac:dyDescent="0.25">
      <c r="A926" s="1">
        <v>42929</v>
      </c>
      <c r="B926" s="66" t="s">
        <v>51</v>
      </c>
      <c r="C926" s="66" t="s">
        <v>52</v>
      </c>
      <c r="D926" t="s">
        <v>53</v>
      </c>
      <c r="E926">
        <v>-350</v>
      </c>
      <c r="F926" s="66" t="s">
        <v>7</v>
      </c>
      <c r="G926" s="66" t="s">
        <v>11</v>
      </c>
      <c r="H926" s="66" t="str">
        <f>TEXT(Data[[#This Row],[Buchung]],"MMM")</f>
        <v>Jul</v>
      </c>
      <c r="I926" s="67">
        <f>YEAR(Data[[#This Row],[Buchung]])</f>
        <v>2017</v>
      </c>
      <c r="J926" s="2">
        <f>ABS(Data[[#This Row],[Betrag]])</f>
        <v>350</v>
      </c>
      <c r="K926" s="66" t="str">
        <f>IF(Data[[#This Row],[Betrag]]&lt;0,"A","E")</f>
        <v>A</v>
      </c>
    </row>
    <row r="927" spans="1:11" x14ac:dyDescent="0.25">
      <c r="A927" s="1">
        <v>42930</v>
      </c>
      <c r="B927" s="66" t="s">
        <v>54</v>
      </c>
      <c r="C927" s="66" t="s">
        <v>55</v>
      </c>
      <c r="D927" t="s">
        <v>56</v>
      </c>
      <c r="E927">
        <v>-120</v>
      </c>
      <c r="F927" s="66" t="s">
        <v>7</v>
      </c>
      <c r="G927" s="66" t="s">
        <v>57</v>
      </c>
      <c r="H927" s="66" t="str">
        <f>TEXT(Data[[#This Row],[Buchung]],"MMM")</f>
        <v>Jul</v>
      </c>
      <c r="I927" s="67">
        <f>YEAR(Data[[#This Row],[Buchung]])</f>
        <v>2017</v>
      </c>
      <c r="J927" s="2">
        <f>ABS(Data[[#This Row],[Betrag]])</f>
        <v>120</v>
      </c>
      <c r="K927" s="66" t="str">
        <f>IF(Data[[#This Row],[Betrag]]&lt;0,"A","E")</f>
        <v>A</v>
      </c>
    </row>
    <row r="928" spans="1:11" x14ac:dyDescent="0.25">
      <c r="A928" s="1">
        <v>42931</v>
      </c>
      <c r="B928" s="66" t="s">
        <v>58</v>
      </c>
      <c r="C928" s="66" t="s">
        <v>59</v>
      </c>
      <c r="D928" t="s">
        <v>60</v>
      </c>
      <c r="E928">
        <v>-70</v>
      </c>
      <c r="F928" s="66" t="s">
        <v>7</v>
      </c>
      <c r="G928" s="66" t="s">
        <v>10</v>
      </c>
      <c r="H928" s="66" t="str">
        <f>TEXT(Data[[#This Row],[Buchung]],"MMM")</f>
        <v>Jul</v>
      </c>
      <c r="I928" s="67">
        <f>YEAR(Data[[#This Row],[Buchung]])</f>
        <v>2017</v>
      </c>
      <c r="J928" s="2">
        <f>ABS(Data[[#This Row],[Betrag]])</f>
        <v>70</v>
      </c>
      <c r="K928" s="66" t="str">
        <f>IF(Data[[#This Row],[Betrag]]&lt;0,"A","E")</f>
        <v>A</v>
      </c>
    </row>
    <row r="929" spans="1:11" x14ac:dyDescent="0.25">
      <c r="A929" s="1">
        <v>42932</v>
      </c>
      <c r="B929" s="66" t="s">
        <v>45</v>
      </c>
      <c r="C929" s="66" t="s">
        <v>46</v>
      </c>
      <c r="D929" t="s">
        <v>47</v>
      </c>
      <c r="E929">
        <v>1000</v>
      </c>
      <c r="F929" s="66" t="s">
        <v>7</v>
      </c>
      <c r="G929" s="66" t="s">
        <v>9</v>
      </c>
      <c r="H929" s="66" t="str">
        <f>TEXT(Data[[#This Row],[Buchung]],"MMM")</f>
        <v>Jul</v>
      </c>
      <c r="I929" s="67">
        <f>YEAR(Data[[#This Row],[Buchung]])</f>
        <v>2017</v>
      </c>
      <c r="J929" s="2">
        <f>ABS(Data[[#This Row],[Betrag]])</f>
        <v>1000</v>
      </c>
      <c r="K929" s="66" t="str">
        <f>IF(Data[[#This Row],[Betrag]]&lt;0,"A","E")</f>
        <v>E</v>
      </c>
    </row>
    <row r="930" spans="1:11" x14ac:dyDescent="0.25">
      <c r="A930" s="1">
        <v>42933</v>
      </c>
      <c r="B930" s="66" t="s">
        <v>61</v>
      </c>
      <c r="C930" s="66" t="s">
        <v>49</v>
      </c>
      <c r="D930" t="s">
        <v>62</v>
      </c>
      <c r="E930">
        <v>-10</v>
      </c>
      <c r="F930" s="66" t="s">
        <v>7</v>
      </c>
      <c r="G930" s="66" t="s">
        <v>8</v>
      </c>
      <c r="H930" s="66" t="str">
        <f>TEXT(Data[[#This Row],[Buchung]],"MMM")</f>
        <v>Jul</v>
      </c>
      <c r="I930" s="67">
        <f>YEAR(Data[[#This Row],[Buchung]])</f>
        <v>2017</v>
      </c>
      <c r="J930" s="2">
        <f>ABS(Data[[#This Row],[Betrag]])</f>
        <v>10</v>
      </c>
      <c r="K930" s="66" t="str">
        <f>IF(Data[[#This Row],[Betrag]]&lt;0,"A","E")</f>
        <v>A</v>
      </c>
    </row>
    <row r="931" spans="1:11" x14ac:dyDescent="0.25">
      <c r="A931" s="1">
        <v>42934</v>
      </c>
      <c r="B931" s="66" t="s">
        <v>63</v>
      </c>
      <c r="C931" s="66" t="s">
        <v>64</v>
      </c>
      <c r="D931" t="s">
        <v>65</v>
      </c>
      <c r="E931">
        <v>-60</v>
      </c>
      <c r="F931" s="66" t="s">
        <v>7</v>
      </c>
      <c r="G931" s="66" t="s">
        <v>11</v>
      </c>
      <c r="H931" s="66" t="str">
        <f>TEXT(Data[[#This Row],[Buchung]],"MMM")</f>
        <v>Jul</v>
      </c>
      <c r="I931" s="67">
        <f>YEAR(Data[[#This Row],[Buchung]])</f>
        <v>2017</v>
      </c>
      <c r="J931" s="2">
        <f>ABS(Data[[#This Row],[Betrag]])</f>
        <v>60</v>
      </c>
      <c r="K931" s="66" t="str">
        <f>IF(Data[[#This Row],[Betrag]]&lt;0,"A","E")</f>
        <v>A</v>
      </c>
    </row>
    <row r="932" spans="1:11" x14ac:dyDescent="0.25">
      <c r="A932" s="1">
        <v>42935</v>
      </c>
      <c r="B932" s="66" t="s">
        <v>54</v>
      </c>
      <c r="C932" s="66" t="s">
        <v>55</v>
      </c>
      <c r="D932" t="s">
        <v>66</v>
      </c>
      <c r="E932">
        <v>-80</v>
      </c>
      <c r="F932" s="66" t="s">
        <v>7</v>
      </c>
      <c r="G932" s="66" t="s">
        <v>57</v>
      </c>
      <c r="H932" s="66" t="str">
        <f>TEXT(Data[[#This Row],[Buchung]],"MMM")</f>
        <v>Jul</v>
      </c>
      <c r="I932" s="67">
        <f>YEAR(Data[[#This Row],[Buchung]])</f>
        <v>2017</v>
      </c>
      <c r="J932" s="2">
        <f>ABS(Data[[#This Row],[Betrag]])</f>
        <v>80</v>
      </c>
      <c r="K932" s="66" t="str">
        <f>IF(Data[[#This Row],[Betrag]]&lt;0,"A","E")</f>
        <v>A</v>
      </c>
    </row>
    <row r="933" spans="1:11" x14ac:dyDescent="0.25">
      <c r="A933" s="1">
        <v>42936</v>
      </c>
      <c r="B933" s="66" t="s">
        <v>67</v>
      </c>
      <c r="C933" s="66" t="s">
        <v>59</v>
      </c>
      <c r="D933" t="s">
        <v>68</v>
      </c>
      <c r="E933">
        <v>-30</v>
      </c>
      <c r="F933" s="66" t="s">
        <v>7</v>
      </c>
      <c r="G933" s="66" t="s">
        <v>10</v>
      </c>
      <c r="H933" s="66" t="str">
        <f>TEXT(Data[[#This Row],[Buchung]],"MMM")</f>
        <v>Jul</v>
      </c>
      <c r="I933" s="67">
        <f>YEAR(Data[[#This Row],[Buchung]])</f>
        <v>2017</v>
      </c>
      <c r="J933" s="2">
        <f>ABS(Data[[#This Row],[Betrag]])</f>
        <v>30</v>
      </c>
      <c r="K933" s="66" t="str">
        <f>IF(Data[[#This Row],[Betrag]]&lt;0,"A","E")</f>
        <v>A</v>
      </c>
    </row>
    <row r="934" spans="1:11" x14ac:dyDescent="0.25">
      <c r="A934" s="1">
        <v>42937</v>
      </c>
      <c r="B934" s="66" t="s">
        <v>45</v>
      </c>
      <c r="C934" s="66" t="s">
        <v>46</v>
      </c>
      <c r="D934" t="s">
        <v>47</v>
      </c>
      <c r="E934">
        <v>1000</v>
      </c>
      <c r="F934" s="66" t="s">
        <v>7</v>
      </c>
      <c r="G934" s="66" t="s">
        <v>9</v>
      </c>
      <c r="H934" s="66" t="str">
        <f>TEXT(Data[[#This Row],[Buchung]],"MMM")</f>
        <v>Jul</v>
      </c>
      <c r="I934" s="67">
        <f>YEAR(Data[[#This Row],[Buchung]])</f>
        <v>2017</v>
      </c>
      <c r="J934" s="2">
        <f>ABS(Data[[#This Row],[Betrag]])</f>
        <v>1000</v>
      </c>
      <c r="K934" s="66" t="str">
        <f>IF(Data[[#This Row],[Betrag]]&lt;0,"A","E")</f>
        <v>E</v>
      </c>
    </row>
    <row r="935" spans="1:11" x14ac:dyDescent="0.25">
      <c r="A935" s="1">
        <v>42938</v>
      </c>
      <c r="B935" s="66" t="s">
        <v>48</v>
      </c>
      <c r="C935" s="66" t="s">
        <v>49</v>
      </c>
      <c r="D935" t="s">
        <v>50</v>
      </c>
      <c r="E935">
        <v>-15</v>
      </c>
      <c r="F935" s="66" t="s">
        <v>7</v>
      </c>
      <c r="G935" s="66" t="s">
        <v>8</v>
      </c>
      <c r="H935" s="66" t="str">
        <f>TEXT(Data[[#This Row],[Buchung]],"MMM")</f>
        <v>Jul</v>
      </c>
      <c r="I935" s="67">
        <f>YEAR(Data[[#This Row],[Buchung]])</f>
        <v>2017</v>
      </c>
      <c r="J935" s="2">
        <f>ABS(Data[[#This Row],[Betrag]])</f>
        <v>15</v>
      </c>
      <c r="K935" s="66" t="str">
        <f>IF(Data[[#This Row],[Betrag]]&lt;0,"A","E")</f>
        <v>A</v>
      </c>
    </row>
    <row r="936" spans="1:11" x14ac:dyDescent="0.25">
      <c r="A936" s="1">
        <v>42939</v>
      </c>
      <c r="B936" s="66" t="s">
        <v>51</v>
      </c>
      <c r="C936" s="66" t="s">
        <v>52</v>
      </c>
      <c r="D936" t="s">
        <v>53</v>
      </c>
      <c r="E936">
        <v>-350</v>
      </c>
      <c r="F936" s="66" t="s">
        <v>7</v>
      </c>
      <c r="G936" s="66" t="s">
        <v>11</v>
      </c>
      <c r="H936" s="66" t="str">
        <f>TEXT(Data[[#This Row],[Buchung]],"MMM")</f>
        <v>Jul</v>
      </c>
      <c r="I936" s="67">
        <f>YEAR(Data[[#This Row],[Buchung]])</f>
        <v>2017</v>
      </c>
      <c r="J936" s="2">
        <f>ABS(Data[[#This Row],[Betrag]])</f>
        <v>350</v>
      </c>
      <c r="K936" s="66" t="str">
        <f>IF(Data[[#This Row],[Betrag]]&lt;0,"A","E")</f>
        <v>A</v>
      </c>
    </row>
    <row r="937" spans="1:11" x14ac:dyDescent="0.25">
      <c r="A937" s="1">
        <v>42940</v>
      </c>
      <c r="B937" s="66" t="s">
        <v>54</v>
      </c>
      <c r="C937" s="66" t="s">
        <v>55</v>
      </c>
      <c r="D937" t="s">
        <v>56</v>
      </c>
      <c r="E937">
        <v>-120</v>
      </c>
      <c r="F937" s="66" t="s">
        <v>7</v>
      </c>
      <c r="G937" s="66" t="s">
        <v>57</v>
      </c>
      <c r="H937" s="66" t="str">
        <f>TEXT(Data[[#This Row],[Buchung]],"MMM")</f>
        <v>Jul</v>
      </c>
      <c r="I937" s="67">
        <f>YEAR(Data[[#This Row],[Buchung]])</f>
        <v>2017</v>
      </c>
      <c r="J937" s="2">
        <f>ABS(Data[[#This Row],[Betrag]])</f>
        <v>120</v>
      </c>
      <c r="K937" s="66" t="str">
        <f>IF(Data[[#This Row],[Betrag]]&lt;0,"A","E")</f>
        <v>A</v>
      </c>
    </row>
    <row r="938" spans="1:11" x14ac:dyDescent="0.25">
      <c r="A938" s="1">
        <v>42941</v>
      </c>
      <c r="B938" s="66" t="s">
        <v>58</v>
      </c>
      <c r="C938" s="66" t="s">
        <v>59</v>
      </c>
      <c r="D938" t="s">
        <v>60</v>
      </c>
      <c r="E938">
        <v>-80</v>
      </c>
      <c r="F938" s="66" t="s">
        <v>7</v>
      </c>
      <c r="G938" s="66" t="s">
        <v>10</v>
      </c>
      <c r="H938" s="66" t="str">
        <f>TEXT(Data[[#This Row],[Buchung]],"MMM")</f>
        <v>Jul</v>
      </c>
      <c r="I938" s="67">
        <f>YEAR(Data[[#This Row],[Buchung]])</f>
        <v>2017</v>
      </c>
      <c r="J938" s="2">
        <f>ABS(Data[[#This Row],[Betrag]])</f>
        <v>80</v>
      </c>
      <c r="K938" s="66" t="str">
        <f>IF(Data[[#This Row],[Betrag]]&lt;0,"A","E")</f>
        <v>A</v>
      </c>
    </row>
    <row r="939" spans="1:11" x14ac:dyDescent="0.25">
      <c r="A939" s="1">
        <v>42942</v>
      </c>
      <c r="B939" s="66" t="s">
        <v>45</v>
      </c>
      <c r="C939" s="66" t="s">
        <v>46</v>
      </c>
      <c r="D939" t="s">
        <v>47</v>
      </c>
      <c r="E939">
        <v>1000</v>
      </c>
      <c r="F939" s="66" t="s">
        <v>7</v>
      </c>
      <c r="G939" s="66" t="s">
        <v>9</v>
      </c>
      <c r="H939" s="66" t="str">
        <f>TEXT(Data[[#This Row],[Buchung]],"MMM")</f>
        <v>Jul</v>
      </c>
      <c r="I939" s="67">
        <f>YEAR(Data[[#This Row],[Buchung]])</f>
        <v>2017</v>
      </c>
      <c r="J939" s="2">
        <f>ABS(Data[[#This Row],[Betrag]])</f>
        <v>1000</v>
      </c>
      <c r="K939" s="66" t="str">
        <f>IF(Data[[#This Row],[Betrag]]&lt;0,"A","E")</f>
        <v>E</v>
      </c>
    </row>
    <row r="940" spans="1:11" x14ac:dyDescent="0.25">
      <c r="A940" s="1">
        <v>42943</v>
      </c>
      <c r="B940" s="66" t="s">
        <v>61</v>
      </c>
      <c r="C940" s="66" t="s">
        <v>49</v>
      </c>
      <c r="D940" t="s">
        <v>62</v>
      </c>
      <c r="E940">
        <v>-10</v>
      </c>
      <c r="F940" s="66" t="s">
        <v>7</v>
      </c>
      <c r="G940" s="66" t="s">
        <v>8</v>
      </c>
      <c r="H940" s="66" t="str">
        <f>TEXT(Data[[#This Row],[Buchung]],"MMM")</f>
        <v>Jul</v>
      </c>
      <c r="I940" s="67">
        <f>YEAR(Data[[#This Row],[Buchung]])</f>
        <v>2017</v>
      </c>
      <c r="J940" s="2">
        <f>ABS(Data[[#This Row],[Betrag]])</f>
        <v>10</v>
      </c>
      <c r="K940" s="66" t="str">
        <f>IF(Data[[#This Row],[Betrag]]&lt;0,"A","E")</f>
        <v>A</v>
      </c>
    </row>
    <row r="941" spans="1:11" x14ac:dyDescent="0.25">
      <c r="A941" s="1">
        <v>42944</v>
      </c>
      <c r="B941" s="66" t="s">
        <v>63</v>
      </c>
      <c r="C941" s="66" t="s">
        <v>64</v>
      </c>
      <c r="D941" t="s">
        <v>65</v>
      </c>
      <c r="E941">
        <v>-65</v>
      </c>
      <c r="F941" s="66" t="s">
        <v>7</v>
      </c>
      <c r="G941" s="66" t="s">
        <v>11</v>
      </c>
      <c r="H941" s="66" t="str">
        <f>TEXT(Data[[#This Row],[Buchung]],"MMM")</f>
        <v>Jul</v>
      </c>
      <c r="I941" s="67">
        <f>YEAR(Data[[#This Row],[Buchung]])</f>
        <v>2017</v>
      </c>
      <c r="J941" s="2">
        <f>ABS(Data[[#This Row],[Betrag]])</f>
        <v>65</v>
      </c>
      <c r="K941" s="66" t="str">
        <f>IF(Data[[#This Row],[Betrag]]&lt;0,"A","E")</f>
        <v>A</v>
      </c>
    </row>
    <row r="942" spans="1:11" x14ac:dyDescent="0.25">
      <c r="A942" s="1">
        <v>42945</v>
      </c>
      <c r="B942" s="66" t="s">
        <v>54</v>
      </c>
      <c r="C942" s="66" t="s">
        <v>55</v>
      </c>
      <c r="D942" t="s">
        <v>66</v>
      </c>
      <c r="E942">
        <v>-80</v>
      </c>
      <c r="F942" s="66" t="s">
        <v>7</v>
      </c>
      <c r="G942" s="66" t="s">
        <v>57</v>
      </c>
      <c r="H942" s="66" t="str">
        <f>TEXT(Data[[#This Row],[Buchung]],"MMM")</f>
        <v>Jul</v>
      </c>
      <c r="I942" s="67">
        <f>YEAR(Data[[#This Row],[Buchung]])</f>
        <v>2017</v>
      </c>
      <c r="J942" s="2">
        <f>ABS(Data[[#This Row],[Betrag]])</f>
        <v>80</v>
      </c>
      <c r="K942" s="66" t="str">
        <f>IF(Data[[#This Row],[Betrag]]&lt;0,"A","E")</f>
        <v>A</v>
      </c>
    </row>
    <row r="943" spans="1:11" x14ac:dyDescent="0.25">
      <c r="A943" s="1">
        <v>42946</v>
      </c>
      <c r="B943" s="66" t="s">
        <v>67</v>
      </c>
      <c r="C943" s="66" t="s">
        <v>59</v>
      </c>
      <c r="D943" t="s">
        <v>68</v>
      </c>
      <c r="E943">
        <v>-35</v>
      </c>
      <c r="F943" s="66" t="s">
        <v>7</v>
      </c>
      <c r="G943" s="66" t="s">
        <v>10</v>
      </c>
      <c r="H943" s="66" t="str">
        <f>TEXT(Data[[#This Row],[Buchung]],"MMM")</f>
        <v>Jul</v>
      </c>
      <c r="I943" s="67">
        <f>YEAR(Data[[#This Row],[Buchung]])</f>
        <v>2017</v>
      </c>
      <c r="J943" s="2">
        <f>ABS(Data[[#This Row],[Betrag]])</f>
        <v>35</v>
      </c>
      <c r="K943" s="66" t="str">
        <f>IF(Data[[#This Row],[Betrag]]&lt;0,"A","E")</f>
        <v>A</v>
      </c>
    </row>
    <row r="944" spans="1:11" x14ac:dyDescent="0.25">
      <c r="A944" s="1">
        <v>42947</v>
      </c>
      <c r="B944" s="66" t="s">
        <v>45</v>
      </c>
      <c r="C944" s="66" t="s">
        <v>46</v>
      </c>
      <c r="D944" t="s">
        <v>47</v>
      </c>
      <c r="E944">
        <v>1000</v>
      </c>
      <c r="F944" s="66" t="s">
        <v>7</v>
      </c>
      <c r="G944" s="66" t="s">
        <v>9</v>
      </c>
      <c r="H944" s="66" t="str">
        <f>TEXT(Data[[#This Row],[Buchung]],"MMM")</f>
        <v>Jul</v>
      </c>
      <c r="I944" s="67">
        <f>YEAR(Data[[#This Row],[Buchung]])</f>
        <v>2017</v>
      </c>
      <c r="J944" s="2">
        <f>ABS(Data[[#This Row],[Betrag]])</f>
        <v>1000</v>
      </c>
      <c r="K944" s="66" t="str">
        <f>IF(Data[[#This Row],[Betrag]]&lt;0,"A","E")</f>
        <v>E</v>
      </c>
    </row>
    <row r="945" spans="1:11" x14ac:dyDescent="0.25">
      <c r="A945" s="1">
        <v>42948</v>
      </c>
      <c r="B945" s="66" t="s">
        <v>45</v>
      </c>
      <c r="C945" s="66" t="s">
        <v>46</v>
      </c>
      <c r="D945" t="s">
        <v>47</v>
      </c>
      <c r="E945">
        <v>1000</v>
      </c>
      <c r="F945" s="66" t="s">
        <v>7</v>
      </c>
      <c r="G945" s="66" t="s">
        <v>9</v>
      </c>
      <c r="H945" s="66" t="str">
        <f>TEXT(Data[[#This Row],[Buchung]],"MMM")</f>
        <v>Aug</v>
      </c>
      <c r="I945" s="67">
        <f>YEAR(Data[[#This Row],[Buchung]])</f>
        <v>2017</v>
      </c>
      <c r="J945" s="2">
        <f>ABS(Data[[#This Row],[Betrag]])</f>
        <v>1000</v>
      </c>
      <c r="K945" s="66" t="str">
        <f>IF(Data[[#This Row],[Betrag]]&lt;0,"A","E")</f>
        <v>E</v>
      </c>
    </row>
    <row r="946" spans="1:11" x14ac:dyDescent="0.25">
      <c r="A946" s="1">
        <v>42949</v>
      </c>
      <c r="B946" s="66" t="s">
        <v>48</v>
      </c>
      <c r="C946" s="66" t="s">
        <v>49</v>
      </c>
      <c r="D946" t="s">
        <v>50</v>
      </c>
      <c r="E946">
        <v>-15</v>
      </c>
      <c r="F946" s="66" t="s">
        <v>7</v>
      </c>
      <c r="G946" s="66" t="s">
        <v>8</v>
      </c>
      <c r="H946" s="66" t="str">
        <f>TEXT(Data[[#This Row],[Buchung]],"MMM")</f>
        <v>Aug</v>
      </c>
      <c r="I946" s="67">
        <f>YEAR(Data[[#This Row],[Buchung]])</f>
        <v>2017</v>
      </c>
      <c r="J946" s="2">
        <f>ABS(Data[[#This Row],[Betrag]])</f>
        <v>15</v>
      </c>
      <c r="K946" s="66" t="str">
        <f>IF(Data[[#This Row],[Betrag]]&lt;0,"A","E")</f>
        <v>A</v>
      </c>
    </row>
    <row r="947" spans="1:11" x14ac:dyDescent="0.25">
      <c r="A947" s="1">
        <v>42950</v>
      </c>
      <c r="B947" s="66" t="s">
        <v>51</v>
      </c>
      <c r="C947" s="66" t="s">
        <v>52</v>
      </c>
      <c r="D947" t="s">
        <v>53</v>
      </c>
      <c r="E947">
        <v>-350</v>
      </c>
      <c r="F947" s="66" t="s">
        <v>7</v>
      </c>
      <c r="G947" s="66" t="s">
        <v>11</v>
      </c>
      <c r="H947" s="66" t="str">
        <f>TEXT(Data[[#This Row],[Buchung]],"MMM")</f>
        <v>Aug</v>
      </c>
      <c r="I947" s="67">
        <f>YEAR(Data[[#This Row],[Buchung]])</f>
        <v>2017</v>
      </c>
      <c r="J947" s="2">
        <f>ABS(Data[[#This Row],[Betrag]])</f>
        <v>350</v>
      </c>
      <c r="K947" s="66" t="str">
        <f>IF(Data[[#This Row],[Betrag]]&lt;0,"A","E")</f>
        <v>A</v>
      </c>
    </row>
    <row r="948" spans="1:11" x14ac:dyDescent="0.25">
      <c r="A948" s="1">
        <v>42951</v>
      </c>
      <c r="B948" s="66" t="s">
        <v>54</v>
      </c>
      <c r="C948" s="66" t="s">
        <v>55</v>
      </c>
      <c r="D948" t="s">
        <v>56</v>
      </c>
      <c r="E948">
        <v>-120</v>
      </c>
      <c r="F948" s="66" t="s">
        <v>7</v>
      </c>
      <c r="G948" s="66" t="s">
        <v>57</v>
      </c>
      <c r="H948" s="66" t="str">
        <f>TEXT(Data[[#This Row],[Buchung]],"MMM")</f>
        <v>Aug</v>
      </c>
      <c r="I948" s="67">
        <f>YEAR(Data[[#This Row],[Buchung]])</f>
        <v>2017</v>
      </c>
      <c r="J948" s="2">
        <f>ABS(Data[[#This Row],[Betrag]])</f>
        <v>120</v>
      </c>
      <c r="K948" s="66" t="str">
        <f>IF(Data[[#This Row],[Betrag]]&lt;0,"A","E")</f>
        <v>A</v>
      </c>
    </row>
    <row r="949" spans="1:11" x14ac:dyDescent="0.25">
      <c r="A949" s="1">
        <v>42952</v>
      </c>
      <c r="B949" s="66" t="s">
        <v>58</v>
      </c>
      <c r="C949" s="66" t="s">
        <v>59</v>
      </c>
      <c r="D949" t="s">
        <v>60</v>
      </c>
      <c r="E949">
        <v>-50</v>
      </c>
      <c r="F949" s="66" t="s">
        <v>7</v>
      </c>
      <c r="G949" s="66" t="s">
        <v>10</v>
      </c>
      <c r="H949" s="66" t="str">
        <f>TEXT(Data[[#This Row],[Buchung]],"MMM")</f>
        <v>Aug</v>
      </c>
      <c r="I949" s="67">
        <f>YEAR(Data[[#This Row],[Buchung]])</f>
        <v>2017</v>
      </c>
      <c r="J949" s="2">
        <f>ABS(Data[[#This Row],[Betrag]])</f>
        <v>50</v>
      </c>
      <c r="K949" s="66" t="str">
        <f>IF(Data[[#This Row],[Betrag]]&lt;0,"A","E")</f>
        <v>A</v>
      </c>
    </row>
    <row r="950" spans="1:11" x14ac:dyDescent="0.25">
      <c r="A950" s="1">
        <v>42953</v>
      </c>
      <c r="B950" s="66" t="s">
        <v>45</v>
      </c>
      <c r="C950" s="66" t="s">
        <v>46</v>
      </c>
      <c r="D950" t="s">
        <v>47</v>
      </c>
      <c r="E950">
        <v>1000</v>
      </c>
      <c r="F950" s="66" t="s">
        <v>7</v>
      </c>
      <c r="G950" s="66" t="s">
        <v>9</v>
      </c>
      <c r="H950" s="66" t="str">
        <f>TEXT(Data[[#This Row],[Buchung]],"MMM")</f>
        <v>Aug</v>
      </c>
      <c r="I950" s="67">
        <f>YEAR(Data[[#This Row],[Buchung]])</f>
        <v>2017</v>
      </c>
      <c r="J950" s="2">
        <f>ABS(Data[[#This Row],[Betrag]])</f>
        <v>1000</v>
      </c>
      <c r="K950" s="66" t="str">
        <f>IF(Data[[#This Row],[Betrag]]&lt;0,"A","E")</f>
        <v>E</v>
      </c>
    </row>
    <row r="951" spans="1:11" x14ac:dyDescent="0.25">
      <c r="A951" s="1">
        <v>42954</v>
      </c>
      <c r="B951" s="66" t="s">
        <v>61</v>
      </c>
      <c r="C951" s="66" t="s">
        <v>49</v>
      </c>
      <c r="D951" t="s">
        <v>62</v>
      </c>
      <c r="E951">
        <v>-10</v>
      </c>
      <c r="F951" s="66" t="s">
        <v>7</v>
      </c>
      <c r="G951" s="66" t="s">
        <v>8</v>
      </c>
      <c r="H951" s="66" t="str">
        <f>TEXT(Data[[#This Row],[Buchung]],"MMM")</f>
        <v>Aug</v>
      </c>
      <c r="I951" s="67">
        <f>YEAR(Data[[#This Row],[Buchung]])</f>
        <v>2017</v>
      </c>
      <c r="J951" s="2">
        <f>ABS(Data[[#This Row],[Betrag]])</f>
        <v>10</v>
      </c>
      <c r="K951" s="66" t="str">
        <f>IF(Data[[#This Row],[Betrag]]&lt;0,"A","E")</f>
        <v>A</v>
      </c>
    </row>
    <row r="952" spans="1:11" x14ac:dyDescent="0.25">
      <c r="A952" s="1">
        <v>42955</v>
      </c>
      <c r="B952" s="66" t="s">
        <v>63</v>
      </c>
      <c r="C952" s="66" t="s">
        <v>64</v>
      </c>
      <c r="D952" t="s">
        <v>65</v>
      </c>
      <c r="E952">
        <v>-60</v>
      </c>
      <c r="F952" s="66" t="s">
        <v>7</v>
      </c>
      <c r="G952" s="66" t="s">
        <v>11</v>
      </c>
      <c r="H952" s="66" t="str">
        <f>TEXT(Data[[#This Row],[Buchung]],"MMM")</f>
        <v>Aug</v>
      </c>
      <c r="I952" s="67">
        <f>YEAR(Data[[#This Row],[Buchung]])</f>
        <v>2017</v>
      </c>
      <c r="J952" s="2">
        <f>ABS(Data[[#This Row],[Betrag]])</f>
        <v>60</v>
      </c>
      <c r="K952" s="66" t="str">
        <f>IF(Data[[#This Row],[Betrag]]&lt;0,"A","E")</f>
        <v>A</v>
      </c>
    </row>
    <row r="953" spans="1:11" x14ac:dyDescent="0.25">
      <c r="A953" s="1">
        <v>42956</v>
      </c>
      <c r="B953" s="66" t="s">
        <v>54</v>
      </c>
      <c r="C953" s="66" t="s">
        <v>55</v>
      </c>
      <c r="D953" t="s">
        <v>66</v>
      </c>
      <c r="E953">
        <v>-80</v>
      </c>
      <c r="F953" s="66" t="s">
        <v>7</v>
      </c>
      <c r="G953" s="66" t="s">
        <v>57</v>
      </c>
      <c r="H953" s="66" t="str">
        <f>TEXT(Data[[#This Row],[Buchung]],"MMM")</f>
        <v>Aug</v>
      </c>
      <c r="I953" s="67">
        <f>YEAR(Data[[#This Row],[Buchung]])</f>
        <v>2017</v>
      </c>
      <c r="J953" s="2">
        <f>ABS(Data[[#This Row],[Betrag]])</f>
        <v>80</v>
      </c>
      <c r="K953" s="66" t="str">
        <f>IF(Data[[#This Row],[Betrag]]&lt;0,"A","E")</f>
        <v>A</v>
      </c>
    </row>
    <row r="954" spans="1:11" x14ac:dyDescent="0.25">
      <c r="A954" s="1">
        <v>42957</v>
      </c>
      <c r="B954" s="66" t="s">
        <v>67</v>
      </c>
      <c r="C954" s="66" t="s">
        <v>59</v>
      </c>
      <c r="D954" t="s">
        <v>68</v>
      </c>
      <c r="E954">
        <v>-20</v>
      </c>
      <c r="F954" s="66" t="s">
        <v>7</v>
      </c>
      <c r="G954" s="66" t="s">
        <v>10</v>
      </c>
      <c r="H954" s="66" t="str">
        <f>TEXT(Data[[#This Row],[Buchung]],"MMM")</f>
        <v>Aug</v>
      </c>
      <c r="I954" s="67">
        <f>YEAR(Data[[#This Row],[Buchung]])</f>
        <v>2017</v>
      </c>
      <c r="J954" s="2">
        <f>ABS(Data[[#This Row],[Betrag]])</f>
        <v>20</v>
      </c>
      <c r="K954" s="66" t="str">
        <f>IF(Data[[#This Row],[Betrag]]&lt;0,"A","E")</f>
        <v>A</v>
      </c>
    </row>
    <row r="955" spans="1:11" x14ac:dyDescent="0.25">
      <c r="A955" s="1">
        <v>42958</v>
      </c>
      <c r="B955" s="66" t="s">
        <v>45</v>
      </c>
      <c r="C955" s="66" t="s">
        <v>46</v>
      </c>
      <c r="D955" t="s">
        <v>47</v>
      </c>
      <c r="E955">
        <v>1000</v>
      </c>
      <c r="F955" s="66" t="s">
        <v>7</v>
      </c>
      <c r="G955" s="66" t="s">
        <v>9</v>
      </c>
      <c r="H955" s="66" t="str">
        <f>TEXT(Data[[#This Row],[Buchung]],"MMM")</f>
        <v>Aug</v>
      </c>
      <c r="I955" s="67">
        <f>YEAR(Data[[#This Row],[Buchung]])</f>
        <v>2017</v>
      </c>
      <c r="J955" s="2">
        <f>ABS(Data[[#This Row],[Betrag]])</f>
        <v>1000</v>
      </c>
      <c r="K955" s="66" t="str">
        <f>IF(Data[[#This Row],[Betrag]]&lt;0,"A","E")</f>
        <v>E</v>
      </c>
    </row>
    <row r="956" spans="1:11" x14ac:dyDescent="0.25">
      <c r="A956" s="1">
        <v>42959</v>
      </c>
      <c r="B956" s="66" t="s">
        <v>48</v>
      </c>
      <c r="C956" s="66" t="s">
        <v>49</v>
      </c>
      <c r="D956" t="s">
        <v>50</v>
      </c>
      <c r="E956">
        <v>-15</v>
      </c>
      <c r="F956" s="66" t="s">
        <v>7</v>
      </c>
      <c r="G956" s="66" t="s">
        <v>8</v>
      </c>
      <c r="H956" s="66" t="str">
        <f>TEXT(Data[[#This Row],[Buchung]],"MMM")</f>
        <v>Aug</v>
      </c>
      <c r="I956" s="67">
        <f>YEAR(Data[[#This Row],[Buchung]])</f>
        <v>2017</v>
      </c>
      <c r="J956" s="2">
        <f>ABS(Data[[#This Row],[Betrag]])</f>
        <v>15</v>
      </c>
      <c r="K956" s="66" t="str">
        <f>IF(Data[[#This Row],[Betrag]]&lt;0,"A","E")</f>
        <v>A</v>
      </c>
    </row>
    <row r="957" spans="1:11" x14ac:dyDescent="0.25">
      <c r="A957" s="1">
        <v>42960</v>
      </c>
      <c r="B957" s="66" t="s">
        <v>51</v>
      </c>
      <c r="C957" s="66" t="s">
        <v>52</v>
      </c>
      <c r="D957" t="s">
        <v>53</v>
      </c>
      <c r="E957">
        <v>-350</v>
      </c>
      <c r="F957" s="66" t="s">
        <v>7</v>
      </c>
      <c r="G957" s="66" t="s">
        <v>11</v>
      </c>
      <c r="H957" s="66" t="str">
        <f>TEXT(Data[[#This Row],[Buchung]],"MMM")</f>
        <v>Aug</v>
      </c>
      <c r="I957" s="67">
        <f>YEAR(Data[[#This Row],[Buchung]])</f>
        <v>2017</v>
      </c>
      <c r="J957" s="2">
        <f>ABS(Data[[#This Row],[Betrag]])</f>
        <v>350</v>
      </c>
      <c r="K957" s="66" t="str">
        <f>IF(Data[[#This Row],[Betrag]]&lt;0,"A","E")</f>
        <v>A</v>
      </c>
    </row>
    <row r="958" spans="1:11" x14ac:dyDescent="0.25">
      <c r="A958" s="1">
        <v>42961</v>
      </c>
      <c r="B958" s="66" t="s">
        <v>54</v>
      </c>
      <c r="C958" s="66" t="s">
        <v>55</v>
      </c>
      <c r="D958" t="s">
        <v>56</v>
      </c>
      <c r="E958">
        <v>-120</v>
      </c>
      <c r="F958" s="66" t="s">
        <v>7</v>
      </c>
      <c r="G958" s="66" t="s">
        <v>57</v>
      </c>
      <c r="H958" s="66" t="str">
        <f>TEXT(Data[[#This Row],[Buchung]],"MMM")</f>
        <v>Aug</v>
      </c>
      <c r="I958" s="67">
        <f>YEAR(Data[[#This Row],[Buchung]])</f>
        <v>2017</v>
      </c>
      <c r="J958" s="2">
        <f>ABS(Data[[#This Row],[Betrag]])</f>
        <v>120</v>
      </c>
      <c r="K958" s="66" t="str">
        <f>IF(Data[[#This Row],[Betrag]]&lt;0,"A","E")</f>
        <v>A</v>
      </c>
    </row>
    <row r="959" spans="1:11" x14ac:dyDescent="0.25">
      <c r="A959" s="1">
        <v>42962</v>
      </c>
      <c r="B959" s="66" t="s">
        <v>58</v>
      </c>
      <c r="C959" s="66" t="s">
        <v>59</v>
      </c>
      <c r="D959" t="s">
        <v>60</v>
      </c>
      <c r="E959">
        <v>-60</v>
      </c>
      <c r="F959" s="66" t="s">
        <v>7</v>
      </c>
      <c r="G959" s="66" t="s">
        <v>10</v>
      </c>
      <c r="H959" s="66" t="str">
        <f>TEXT(Data[[#This Row],[Buchung]],"MMM")</f>
        <v>Aug</v>
      </c>
      <c r="I959" s="67">
        <f>YEAR(Data[[#This Row],[Buchung]])</f>
        <v>2017</v>
      </c>
      <c r="J959" s="2">
        <f>ABS(Data[[#This Row],[Betrag]])</f>
        <v>60</v>
      </c>
      <c r="K959" s="66" t="str">
        <f>IF(Data[[#This Row],[Betrag]]&lt;0,"A","E")</f>
        <v>A</v>
      </c>
    </row>
    <row r="960" spans="1:11" x14ac:dyDescent="0.25">
      <c r="A960" s="1">
        <v>42963</v>
      </c>
      <c r="B960" s="66" t="s">
        <v>45</v>
      </c>
      <c r="C960" s="66" t="s">
        <v>46</v>
      </c>
      <c r="D960" t="s">
        <v>47</v>
      </c>
      <c r="E960">
        <v>1000</v>
      </c>
      <c r="F960" s="66" t="s">
        <v>7</v>
      </c>
      <c r="G960" s="66" t="s">
        <v>9</v>
      </c>
      <c r="H960" s="66" t="str">
        <f>TEXT(Data[[#This Row],[Buchung]],"MMM")</f>
        <v>Aug</v>
      </c>
      <c r="I960" s="67">
        <f>YEAR(Data[[#This Row],[Buchung]])</f>
        <v>2017</v>
      </c>
      <c r="J960" s="2">
        <f>ABS(Data[[#This Row],[Betrag]])</f>
        <v>1000</v>
      </c>
      <c r="K960" s="66" t="str">
        <f>IF(Data[[#This Row],[Betrag]]&lt;0,"A","E")</f>
        <v>E</v>
      </c>
    </row>
    <row r="961" spans="1:11" x14ac:dyDescent="0.25">
      <c r="A961" s="1">
        <v>42964</v>
      </c>
      <c r="B961" s="66" t="s">
        <v>61</v>
      </c>
      <c r="C961" s="66" t="s">
        <v>49</v>
      </c>
      <c r="D961" t="s">
        <v>62</v>
      </c>
      <c r="E961">
        <v>-10</v>
      </c>
      <c r="F961" s="66" t="s">
        <v>7</v>
      </c>
      <c r="G961" s="66" t="s">
        <v>8</v>
      </c>
      <c r="H961" s="66" t="str">
        <f>TEXT(Data[[#This Row],[Buchung]],"MMM")</f>
        <v>Aug</v>
      </c>
      <c r="I961" s="67">
        <f>YEAR(Data[[#This Row],[Buchung]])</f>
        <v>2017</v>
      </c>
      <c r="J961" s="2">
        <f>ABS(Data[[#This Row],[Betrag]])</f>
        <v>10</v>
      </c>
      <c r="K961" s="66" t="str">
        <f>IF(Data[[#This Row],[Betrag]]&lt;0,"A","E")</f>
        <v>A</v>
      </c>
    </row>
    <row r="962" spans="1:11" x14ac:dyDescent="0.25">
      <c r="A962" s="1">
        <v>42965</v>
      </c>
      <c r="B962" s="66" t="s">
        <v>63</v>
      </c>
      <c r="C962" s="66" t="s">
        <v>64</v>
      </c>
      <c r="D962" t="s">
        <v>65</v>
      </c>
      <c r="E962">
        <v>-70</v>
      </c>
      <c r="F962" s="66" t="s">
        <v>7</v>
      </c>
      <c r="G962" s="66" t="s">
        <v>11</v>
      </c>
      <c r="H962" s="66" t="str">
        <f>TEXT(Data[[#This Row],[Buchung]],"MMM")</f>
        <v>Aug</v>
      </c>
      <c r="I962" s="67">
        <f>YEAR(Data[[#This Row],[Buchung]])</f>
        <v>2017</v>
      </c>
      <c r="J962" s="2">
        <f>ABS(Data[[#This Row],[Betrag]])</f>
        <v>70</v>
      </c>
      <c r="K962" s="66" t="str">
        <f>IF(Data[[#This Row],[Betrag]]&lt;0,"A","E")</f>
        <v>A</v>
      </c>
    </row>
    <row r="963" spans="1:11" x14ac:dyDescent="0.25">
      <c r="A963" s="1">
        <v>42966</v>
      </c>
      <c r="B963" s="66" t="s">
        <v>54</v>
      </c>
      <c r="C963" s="66" t="s">
        <v>55</v>
      </c>
      <c r="D963" t="s">
        <v>66</v>
      </c>
      <c r="E963">
        <v>-80</v>
      </c>
      <c r="F963" s="66" t="s">
        <v>7</v>
      </c>
      <c r="G963" s="66" t="s">
        <v>57</v>
      </c>
      <c r="H963" s="66" t="str">
        <f>TEXT(Data[[#This Row],[Buchung]],"MMM")</f>
        <v>Aug</v>
      </c>
      <c r="I963" s="67">
        <f>YEAR(Data[[#This Row],[Buchung]])</f>
        <v>2017</v>
      </c>
      <c r="J963" s="2">
        <f>ABS(Data[[#This Row],[Betrag]])</f>
        <v>80</v>
      </c>
      <c r="K963" s="66" t="str">
        <f>IF(Data[[#This Row],[Betrag]]&lt;0,"A","E")</f>
        <v>A</v>
      </c>
    </row>
    <row r="964" spans="1:11" x14ac:dyDescent="0.25">
      <c r="A964" s="1">
        <v>42967</v>
      </c>
      <c r="B964" s="66" t="s">
        <v>67</v>
      </c>
      <c r="C964" s="66" t="s">
        <v>59</v>
      </c>
      <c r="D964" t="s">
        <v>68</v>
      </c>
      <c r="E964">
        <v>-25</v>
      </c>
      <c r="F964" s="66" t="s">
        <v>7</v>
      </c>
      <c r="G964" s="66" t="s">
        <v>10</v>
      </c>
      <c r="H964" s="66" t="str">
        <f>TEXT(Data[[#This Row],[Buchung]],"MMM")</f>
        <v>Aug</v>
      </c>
      <c r="I964" s="67">
        <f>YEAR(Data[[#This Row],[Buchung]])</f>
        <v>2017</v>
      </c>
      <c r="J964" s="2">
        <f>ABS(Data[[#This Row],[Betrag]])</f>
        <v>25</v>
      </c>
      <c r="K964" s="66" t="str">
        <f>IF(Data[[#This Row],[Betrag]]&lt;0,"A","E")</f>
        <v>A</v>
      </c>
    </row>
    <row r="965" spans="1:11" x14ac:dyDescent="0.25">
      <c r="A965" s="1">
        <v>42968</v>
      </c>
      <c r="B965" s="66" t="s">
        <v>45</v>
      </c>
      <c r="C965" s="66" t="s">
        <v>46</v>
      </c>
      <c r="D965" t="s">
        <v>47</v>
      </c>
      <c r="E965">
        <v>1000</v>
      </c>
      <c r="F965" s="66" t="s">
        <v>7</v>
      </c>
      <c r="G965" s="66" t="s">
        <v>9</v>
      </c>
      <c r="H965" s="66" t="str">
        <f>TEXT(Data[[#This Row],[Buchung]],"MMM")</f>
        <v>Aug</v>
      </c>
      <c r="I965" s="67">
        <f>YEAR(Data[[#This Row],[Buchung]])</f>
        <v>2017</v>
      </c>
      <c r="J965" s="2">
        <f>ABS(Data[[#This Row],[Betrag]])</f>
        <v>1000</v>
      </c>
      <c r="K965" s="66" t="str">
        <f>IF(Data[[#This Row],[Betrag]]&lt;0,"A","E")</f>
        <v>E</v>
      </c>
    </row>
    <row r="966" spans="1:11" x14ac:dyDescent="0.25">
      <c r="A966" s="1">
        <v>42969</v>
      </c>
      <c r="B966" s="66" t="s">
        <v>48</v>
      </c>
      <c r="C966" s="66" t="s">
        <v>49</v>
      </c>
      <c r="D966" t="s">
        <v>50</v>
      </c>
      <c r="E966">
        <v>-15</v>
      </c>
      <c r="F966" s="66" t="s">
        <v>7</v>
      </c>
      <c r="G966" s="66" t="s">
        <v>8</v>
      </c>
      <c r="H966" s="66" t="str">
        <f>TEXT(Data[[#This Row],[Buchung]],"MMM")</f>
        <v>Aug</v>
      </c>
      <c r="I966" s="67">
        <f>YEAR(Data[[#This Row],[Buchung]])</f>
        <v>2017</v>
      </c>
      <c r="J966" s="2">
        <f>ABS(Data[[#This Row],[Betrag]])</f>
        <v>15</v>
      </c>
      <c r="K966" s="66" t="str">
        <f>IF(Data[[#This Row],[Betrag]]&lt;0,"A","E")</f>
        <v>A</v>
      </c>
    </row>
    <row r="967" spans="1:11" x14ac:dyDescent="0.25">
      <c r="A967" s="1">
        <v>42970</v>
      </c>
      <c r="B967" s="66" t="s">
        <v>51</v>
      </c>
      <c r="C967" s="66" t="s">
        <v>52</v>
      </c>
      <c r="D967" t="s">
        <v>53</v>
      </c>
      <c r="E967">
        <v>-350</v>
      </c>
      <c r="F967" s="66" t="s">
        <v>7</v>
      </c>
      <c r="G967" s="66" t="s">
        <v>11</v>
      </c>
      <c r="H967" s="66" t="str">
        <f>TEXT(Data[[#This Row],[Buchung]],"MMM")</f>
        <v>Aug</v>
      </c>
      <c r="I967" s="67">
        <f>YEAR(Data[[#This Row],[Buchung]])</f>
        <v>2017</v>
      </c>
      <c r="J967" s="2">
        <f>ABS(Data[[#This Row],[Betrag]])</f>
        <v>350</v>
      </c>
      <c r="K967" s="66" t="str">
        <f>IF(Data[[#This Row],[Betrag]]&lt;0,"A","E")</f>
        <v>A</v>
      </c>
    </row>
    <row r="968" spans="1:11" x14ac:dyDescent="0.25">
      <c r="A968" s="1">
        <v>42971</v>
      </c>
      <c r="B968" s="66" t="s">
        <v>54</v>
      </c>
      <c r="C968" s="66" t="s">
        <v>55</v>
      </c>
      <c r="D968" t="s">
        <v>56</v>
      </c>
      <c r="E968">
        <v>-120</v>
      </c>
      <c r="F968" s="66" t="s">
        <v>7</v>
      </c>
      <c r="G968" s="66" t="s">
        <v>57</v>
      </c>
      <c r="H968" s="66" t="str">
        <f>TEXT(Data[[#This Row],[Buchung]],"MMM")</f>
        <v>Aug</v>
      </c>
      <c r="I968" s="67">
        <f>YEAR(Data[[#This Row],[Buchung]])</f>
        <v>2017</v>
      </c>
      <c r="J968" s="2">
        <f>ABS(Data[[#This Row],[Betrag]])</f>
        <v>120</v>
      </c>
      <c r="K968" s="66" t="str">
        <f>IF(Data[[#This Row],[Betrag]]&lt;0,"A","E")</f>
        <v>A</v>
      </c>
    </row>
    <row r="969" spans="1:11" x14ac:dyDescent="0.25">
      <c r="A969" s="1">
        <v>42972</v>
      </c>
      <c r="B969" s="66" t="s">
        <v>58</v>
      </c>
      <c r="C969" s="66" t="s">
        <v>59</v>
      </c>
      <c r="D969" t="s">
        <v>60</v>
      </c>
      <c r="E969">
        <v>-70</v>
      </c>
      <c r="F969" s="66" t="s">
        <v>7</v>
      </c>
      <c r="G969" s="66" t="s">
        <v>10</v>
      </c>
      <c r="H969" s="66" t="str">
        <f>TEXT(Data[[#This Row],[Buchung]],"MMM")</f>
        <v>Aug</v>
      </c>
      <c r="I969" s="67">
        <f>YEAR(Data[[#This Row],[Buchung]])</f>
        <v>2017</v>
      </c>
      <c r="J969" s="2">
        <f>ABS(Data[[#This Row],[Betrag]])</f>
        <v>70</v>
      </c>
      <c r="K969" s="66" t="str">
        <f>IF(Data[[#This Row],[Betrag]]&lt;0,"A","E")</f>
        <v>A</v>
      </c>
    </row>
    <row r="970" spans="1:11" x14ac:dyDescent="0.25">
      <c r="A970" s="1">
        <v>42973</v>
      </c>
      <c r="B970" s="66" t="s">
        <v>45</v>
      </c>
      <c r="C970" s="66" t="s">
        <v>46</v>
      </c>
      <c r="D970" t="s">
        <v>47</v>
      </c>
      <c r="E970">
        <v>1000</v>
      </c>
      <c r="F970" s="66" t="s">
        <v>7</v>
      </c>
      <c r="G970" s="66" t="s">
        <v>9</v>
      </c>
      <c r="H970" s="66" t="str">
        <f>TEXT(Data[[#This Row],[Buchung]],"MMM")</f>
        <v>Aug</v>
      </c>
      <c r="I970" s="67">
        <f>YEAR(Data[[#This Row],[Buchung]])</f>
        <v>2017</v>
      </c>
      <c r="J970" s="2">
        <f>ABS(Data[[#This Row],[Betrag]])</f>
        <v>1000</v>
      </c>
      <c r="K970" s="66" t="str">
        <f>IF(Data[[#This Row],[Betrag]]&lt;0,"A","E")</f>
        <v>E</v>
      </c>
    </row>
    <row r="971" spans="1:11" x14ac:dyDescent="0.25">
      <c r="A971" s="1">
        <v>42974</v>
      </c>
      <c r="B971" s="66" t="s">
        <v>61</v>
      </c>
      <c r="C971" s="66" t="s">
        <v>49</v>
      </c>
      <c r="D971" t="s">
        <v>62</v>
      </c>
      <c r="E971">
        <v>-10</v>
      </c>
      <c r="F971" s="66" t="s">
        <v>7</v>
      </c>
      <c r="G971" s="66" t="s">
        <v>8</v>
      </c>
      <c r="H971" s="66" t="str">
        <f>TEXT(Data[[#This Row],[Buchung]],"MMM")</f>
        <v>Aug</v>
      </c>
      <c r="I971" s="67">
        <f>YEAR(Data[[#This Row],[Buchung]])</f>
        <v>2017</v>
      </c>
      <c r="J971" s="2">
        <f>ABS(Data[[#This Row],[Betrag]])</f>
        <v>10</v>
      </c>
      <c r="K971" s="66" t="str">
        <f>IF(Data[[#This Row],[Betrag]]&lt;0,"A","E")</f>
        <v>A</v>
      </c>
    </row>
    <row r="972" spans="1:11" x14ac:dyDescent="0.25">
      <c r="A972" s="1">
        <v>42975</v>
      </c>
      <c r="B972" s="66" t="s">
        <v>63</v>
      </c>
      <c r="C972" s="66" t="s">
        <v>64</v>
      </c>
      <c r="D972" t="s">
        <v>65</v>
      </c>
      <c r="E972">
        <v>-60</v>
      </c>
      <c r="F972" s="66" t="s">
        <v>7</v>
      </c>
      <c r="G972" s="66" t="s">
        <v>11</v>
      </c>
      <c r="H972" s="66" t="str">
        <f>TEXT(Data[[#This Row],[Buchung]],"MMM")</f>
        <v>Aug</v>
      </c>
      <c r="I972" s="67">
        <f>YEAR(Data[[#This Row],[Buchung]])</f>
        <v>2017</v>
      </c>
      <c r="J972" s="2">
        <f>ABS(Data[[#This Row],[Betrag]])</f>
        <v>60</v>
      </c>
      <c r="K972" s="66" t="str">
        <f>IF(Data[[#This Row],[Betrag]]&lt;0,"A","E")</f>
        <v>A</v>
      </c>
    </row>
    <row r="973" spans="1:11" x14ac:dyDescent="0.25">
      <c r="A973" s="1">
        <v>42976</v>
      </c>
      <c r="B973" s="66" t="s">
        <v>54</v>
      </c>
      <c r="C973" s="66" t="s">
        <v>55</v>
      </c>
      <c r="D973" t="s">
        <v>66</v>
      </c>
      <c r="E973">
        <v>-80</v>
      </c>
      <c r="F973" s="66" t="s">
        <v>7</v>
      </c>
      <c r="G973" s="66" t="s">
        <v>57</v>
      </c>
      <c r="H973" s="66" t="str">
        <f>TEXT(Data[[#This Row],[Buchung]],"MMM")</f>
        <v>Aug</v>
      </c>
      <c r="I973" s="67">
        <f>YEAR(Data[[#This Row],[Buchung]])</f>
        <v>2017</v>
      </c>
      <c r="J973" s="2">
        <f>ABS(Data[[#This Row],[Betrag]])</f>
        <v>80</v>
      </c>
      <c r="K973" s="66" t="str">
        <f>IF(Data[[#This Row],[Betrag]]&lt;0,"A","E")</f>
        <v>A</v>
      </c>
    </row>
    <row r="974" spans="1:11" x14ac:dyDescent="0.25">
      <c r="A974" s="1">
        <v>42977</v>
      </c>
      <c r="B974" s="66" t="s">
        <v>67</v>
      </c>
      <c r="C974" s="66" t="s">
        <v>59</v>
      </c>
      <c r="D974" t="s">
        <v>68</v>
      </c>
      <c r="E974">
        <v>-30</v>
      </c>
      <c r="F974" s="66" t="s">
        <v>7</v>
      </c>
      <c r="G974" s="66" t="s">
        <v>10</v>
      </c>
      <c r="H974" s="66" t="str">
        <f>TEXT(Data[[#This Row],[Buchung]],"MMM")</f>
        <v>Aug</v>
      </c>
      <c r="I974" s="67">
        <f>YEAR(Data[[#This Row],[Buchung]])</f>
        <v>2017</v>
      </c>
      <c r="J974" s="2">
        <f>ABS(Data[[#This Row],[Betrag]])</f>
        <v>30</v>
      </c>
      <c r="K974" s="66" t="str">
        <f>IF(Data[[#This Row],[Betrag]]&lt;0,"A","E")</f>
        <v>A</v>
      </c>
    </row>
    <row r="975" spans="1:11" x14ac:dyDescent="0.25">
      <c r="A975" s="1">
        <v>42978</v>
      </c>
      <c r="B975" s="66" t="s">
        <v>45</v>
      </c>
      <c r="C975" s="66" t="s">
        <v>46</v>
      </c>
      <c r="D975" t="s">
        <v>47</v>
      </c>
      <c r="E975">
        <v>1000</v>
      </c>
      <c r="F975" s="66" t="s">
        <v>7</v>
      </c>
      <c r="G975" s="66" t="s">
        <v>9</v>
      </c>
      <c r="H975" s="66" t="str">
        <f>TEXT(Data[[#This Row],[Buchung]],"MMM")</f>
        <v>Aug</v>
      </c>
      <c r="I975" s="67">
        <f>YEAR(Data[[#This Row],[Buchung]])</f>
        <v>2017</v>
      </c>
      <c r="J975" s="2">
        <f>ABS(Data[[#This Row],[Betrag]])</f>
        <v>1000</v>
      </c>
      <c r="K975" s="66" t="str">
        <f>IF(Data[[#This Row],[Betrag]]&lt;0,"A","E")</f>
        <v>E</v>
      </c>
    </row>
    <row r="976" spans="1:11" x14ac:dyDescent="0.25">
      <c r="A976" s="1">
        <v>42979</v>
      </c>
      <c r="B976" s="66" t="s">
        <v>48</v>
      </c>
      <c r="C976" s="66" t="s">
        <v>49</v>
      </c>
      <c r="D976" t="s">
        <v>50</v>
      </c>
      <c r="E976">
        <v>-15</v>
      </c>
      <c r="F976" s="66" t="s">
        <v>7</v>
      </c>
      <c r="G976" s="66" t="s">
        <v>8</v>
      </c>
      <c r="H976" s="66" t="str">
        <f>TEXT(Data[[#This Row],[Buchung]],"MMM")</f>
        <v>Sep</v>
      </c>
      <c r="I976" s="67">
        <f>YEAR(Data[[#This Row],[Buchung]])</f>
        <v>2017</v>
      </c>
      <c r="J976" s="2">
        <f>ABS(Data[[#This Row],[Betrag]])</f>
        <v>15</v>
      </c>
      <c r="K976" s="66" t="str">
        <f>IF(Data[[#This Row],[Betrag]]&lt;0,"A","E")</f>
        <v>A</v>
      </c>
    </row>
    <row r="977" spans="1:11" x14ac:dyDescent="0.25">
      <c r="A977" s="1">
        <v>42980</v>
      </c>
      <c r="B977" s="66" t="s">
        <v>51</v>
      </c>
      <c r="C977" s="66" t="s">
        <v>52</v>
      </c>
      <c r="D977" t="s">
        <v>53</v>
      </c>
      <c r="E977">
        <v>-350</v>
      </c>
      <c r="F977" s="66" t="s">
        <v>7</v>
      </c>
      <c r="G977" s="66" t="s">
        <v>11</v>
      </c>
      <c r="H977" s="66" t="str">
        <f>TEXT(Data[[#This Row],[Buchung]],"MMM")</f>
        <v>Sep</v>
      </c>
      <c r="I977" s="67">
        <f>YEAR(Data[[#This Row],[Buchung]])</f>
        <v>2017</v>
      </c>
      <c r="J977" s="2">
        <f>ABS(Data[[#This Row],[Betrag]])</f>
        <v>350</v>
      </c>
      <c r="K977" s="66" t="str">
        <f>IF(Data[[#This Row],[Betrag]]&lt;0,"A","E")</f>
        <v>A</v>
      </c>
    </row>
    <row r="978" spans="1:11" x14ac:dyDescent="0.25">
      <c r="A978" s="1">
        <v>42981</v>
      </c>
      <c r="B978" s="66" t="s">
        <v>54</v>
      </c>
      <c r="C978" s="66" t="s">
        <v>55</v>
      </c>
      <c r="D978" t="s">
        <v>56</v>
      </c>
      <c r="E978">
        <v>-120</v>
      </c>
      <c r="F978" s="66" t="s">
        <v>7</v>
      </c>
      <c r="G978" s="66" t="s">
        <v>57</v>
      </c>
      <c r="H978" s="66" t="str">
        <f>TEXT(Data[[#This Row],[Buchung]],"MMM")</f>
        <v>Sep</v>
      </c>
      <c r="I978" s="67">
        <f>YEAR(Data[[#This Row],[Buchung]])</f>
        <v>2017</v>
      </c>
      <c r="J978" s="2">
        <f>ABS(Data[[#This Row],[Betrag]])</f>
        <v>120</v>
      </c>
      <c r="K978" s="66" t="str">
        <f>IF(Data[[#This Row],[Betrag]]&lt;0,"A","E")</f>
        <v>A</v>
      </c>
    </row>
    <row r="979" spans="1:11" x14ac:dyDescent="0.25">
      <c r="A979" s="1">
        <v>42982</v>
      </c>
      <c r="B979" s="66" t="s">
        <v>58</v>
      </c>
      <c r="C979" s="66" t="s">
        <v>59</v>
      </c>
      <c r="D979" t="s">
        <v>60</v>
      </c>
      <c r="E979">
        <v>-80</v>
      </c>
      <c r="F979" s="66" t="s">
        <v>7</v>
      </c>
      <c r="G979" s="66" t="s">
        <v>10</v>
      </c>
      <c r="H979" s="66" t="str">
        <f>TEXT(Data[[#This Row],[Buchung]],"MMM")</f>
        <v>Sep</v>
      </c>
      <c r="I979" s="67">
        <f>YEAR(Data[[#This Row],[Buchung]])</f>
        <v>2017</v>
      </c>
      <c r="J979" s="2">
        <f>ABS(Data[[#This Row],[Betrag]])</f>
        <v>80</v>
      </c>
      <c r="K979" s="66" t="str">
        <f>IF(Data[[#This Row],[Betrag]]&lt;0,"A","E")</f>
        <v>A</v>
      </c>
    </row>
    <row r="980" spans="1:11" x14ac:dyDescent="0.25">
      <c r="A980" s="1">
        <v>42983</v>
      </c>
      <c r="B980" s="66" t="s">
        <v>45</v>
      </c>
      <c r="C980" s="66" t="s">
        <v>46</v>
      </c>
      <c r="D980" t="s">
        <v>47</v>
      </c>
      <c r="E980">
        <v>1000</v>
      </c>
      <c r="F980" s="66" t="s">
        <v>7</v>
      </c>
      <c r="G980" s="66" t="s">
        <v>9</v>
      </c>
      <c r="H980" s="66" t="str">
        <f>TEXT(Data[[#This Row],[Buchung]],"MMM")</f>
        <v>Sep</v>
      </c>
      <c r="I980" s="67">
        <f>YEAR(Data[[#This Row],[Buchung]])</f>
        <v>2017</v>
      </c>
      <c r="J980" s="2">
        <f>ABS(Data[[#This Row],[Betrag]])</f>
        <v>1000</v>
      </c>
      <c r="K980" s="66" t="str">
        <f>IF(Data[[#This Row],[Betrag]]&lt;0,"A","E")</f>
        <v>E</v>
      </c>
    </row>
    <row r="981" spans="1:11" x14ac:dyDescent="0.25">
      <c r="A981" s="1">
        <v>42984</v>
      </c>
      <c r="B981" s="66" t="s">
        <v>61</v>
      </c>
      <c r="C981" s="66" t="s">
        <v>49</v>
      </c>
      <c r="D981" t="s">
        <v>62</v>
      </c>
      <c r="E981">
        <v>-10</v>
      </c>
      <c r="F981" s="66" t="s">
        <v>7</v>
      </c>
      <c r="G981" s="66" t="s">
        <v>8</v>
      </c>
      <c r="H981" s="66" t="str">
        <f>TEXT(Data[[#This Row],[Buchung]],"MMM")</f>
        <v>Sep</v>
      </c>
      <c r="I981" s="67">
        <f>YEAR(Data[[#This Row],[Buchung]])</f>
        <v>2017</v>
      </c>
      <c r="J981" s="2">
        <f>ABS(Data[[#This Row],[Betrag]])</f>
        <v>10</v>
      </c>
      <c r="K981" s="66" t="str">
        <f>IF(Data[[#This Row],[Betrag]]&lt;0,"A","E")</f>
        <v>A</v>
      </c>
    </row>
    <row r="982" spans="1:11" x14ac:dyDescent="0.25">
      <c r="A982" s="1">
        <v>42985</v>
      </c>
      <c r="B982" s="66" t="s">
        <v>63</v>
      </c>
      <c r="C982" s="66" t="s">
        <v>64</v>
      </c>
      <c r="D982" t="s">
        <v>65</v>
      </c>
      <c r="E982">
        <v>-65</v>
      </c>
      <c r="F982" s="66" t="s">
        <v>7</v>
      </c>
      <c r="G982" s="66" t="s">
        <v>11</v>
      </c>
      <c r="H982" s="66" t="str">
        <f>TEXT(Data[[#This Row],[Buchung]],"MMM")</f>
        <v>Sep</v>
      </c>
      <c r="I982" s="67">
        <f>YEAR(Data[[#This Row],[Buchung]])</f>
        <v>2017</v>
      </c>
      <c r="J982" s="2">
        <f>ABS(Data[[#This Row],[Betrag]])</f>
        <v>65</v>
      </c>
      <c r="K982" s="66" t="str">
        <f>IF(Data[[#This Row],[Betrag]]&lt;0,"A","E")</f>
        <v>A</v>
      </c>
    </row>
    <row r="983" spans="1:11" x14ac:dyDescent="0.25">
      <c r="A983" s="1">
        <v>42986</v>
      </c>
      <c r="B983" s="66" t="s">
        <v>54</v>
      </c>
      <c r="C983" s="66" t="s">
        <v>55</v>
      </c>
      <c r="D983" t="s">
        <v>66</v>
      </c>
      <c r="E983">
        <v>-80</v>
      </c>
      <c r="F983" s="66" t="s">
        <v>7</v>
      </c>
      <c r="G983" s="66" t="s">
        <v>57</v>
      </c>
      <c r="H983" s="66" t="str">
        <f>TEXT(Data[[#This Row],[Buchung]],"MMM")</f>
        <v>Sep</v>
      </c>
      <c r="I983" s="67">
        <f>YEAR(Data[[#This Row],[Buchung]])</f>
        <v>2017</v>
      </c>
      <c r="J983" s="2">
        <f>ABS(Data[[#This Row],[Betrag]])</f>
        <v>80</v>
      </c>
      <c r="K983" s="66" t="str">
        <f>IF(Data[[#This Row],[Betrag]]&lt;0,"A","E")</f>
        <v>A</v>
      </c>
    </row>
    <row r="984" spans="1:11" x14ac:dyDescent="0.25">
      <c r="A984" s="1">
        <v>42987</v>
      </c>
      <c r="B984" s="66" t="s">
        <v>67</v>
      </c>
      <c r="C984" s="66" t="s">
        <v>59</v>
      </c>
      <c r="D984" t="s">
        <v>68</v>
      </c>
      <c r="E984">
        <v>-35</v>
      </c>
      <c r="F984" s="66" t="s">
        <v>7</v>
      </c>
      <c r="G984" s="66" t="s">
        <v>10</v>
      </c>
      <c r="H984" s="66" t="str">
        <f>TEXT(Data[[#This Row],[Buchung]],"MMM")</f>
        <v>Sep</v>
      </c>
      <c r="I984" s="67">
        <f>YEAR(Data[[#This Row],[Buchung]])</f>
        <v>2017</v>
      </c>
      <c r="J984" s="2">
        <f>ABS(Data[[#This Row],[Betrag]])</f>
        <v>35</v>
      </c>
      <c r="K984" s="66" t="str">
        <f>IF(Data[[#This Row],[Betrag]]&lt;0,"A","E")</f>
        <v>A</v>
      </c>
    </row>
    <row r="985" spans="1:11" x14ac:dyDescent="0.25">
      <c r="A985" s="1">
        <v>42988</v>
      </c>
      <c r="B985" s="66" t="s">
        <v>45</v>
      </c>
      <c r="C985" s="66" t="s">
        <v>46</v>
      </c>
      <c r="D985" t="s">
        <v>47</v>
      </c>
      <c r="E985">
        <v>1000</v>
      </c>
      <c r="F985" s="66" t="s">
        <v>7</v>
      </c>
      <c r="G985" s="66" t="s">
        <v>9</v>
      </c>
      <c r="H985" s="66" t="str">
        <f>TEXT(Data[[#This Row],[Buchung]],"MMM")</f>
        <v>Sep</v>
      </c>
      <c r="I985" s="67">
        <f>YEAR(Data[[#This Row],[Buchung]])</f>
        <v>2017</v>
      </c>
      <c r="J985" s="2">
        <f>ABS(Data[[#This Row],[Betrag]])</f>
        <v>1000</v>
      </c>
      <c r="K985" s="66" t="str">
        <f>IF(Data[[#This Row],[Betrag]]&lt;0,"A","E")</f>
        <v>E</v>
      </c>
    </row>
    <row r="986" spans="1:11" x14ac:dyDescent="0.25">
      <c r="A986" s="1">
        <v>42989</v>
      </c>
      <c r="B986" s="66" t="s">
        <v>45</v>
      </c>
      <c r="C986" s="66" t="s">
        <v>46</v>
      </c>
      <c r="D986" t="s">
        <v>47</v>
      </c>
      <c r="E986">
        <v>1000</v>
      </c>
      <c r="F986" s="66" t="s">
        <v>7</v>
      </c>
      <c r="G986" s="66" t="s">
        <v>9</v>
      </c>
      <c r="H986" s="66" t="str">
        <f>TEXT(Data[[#This Row],[Buchung]],"MMM")</f>
        <v>Sep</v>
      </c>
      <c r="I986" s="67">
        <f>YEAR(Data[[#This Row],[Buchung]])</f>
        <v>2017</v>
      </c>
      <c r="J986" s="2">
        <f>ABS(Data[[#This Row],[Betrag]])</f>
        <v>1000</v>
      </c>
      <c r="K986" s="66" t="str">
        <f>IF(Data[[#This Row],[Betrag]]&lt;0,"A","E")</f>
        <v>E</v>
      </c>
    </row>
    <row r="987" spans="1:11" x14ac:dyDescent="0.25">
      <c r="A987" s="1">
        <v>42990</v>
      </c>
      <c r="B987" s="66" t="s">
        <v>48</v>
      </c>
      <c r="C987" s="66" t="s">
        <v>49</v>
      </c>
      <c r="D987" t="s">
        <v>50</v>
      </c>
      <c r="E987">
        <v>-15</v>
      </c>
      <c r="F987" s="66" t="s">
        <v>7</v>
      </c>
      <c r="G987" s="66" t="s">
        <v>8</v>
      </c>
      <c r="H987" s="66" t="str">
        <f>TEXT(Data[[#This Row],[Buchung]],"MMM")</f>
        <v>Sep</v>
      </c>
      <c r="I987" s="67">
        <f>YEAR(Data[[#This Row],[Buchung]])</f>
        <v>2017</v>
      </c>
      <c r="J987" s="2">
        <f>ABS(Data[[#This Row],[Betrag]])</f>
        <v>15</v>
      </c>
      <c r="K987" s="66" t="str">
        <f>IF(Data[[#This Row],[Betrag]]&lt;0,"A","E")</f>
        <v>A</v>
      </c>
    </row>
    <row r="988" spans="1:11" x14ac:dyDescent="0.25">
      <c r="A988" s="1">
        <v>42991</v>
      </c>
      <c r="B988" s="66" t="s">
        <v>51</v>
      </c>
      <c r="C988" s="66" t="s">
        <v>52</v>
      </c>
      <c r="D988" t="s">
        <v>53</v>
      </c>
      <c r="E988">
        <v>-350</v>
      </c>
      <c r="F988" s="66" t="s">
        <v>7</v>
      </c>
      <c r="G988" s="66" t="s">
        <v>11</v>
      </c>
      <c r="H988" s="66" t="str">
        <f>TEXT(Data[[#This Row],[Buchung]],"MMM")</f>
        <v>Sep</v>
      </c>
      <c r="I988" s="67">
        <f>YEAR(Data[[#This Row],[Buchung]])</f>
        <v>2017</v>
      </c>
      <c r="J988" s="2">
        <f>ABS(Data[[#This Row],[Betrag]])</f>
        <v>350</v>
      </c>
      <c r="K988" s="66" t="str">
        <f>IF(Data[[#This Row],[Betrag]]&lt;0,"A","E")</f>
        <v>A</v>
      </c>
    </row>
    <row r="989" spans="1:11" x14ac:dyDescent="0.25">
      <c r="A989" s="1">
        <v>42992</v>
      </c>
      <c r="B989" s="66" t="s">
        <v>54</v>
      </c>
      <c r="C989" s="66" t="s">
        <v>55</v>
      </c>
      <c r="D989" t="s">
        <v>56</v>
      </c>
      <c r="E989">
        <v>-120</v>
      </c>
      <c r="F989" s="66" t="s">
        <v>7</v>
      </c>
      <c r="G989" s="66" t="s">
        <v>57</v>
      </c>
      <c r="H989" s="66" t="str">
        <f>TEXT(Data[[#This Row],[Buchung]],"MMM")</f>
        <v>Sep</v>
      </c>
      <c r="I989" s="67">
        <f>YEAR(Data[[#This Row],[Buchung]])</f>
        <v>2017</v>
      </c>
      <c r="J989" s="2">
        <f>ABS(Data[[#This Row],[Betrag]])</f>
        <v>120</v>
      </c>
      <c r="K989" s="66" t="str">
        <f>IF(Data[[#This Row],[Betrag]]&lt;0,"A","E")</f>
        <v>A</v>
      </c>
    </row>
    <row r="990" spans="1:11" x14ac:dyDescent="0.25">
      <c r="A990" s="1">
        <v>42993</v>
      </c>
      <c r="B990" s="66" t="s">
        <v>58</v>
      </c>
      <c r="C990" s="66" t="s">
        <v>59</v>
      </c>
      <c r="D990" t="s">
        <v>60</v>
      </c>
      <c r="E990">
        <v>-50</v>
      </c>
      <c r="F990" s="66" t="s">
        <v>7</v>
      </c>
      <c r="G990" s="66" t="s">
        <v>10</v>
      </c>
      <c r="H990" s="66" t="str">
        <f>TEXT(Data[[#This Row],[Buchung]],"MMM")</f>
        <v>Sep</v>
      </c>
      <c r="I990" s="67">
        <f>YEAR(Data[[#This Row],[Buchung]])</f>
        <v>2017</v>
      </c>
      <c r="J990" s="2">
        <f>ABS(Data[[#This Row],[Betrag]])</f>
        <v>50</v>
      </c>
      <c r="K990" s="66" t="str">
        <f>IF(Data[[#This Row],[Betrag]]&lt;0,"A","E")</f>
        <v>A</v>
      </c>
    </row>
    <row r="991" spans="1:11" x14ac:dyDescent="0.25">
      <c r="A991" s="1">
        <v>42994</v>
      </c>
      <c r="B991" s="66" t="s">
        <v>45</v>
      </c>
      <c r="C991" s="66" t="s">
        <v>46</v>
      </c>
      <c r="D991" t="s">
        <v>47</v>
      </c>
      <c r="E991">
        <v>1000</v>
      </c>
      <c r="F991" s="66" t="s">
        <v>7</v>
      </c>
      <c r="G991" s="66" t="s">
        <v>9</v>
      </c>
      <c r="H991" s="66" t="str">
        <f>TEXT(Data[[#This Row],[Buchung]],"MMM")</f>
        <v>Sep</v>
      </c>
      <c r="I991" s="67">
        <f>YEAR(Data[[#This Row],[Buchung]])</f>
        <v>2017</v>
      </c>
      <c r="J991" s="2">
        <f>ABS(Data[[#This Row],[Betrag]])</f>
        <v>1000</v>
      </c>
      <c r="K991" s="66" t="str">
        <f>IF(Data[[#This Row],[Betrag]]&lt;0,"A","E")</f>
        <v>E</v>
      </c>
    </row>
    <row r="992" spans="1:11" x14ac:dyDescent="0.25">
      <c r="A992" s="1">
        <v>42995</v>
      </c>
      <c r="B992" s="66" t="s">
        <v>61</v>
      </c>
      <c r="C992" s="66" t="s">
        <v>49</v>
      </c>
      <c r="D992" t="s">
        <v>62</v>
      </c>
      <c r="E992">
        <v>-10</v>
      </c>
      <c r="F992" s="66" t="s">
        <v>7</v>
      </c>
      <c r="G992" s="66" t="s">
        <v>8</v>
      </c>
      <c r="H992" s="66" t="str">
        <f>TEXT(Data[[#This Row],[Buchung]],"MMM")</f>
        <v>Sep</v>
      </c>
      <c r="I992" s="67">
        <f>YEAR(Data[[#This Row],[Buchung]])</f>
        <v>2017</v>
      </c>
      <c r="J992" s="2">
        <f>ABS(Data[[#This Row],[Betrag]])</f>
        <v>10</v>
      </c>
      <c r="K992" s="66" t="str">
        <f>IF(Data[[#This Row],[Betrag]]&lt;0,"A","E")</f>
        <v>A</v>
      </c>
    </row>
    <row r="993" spans="1:11" x14ac:dyDescent="0.25">
      <c r="A993" s="1">
        <v>42996</v>
      </c>
      <c r="B993" s="66" t="s">
        <v>63</v>
      </c>
      <c r="C993" s="66" t="s">
        <v>64</v>
      </c>
      <c r="D993" t="s">
        <v>65</v>
      </c>
      <c r="E993">
        <v>-60</v>
      </c>
      <c r="F993" s="66" t="s">
        <v>7</v>
      </c>
      <c r="G993" s="66" t="s">
        <v>11</v>
      </c>
      <c r="H993" s="66" t="str">
        <f>TEXT(Data[[#This Row],[Buchung]],"MMM")</f>
        <v>Sep</v>
      </c>
      <c r="I993" s="67">
        <f>YEAR(Data[[#This Row],[Buchung]])</f>
        <v>2017</v>
      </c>
      <c r="J993" s="2">
        <f>ABS(Data[[#This Row],[Betrag]])</f>
        <v>60</v>
      </c>
      <c r="K993" s="66" t="str">
        <f>IF(Data[[#This Row],[Betrag]]&lt;0,"A","E")</f>
        <v>A</v>
      </c>
    </row>
    <row r="994" spans="1:11" x14ac:dyDescent="0.25">
      <c r="A994" s="1">
        <v>42997</v>
      </c>
      <c r="B994" s="66" t="s">
        <v>54</v>
      </c>
      <c r="C994" s="66" t="s">
        <v>55</v>
      </c>
      <c r="D994" t="s">
        <v>66</v>
      </c>
      <c r="E994">
        <v>-80</v>
      </c>
      <c r="F994" s="66" t="s">
        <v>7</v>
      </c>
      <c r="G994" s="66" t="s">
        <v>57</v>
      </c>
      <c r="H994" s="66" t="str">
        <f>TEXT(Data[[#This Row],[Buchung]],"MMM")</f>
        <v>Sep</v>
      </c>
      <c r="I994" s="67">
        <f>YEAR(Data[[#This Row],[Buchung]])</f>
        <v>2017</v>
      </c>
      <c r="J994" s="2">
        <f>ABS(Data[[#This Row],[Betrag]])</f>
        <v>80</v>
      </c>
      <c r="K994" s="66" t="str">
        <f>IF(Data[[#This Row],[Betrag]]&lt;0,"A","E")</f>
        <v>A</v>
      </c>
    </row>
    <row r="995" spans="1:11" x14ac:dyDescent="0.25">
      <c r="A995" s="1">
        <v>42998</v>
      </c>
      <c r="B995" s="66" t="s">
        <v>67</v>
      </c>
      <c r="C995" s="66" t="s">
        <v>59</v>
      </c>
      <c r="D995" t="s">
        <v>68</v>
      </c>
      <c r="E995">
        <v>-20</v>
      </c>
      <c r="F995" s="66" t="s">
        <v>7</v>
      </c>
      <c r="G995" s="66" t="s">
        <v>10</v>
      </c>
      <c r="H995" s="66" t="str">
        <f>TEXT(Data[[#This Row],[Buchung]],"MMM")</f>
        <v>Sep</v>
      </c>
      <c r="I995" s="67">
        <f>YEAR(Data[[#This Row],[Buchung]])</f>
        <v>2017</v>
      </c>
      <c r="J995" s="2">
        <f>ABS(Data[[#This Row],[Betrag]])</f>
        <v>20</v>
      </c>
      <c r="K995" s="66" t="str">
        <f>IF(Data[[#This Row],[Betrag]]&lt;0,"A","E")</f>
        <v>A</v>
      </c>
    </row>
    <row r="996" spans="1:11" x14ac:dyDescent="0.25">
      <c r="A996" s="1">
        <v>42999</v>
      </c>
      <c r="B996" s="66" t="s">
        <v>45</v>
      </c>
      <c r="C996" s="66" t="s">
        <v>46</v>
      </c>
      <c r="D996" t="s">
        <v>47</v>
      </c>
      <c r="E996">
        <v>1000</v>
      </c>
      <c r="F996" s="66" t="s">
        <v>7</v>
      </c>
      <c r="G996" s="66" t="s">
        <v>9</v>
      </c>
      <c r="H996" s="66" t="str">
        <f>TEXT(Data[[#This Row],[Buchung]],"MMM")</f>
        <v>Sep</v>
      </c>
      <c r="I996" s="67">
        <f>YEAR(Data[[#This Row],[Buchung]])</f>
        <v>2017</v>
      </c>
      <c r="J996" s="2">
        <f>ABS(Data[[#This Row],[Betrag]])</f>
        <v>1000</v>
      </c>
      <c r="K996" s="66" t="str">
        <f>IF(Data[[#This Row],[Betrag]]&lt;0,"A","E")</f>
        <v>E</v>
      </c>
    </row>
    <row r="997" spans="1:11" x14ac:dyDescent="0.25">
      <c r="A997" s="1">
        <v>43000</v>
      </c>
      <c r="B997" s="66" t="s">
        <v>48</v>
      </c>
      <c r="C997" s="66" t="s">
        <v>49</v>
      </c>
      <c r="D997" t="s">
        <v>50</v>
      </c>
      <c r="E997">
        <v>-15</v>
      </c>
      <c r="F997" s="66" t="s">
        <v>7</v>
      </c>
      <c r="G997" s="66" t="s">
        <v>8</v>
      </c>
      <c r="H997" s="66" t="str">
        <f>TEXT(Data[[#This Row],[Buchung]],"MMM")</f>
        <v>Sep</v>
      </c>
      <c r="I997" s="67">
        <f>YEAR(Data[[#This Row],[Buchung]])</f>
        <v>2017</v>
      </c>
      <c r="J997" s="2">
        <f>ABS(Data[[#This Row],[Betrag]])</f>
        <v>15</v>
      </c>
      <c r="K997" s="66" t="str">
        <f>IF(Data[[#This Row],[Betrag]]&lt;0,"A","E")</f>
        <v>A</v>
      </c>
    </row>
    <row r="998" spans="1:11" x14ac:dyDescent="0.25">
      <c r="A998" s="1">
        <v>43001</v>
      </c>
      <c r="B998" s="66" t="s">
        <v>51</v>
      </c>
      <c r="C998" s="66" t="s">
        <v>52</v>
      </c>
      <c r="D998" t="s">
        <v>53</v>
      </c>
      <c r="E998">
        <v>-350</v>
      </c>
      <c r="F998" s="66" t="s">
        <v>7</v>
      </c>
      <c r="G998" s="66" t="s">
        <v>11</v>
      </c>
      <c r="H998" s="66" t="str">
        <f>TEXT(Data[[#This Row],[Buchung]],"MMM")</f>
        <v>Sep</v>
      </c>
      <c r="I998" s="67">
        <f>YEAR(Data[[#This Row],[Buchung]])</f>
        <v>2017</v>
      </c>
      <c r="J998" s="2">
        <f>ABS(Data[[#This Row],[Betrag]])</f>
        <v>350</v>
      </c>
      <c r="K998" s="66" t="str">
        <f>IF(Data[[#This Row],[Betrag]]&lt;0,"A","E")</f>
        <v>A</v>
      </c>
    </row>
    <row r="999" spans="1:11" x14ac:dyDescent="0.25">
      <c r="A999" s="1">
        <v>43002</v>
      </c>
      <c r="B999" s="66" t="s">
        <v>54</v>
      </c>
      <c r="C999" s="66" t="s">
        <v>55</v>
      </c>
      <c r="D999" t="s">
        <v>56</v>
      </c>
      <c r="E999">
        <v>-120</v>
      </c>
      <c r="F999" s="66" t="s">
        <v>7</v>
      </c>
      <c r="G999" s="66" t="s">
        <v>57</v>
      </c>
      <c r="H999" s="66" t="str">
        <f>TEXT(Data[[#This Row],[Buchung]],"MMM")</f>
        <v>Sep</v>
      </c>
      <c r="I999" s="67">
        <f>YEAR(Data[[#This Row],[Buchung]])</f>
        <v>2017</v>
      </c>
      <c r="J999" s="2">
        <f>ABS(Data[[#This Row],[Betrag]])</f>
        <v>120</v>
      </c>
      <c r="K999" s="66" t="str">
        <f>IF(Data[[#This Row],[Betrag]]&lt;0,"A","E")</f>
        <v>A</v>
      </c>
    </row>
    <row r="1000" spans="1:11" x14ac:dyDescent="0.25">
      <c r="A1000" s="1">
        <v>43003</v>
      </c>
      <c r="B1000" s="66" t="s">
        <v>58</v>
      </c>
      <c r="C1000" s="66" t="s">
        <v>59</v>
      </c>
      <c r="D1000" t="s">
        <v>60</v>
      </c>
      <c r="E1000">
        <v>-60</v>
      </c>
      <c r="F1000" s="66" t="s">
        <v>7</v>
      </c>
      <c r="G1000" s="66" t="s">
        <v>10</v>
      </c>
      <c r="H1000" s="66" t="str">
        <f>TEXT(Data[[#This Row],[Buchung]],"MMM")</f>
        <v>Sep</v>
      </c>
      <c r="I1000" s="67">
        <f>YEAR(Data[[#This Row],[Buchung]])</f>
        <v>2017</v>
      </c>
      <c r="J1000" s="2">
        <f>ABS(Data[[#This Row],[Betrag]])</f>
        <v>60</v>
      </c>
      <c r="K1000" s="66" t="str">
        <f>IF(Data[[#This Row],[Betrag]]&lt;0,"A","E")</f>
        <v>A</v>
      </c>
    </row>
    <row r="1001" spans="1:11" x14ac:dyDescent="0.25">
      <c r="A1001" s="1">
        <v>43004</v>
      </c>
      <c r="B1001" s="66" t="s">
        <v>45</v>
      </c>
      <c r="C1001" s="66" t="s">
        <v>46</v>
      </c>
      <c r="D1001" t="s">
        <v>47</v>
      </c>
      <c r="E1001">
        <v>1000</v>
      </c>
      <c r="F1001" s="66" t="s">
        <v>7</v>
      </c>
      <c r="G1001" s="66" t="s">
        <v>9</v>
      </c>
      <c r="H1001" s="66" t="str">
        <f>TEXT(Data[[#This Row],[Buchung]],"MMM")</f>
        <v>Sep</v>
      </c>
      <c r="I1001" s="67">
        <f>YEAR(Data[[#This Row],[Buchung]])</f>
        <v>2017</v>
      </c>
      <c r="J1001" s="2">
        <f>ABS(Data[[#This Row],[Betrag]])</f>
        <v>1000</v>
      </c>
      <c r="K1001" s="66" t="str">
        <f>IF(Data[[#This Row],[Betrag]]&lt;0,"A","E")</f>
        <v>E</v>
      </c>
    </row>
    <row r="1002" spans="1:11" x14ac:dyDescent="0.25">
      <c r="A1002" s="1">
        <v>43005</v>
      </c>
      <c r="B1002" s="66" t="s">
        <v>61</v>
      </c>
      <c r="C1002" s="66" t="s">
        <v>49</v>
      </c>
      <c r="D1002" t="s">
        <v>62</v>
      </c>
      <c r="E1002">
        <v>-10</v>
      </c>
      <c r="F1002" s="66" t="s">
        <v>7</v>
      </c>
      <c r="G1002" s="66" t="s">
        <v>8</v>
      </c>
      <c r="H1002" s="66" t="str">
        <f>TEXT(Data[[#This Row],[Buchung]],"MMM")</f>
        <v>Sep</v>
      </c>
      <c r="I1002" s="67">
        <f>YEAR(Data[[#This Row],[Buchung]])</f>
        <v>2017</v>
      </c>
      <c r="J1002" s="2">
        <f>ABS(Data[[#This Row],[Betrag]])</f>
        <v>10</v>
      </c>
      <c r="K1002" s="66" t="str">
        <f>IF(Data[[#This Row],[Betrag]]&lt;0,"A","E")</f>
        <v>A</v>
      </c>
    </row>
    <row r="1003" spans="1:11" x14ac:dyDescent="0.25">
      <c r="A1003" s="1">
        <v>43006</v>
      </c>
      <c r="B1003" s="66" t="s">
        <v>63</v>
      </c>
      <c r="C1003" s="66" t="s">
        <v>64</v>
      </c>
      <c r="D1003" t="s">
        <v>65</v>
      </c>
      <c r="E1003">
        <v>-70</v>
      </c>
      <c r="F1003" s="66" t="s">
        <v>7</v>
      </c>
      <c r="G1003" s="66" t="s">
        <v>11</v>
      </c>
      <c r="H1003" s="66" t="str">
        <f>TEXT(Data[[#This Row],[Buchung]],"MMM")</f>
        <v>Sep</v>
      </c>
      <c r="I1003" s="67">
        <f>YEAR(Data[[#This Row],[Buchung]])</f>
        <v>2017</v>
      </c>
      <c r="J1003" s="2">
        <f>ABS(Data[[#This Row],[Betrag]])</f>
        <v>70</v>
      </c>
      <c r="K1003" s="66" t="str">
        <f>IF(Data[[#This Row],[Betrag]]&lt;0,"A","E")</f>
        <v>A</v>
      </c>
    </row>
    <row r="1004" spans="1:11" x14ac:dyDescent="0.25">
      <c r="A1004" s="1">
        <v>43007</v>
      </c>
      <c r="B1004" s="66" t="s">
        <v>54</v>
      </c>
      <c r="C1004" s="66" t="s">
        <v>55</v>
      </c>
      <c r="D1004" t="s">
        <v>66</v>
      </c>
      <c r="E1004">
        <v>-80</v>
      </c>
      <c r="F1004" s="66" t="s">
        <v>7</v>
      </c>
      <c r="G1004" s="66" t="s">
        <v>57</v>
      </c>
      <c r="H1004" s="66" t="str">
        <f>TEXT(Data[[#This Row],[Buchung]],"MMM")</f>
        <v>Sep</v>
      </c>
      <c r="I1004" s="67">
        <f>YEAR(Data[[#This Row],[Buchung]])</f>
        <v>2017</v>
      </c>
      <c r="J1004" s="2">
        <f>ABS(Data[[#This Row],[Betrag]])</f>
        <v>80</v>
      </c>
      <c r="K1004" s="66" t="str">
        <f>IF(Data[[#This Row],[Betrag]]&lt;0,"A","E")</f>
        <v>A</v>
      </c>
    </row>
    <row r="1005" spans="1:11" x14ac:dyDescent="0.25">
      <c r="A1005" s="1">
        <v>43008</v>
      </c>
      <c r="B1005" s="66" t="s">
        <v>67</v>
      </c>
      <c r="C1005" s="66" t="s">
        <v>59</v>
      </c>
      <c r="D1005" t="s">
        <v>68</v>
      </c>
      <c r="E1005">
        <v>-25</v>
      </c>
      <c r="F1005" s="66" t="s">
        <v>7</v>
      </c>
      <c r="G1005" s="66" t="s">
        <v>10</v>
      </c>
      <c r="H1005" s="66" t="str">
        <f>TEXT(Data[[#This Row],[Buchung]],"MMM")</f>
        <v>Sep</v>
      </c>
      <c r="I1005" s="67">
        <f>YEAR(Data[[#This Row],[Buchung]])</f>
        <v>2017</v>
      </c>
      <c r="J1005" s="2">
        <f>ABS(Data[[#This Row],[Betrag]])</f>
        <v>25</v>
      </c>
      <c r="K1005" s="66" t="str">
        <f>IF(Data[[#This Row],[Betrag]]&lt;0,"A","E")</f>
        <v>A</v>
      </c>
    </row>
    <row r="1006" spans="1:11" x14ac:dyDescent="0.25">
      <c r="A1006" s="1">
        <v>43009</v>
      </c>
      <c r="B1006" s="66" t="s">
        <v>45</v>
      </c>
      <c r="C1006" s="66" t="s">
        <v>46</v>
      </c>
      <c r="D1006" t="s">
        <v>47</v>
      </c>
      <c r="E1006">
        <v>1000</v>
      </c>
      <c r="F1006" s="66" t="s">
        <v>7</v>
      </c>
      <c r="G1006" s="66" t="s">
        <v>9</v>
      </c>
      <c r="H1006" s="66" t="str">
        <f>TEXT(Data[[#This Row],[Buchung]],"MMM")</f>
        <v>Okt</v>
      </c>
      <c r="I1006" s="67">
        <f>YEAR(Data[[#This Row],[Buchung]])</f>
        <v>2017</v>
      </c>
      <c r="J1006" s="2">
        <f>ABS(Data[[#This Row],[Betrag]])</f>
        <v>1000</v>
      </c>
      <c r="K1006" s="66" t="str">
        <f>IF(Data[[#This Row],[Betrag]]&lt;0,"A","E")</f>
        <v>E</v>
      </c>
    </row>
    <row r="1007" spans="1:11" x14ac:dyDescent="0.25">
      <c r="A1007" s="1">
        <v>43010</v>
      </c>
      <c r="B1007" s="66" t="s">
        <v>48</v>
      </c>
      <c r="C1007" s="66" t="s">
        <v>49</v>
      </c>
      <c r="D1007" t="s">
        <v>50</v>
      </c>
      <c r="E1007">
        <v>-15</v>
      </c>
      <c r="F1007" s="66" t="s">
        <v>7</v>
      </c>
      <c r="G1007" s="66" t="s">
        <v>8</v>
      </c>
      <c r="H1007" s="66" t="str">
        <f>TEXT(Data[[#This Row],[Buchung]],"MMM")</f>
        <v>Okt</v>
      </c>
      <c r="I1007" s="67">
        <f>YEAR(Data[[#This Row],[Buchung]])</f>
        <v>2017</v>
      </c>
      <c r="J1007" s="2">
        <f>ABS(Data[[#This Row],[Betrag]])</f>
        <v>15</v>
      </c>
      <c r="K1007" s="66" t="str">
        <f>IF(Data[[#This Row],[Betrag]]&lt;0,"A","E")</f>
        <v>A</v>
      </c>
    </row>
    <row r="1008" spans="1:11" x14ac:dyDescent="0.25">
      <c r="A1008" s="1">
        <v>43011</v>
      </c>
      <c r="B1008" s="66" t="s">
        <v>51</v>
      </c>
      <c r="C1008" s="66" t="s">
        <v>52</v>
      </c>
      <c r="D1008" t="s">
        <v>53</v>
      </c>
      <c r="E1008">
        <v>-350</v>
      </c>
      <c r="F1008" s="66" t="s">
        <v>7</v>
      </c>
      <c r="G1008" s="66" t="s">
        <v>11</v>
      </c>
      <c r="H1008" s="66" t="str">
        <f>TEXT(Data[[#This Row],[Buchung]],"MMM")</f>
        <v>Okt</v>
      </c>
      <c r="I1008" s="67">
        <f>YEAR(Data[[#This Row],[Buchung]])</f>
        <v>2017</v>
      </c>
      <c r="J1008" s="2">
        <f>ABS(Data[[#This Row],[Betrag]])</f>
        <v>350</v>
      </c>
      <c r="K1008" s="66" t="str">
        <f>IF(Data[[#This Row],[Betrag]]&lt;0,"A","E")</f>
        <v>A</v>
      </c>
    </row>
    <row r="1009" spans="1:11" x14ac:dyDescent="0.25">
      <c r="A1009" s="1">
        <v>43012</v>
      </c>
      <c r="B1009" s="66" t="s">
        <v>54</v>
      </c>
      <c r="C1009" s="66" t="s">
        <v>55</v>
      </c>
      <c r="D1009" t="s">
        <v>56</v>
      </c>
      <c r="E1009">
        <v>-120</v>
      </c>
      <c r="F1009" s="66" t="s">
        <v>7</v>
      </c>
      <c r="G1009" s="66" t="s">
        <v>57</v>
      </c>
      <c r="H1009" s="66" t="str">
        <f>TEXT(Data[[#This Row],[Buchung]],"MMM")</f>
        <v>Okt</v>
      </c>
      <c r="I1009" s="67">
        <f>YEAR(Data[[#This Row],[Buchung]])</f>
        <v>2017</v>
      </c>
      <c r="J1009" s="2">
        <f>ABS(Data[[#This Row],[Betrag]])</f>
        <v>120</v>
      </c>
      <c r="K1009" s="66" t="str">
        <f>IF(Data[[#This Row],[Betrag]]&lt;0,"A","E")</f>
        <v>A</v>
      </c>
    </row>
    <row r="1010" spans="1:11" x14ac:dyDescent="0.25">
      <c r="A1010" s="1">
        <v>43013</v>
      </c>
      <c r="B1010" s="66" t="s">
        <v>58</v>
      </c>
      <c r="C1010" s="66" t="s">
        <v>59</v>
      </c>
      <c r="D1010" t="s">
        <v>60</v>
      </c>
      <c r="E1010">
        <v>-70</v>
      </c>
      <c r="F1010" s="66" t="s">
        <v>7</v>
      </c>
      <c r="G1010" s="66" t="s">
        <v>10</v>
      </c>
      <c r="H1010" s="66" t="str">
        <f>TEXT(Data[[#This Row],[Buchung]],"MMM")</f>
        <v>Okt</v>
      </c>
      <c r="I1010" s="67">
        <f>YEAR(Data[[#This Row],[Buchung]])</f>
        <v>2017</v>
      </c>
      <c r="J1010" s="2">
        <f>ABS(Data[[#This Row],[Betrag]])</f>
        <v>70</v>
      </c>
      <c r="K1010" s="66" t="str">
        <f>IF(Data[[#This Row],[Betrag]]&lt;0,"A","E")</f>
        <v>A</v>
      </c>
    </row>
    <row r="1011" spans="1:11" x14ac:dyDescent="0.25">
      <c r="A1011" s="1">
        <v>43014</v>
      </c>
      <c r="B1011" s="66" t="s">
        <v>45</v>
      </c>
      <c r="C1011" s="66" t="s">
        <v>46</v>
      </c>
      <c r="D1011" t="s">
        <v>47</v>
      </c>
      <c r="E1011">
        <v>1000</v>
      </c>
      <c r="F1011" s="66" t="s">
        <v>7</v>
      </c>
      <c r="G1011" s="66" t="s">
        <v>9</v>
      </c>
      <c r="H1011" s="66" t="str">
        <f>TEXT(Data[[#This Row],[Buchung]],"MMM")</f>
        <v>Okt</v>
      </c>
      <c r="I1011" s="67">
        <f>YEAR(Data[[#This Row],[Buchung]])</f>
        <v>2017</v>
      </c>
      <c r="J1011" s="2">
        <f>ABS(Data[[#This Row],[Betrag]])</f>
        <v>1000</v>
      </c>
      <c r="K1011" s="66" t="str">
        <f>IF(Data[[#This Row],[Betrag]]&lt;0,"A","E")</f>
        <v>E</v>
      </c>
    </row>
    <row r="1012" spans="1:11" x14ac:dyDescent="0.25">
      <c r="A1012" s="1">
        <v>43015</v>
      </c>
      <c r="B1012" s="66" t="s">
        <v>61</v>
      </c>
      <c r="C1012" s="66" t="s">
        <v>49</v>
      </c>
      <c r="D1012" t="s">
        <v>62</v>
      </c>
      <c r="E1012">
        <v>-10</v>
      </c>
      <c r="F1012" s="66" t="s">
        <v>7</v>
      </c>
      <c r="G1012" s="66" t="s">
        <v>8</v>
      </c>
      <c r="H1012" s="66" t="str">
        <f>TEXT(Data[[#This Row],[Buchung]],"MMM")</f>
        <v>Okt</v>
      </c>
      <c r="I1012" s="67">
        <f>YEAR(Data[[#This Row],[Buchung]])</f>
        <v>2017</v>
      </c>
      <c r="J1012" s="2">
        <f>ABS(Data[[#This Row],[Betrag]])</f>
        <v>10</v>
      </c>
      <c r="K1012" s="66" t="str">
        <f>IF(Data[[#This Row],[Betrag]]&lt;0,"A","E")</f>
        <v>A</v>
      </c>
    </row>
    <row r="1013" spans="1:11" x14ac:dyDescent="0.25">
      <c r="A1013" s="1">
        <v>43016</v>
      </c>
      <c r="B1013" s="66" t="s">
        <v>63</v>
      </c>
      <c r="C1013" s="66" t="s">
        <v>64</v>
      </c>
      <c r="D1013" t="s">
        <v>65</v>
      </c>
      <c r="E1013">
        <v>-60</v>
      </c>
      <c r="F1013" s="66" t="s">
        <v>7</v>
      </c>
      <c r="G1013" s="66" t="s">
        <v>11</v>
      </c>
      <c r="H1013" s="66" t="str">
        <f>TEXT(Data[[#This Row],[Buchung]],"MMM")</f>
        <v>Okt</v>
      </c>
      <c r="I1013" s="67">
        <f>YEAR(Data[[#This Row],[Buchung]])</f>
        <v>2017</v>
      </c>
      <c r="J1013" s="2">
        <f>ABS(Data[[#This Row],[Betrag]])</f>
        <v>60</v>
      </c>
      <c r="K1013" s="66" t="str">
        <f>IF(Data[[#This Row],[Betrag]]&lt;0,"A","E")</f>
        <v>A</v>
      </c>
    </row>
    <row r="1014" spans="1:11" x14ac:dyDescent="0.25">
      <c r="A1014" s="1">
        <v>43017</v>
      </c>
      <c r="B1014" s="66" t="s">
        <v>54</v>
      </c>
      <c r="C1014" s="66" t="s">
        <v>55</v>
      </c>
      <c r="D1014" t="s">
        <v>66</v>
      </c>
      <c r="E1014">
        <v>-80</v>
      </c>
      <c r="F1014" s="66" t="s">
        <v>7</v>
      </c>
      <c r="G1014" s="66" t="s">
        <v>57</v>
      </c>
      <c r="H1014" s="66" t="str">
        <f>TEXT(Data[[#This Row],[Buchung]],"MMM")</f>
        <v>Okt</v>
      </c>
      <c r="I1014" s="67">
        <f>YEAR(Data[[#This Row],[Buchung]])</f>
        <v>2017</v>
      </c>
      <c r="J1014" s="2">
        <f>ABS(Data[[#This Row],[Betrag]])</f>
        <v>80</v>
      </c>
      <c r="K1014" s="66" t="str">
        <f>IF(Data[[#This Row],[Betrag]]&lt;0,"A","E")</f>
        <v>A</v>
      </c>
    </row>
    <row r="1015" spans="1:11" x14ac:dyDescent="0.25">
      <c r="A1015" s="1">
        <v>43018</v>
      </c>
      <c r="B1015" s="66" t="s">
        <v>67</v>
      </c>
      <c r="C1015" s="66" t="s">
        <v>59</v>
      </c>
      <c r="D1015" t="s">
        <v>68</v>
      </c>
      <c r="E1015">
        <v>-30</v>
      </c>
      <c r="F1015" s="66" t="s">
        <v>7</v>
      </c>
      <c r="G1015" s="66" t="s">
        <v>10</v>
      </c>
      <c r="H1015" s="66" t="str">
        <f>TEXT(Data[[#This Row],[Buchung]],"MMM")</f>
        <v>Okt</v>
      </c>
      <c r="I1015" s="67">
        <f>YEAR(Data[[#This Row],[Buchung]])</f>
        <v>2017</v>
      </c>
      <c r="J1015" s="2">
        <f>ABS(Data[[#This Row],[Betrag]])</f>
        <v>30</v>
      </c>
      <c r="K1015" s="66" t="str">
        <f>IF(Data[[#This Row],[Betrag]]&lt;0,"A","E")</f>
        <v>A</v>
      </c>
    </row>
    <row r="1016" spans="1:11" x14ac:dyDescent="0.25">
      <c r="A1016" s="1">
        <v>43019</v>
      </c>
      <c r="B1016" s="66" t="s">
        <v>45</v>
      </c>
      <c r="C1016" s="66" t="s">
        <v>46</v>
      </c>
      <c r="D1016" t="s">
        <v>47</v>
      </c>
      <c r="E1016">
        <v>1000</v>
      </c>
      <c r="F1016" s="66" t="s">
        <v>7</v>
      </c>
      <c r="G1016" s="66" t="s">
        <v>9</v>
      </c>
      <c r="H1016" s="66" t="str">
        <f>TEXT(Data[[#This Row],[Buchung]],"MMM")</f>
        <v>Okt</v>
      </c>
      <c r="I1016" s="67">
        <f>YEAR(Data[[#This Row],[Buchung]])</f>
        <v>2017</v>
      </c>
      <c r="J1016" s="2">
        <f>ABS(Data[[#This Row],[Betrag]])</f>
        <v>1000</v>
      </c>
      <c r="K1016" s="66" t="str">
        <f>IF(Data[[#This Row],[Betrag]]&lt;0,"A","E")</f>
        <v>E</v>
      </c>
    </row>
    <row r="1017" spans="1:11" x14ac:dyDescent="0.25">
      <c r="A1017" s="1">
        <v>43020</v>
      </c>
      <c r="B1017" s="66" t="s">
        <v>48</v>
      </c>
      <c r="C1017" s="66" t="s">
        <v>49</v>
      </c>
      <c r="D1017" t="s">
        <v>50</v>
      </c>
      <c r="E1017">
        <v>-15</v>
      </c>
      <c r="F1017" s="66" t="s">
        <v>7</v>
      </c>
      <c r="G1017" s="66" t="s">
        <v>8</v>
      </c>
      <c r="H1017" s="66" t="str">
        <f>TEXT(Data[[#This Row],[Buchung]],"MMM")</f>
        <v>Okt</v>
      </c>
      <c r="I1017" s="67">
        <f>YEAR(Data[[#This Row],[Buchung]])</f>
        <v>2017</v>
      </c>
      <c r="J1017" s="2">
        <f>ABS(Data[[#This Row],[Betrag]])</f>
        <v>15</v>
      </c>
      <c r="K1017" s="66" t="str">
        <f>IF(Data[[#This Row],[Betrag]]&lt;0,"A","E")</f>
        <v>A</v>
      </c>
    </row>
    <row r="1018" spans="1:11" x14ac:dyDescent="0.25">
      <c r="A1018" s="1">
        <v>43021</v>
      </c>
      <c r="B1018" s="66" t="s">
        <v>51</v>
      </c>
      <c r="C1018" s="66" t="s">
        <v>52</v>
      </c>
      <c r="D1018" t="s">
        <v>53</v>
      </c>
      <c r="E1018">
        <v>-350</v>
      </c>
      <c r="F1018" s="66" t="s">
        <v>7</v>
      </c>
      <c r="G1018" s="66" t="s">
        <v>11</v>
      </c>
      <c r="H1018" s="66" t="str">
        <f>TEXT(Data[[#This Row],[Buchung]],"MMM")</f>
        <v>Okt</v>
      </c>
      <c r="I1018" s="67">
        <f>YEAR(Data[[#This Row],[Buchung]])</f>
        <v>2017</v>
      </c>
      <c r="J1018" s="2">
        <f>ABS(Data[[#This Row],[Betrag]])</f>
        <v>350</v>
      </c>
      <c r="K1018" s="66" t="str">
        <f>IF(Data[[#This Row],[Betrag]]&lt;0,"A","E")</f>
        <v>A</v>
      </c>
    </row>
    <row r="1019" spans="1:11" x14ac:dyDescent="0.25">
      <c r="A1019" s="1">
        <v>43022</v>
      </c>
      <c r="B1019" s="66" t="s">
        <v>54</v>
      </c>
      <c r="C1019" s="66" t="s">
        <v>55</v>
      </c>
      <c r="D1019" t="s">
        <v>56</v>
      </c>
      <c r="E1019">
        <v>-120</v>
      </c>
      <c r="F1019" s="66" t="s">
        <v>7</v>
      </c>
      <c r="G1019" s="66" t="s">
        <v>57</v>
      </c>
      <c r="H1019" s="66" t="str">
        <f>TEXT(Data[[#This Row],[Buchung]],"MMM")</f>
        <v>Okt</v>
      </c>
      <c r="I1019" s="67">
        <f>YEAR(Data[[#This Row],[Buchung]])</f>
        <v>2017</v>
      </c>
      <c r="J1019" s="2">
        <f>ABS(Data[[#This Row],[Betrag]])</f>
        <v>120</v>
      </c>
      <c r="K1019" s="66" t="str">
        <f>IF(Data[[#This Row],[Betrag]]&lt;0,"A","E")</f>
        <v>A</v>
      </c>
    </row>
    <row r="1020" spans="1:11" x14ac:dyDescent="0.25">
      <c r="A1020" s="1">
        <v>43023</v>
      </c>
      <c r="B1020" s="66" t="s">
        <v>58</v>
      </c>
      <c r="C1020" s="66" t="s">
        <v>59</v>
      </c>
      <c r="D1020" t="s">
        <v>60</v>
      </c>
      <c r="E1020">
        <v>-80</v>
      </c>
      <c r="F1020" s="66" t="s">
        <v>7</v>
      </c>
      <c r="G1020" s="66" t="s">
        <v>10</v>
      </c>
      <c r="H1020" s="66" t="str">
        <f>TEXT(Data[[#This Row],[Buchung]],"MMM")</f>
        <v>Okt</v>
      </c>
      <c r="I1020" s="67">
        <f>YEAR(Data[[#This Row],[Buchung]])</f>
        <v>2017</v>
      </c>
      <c r="J1020" s="2">
        <f>ABS(Data[[#This Row],[Betrag]])</f>
        <v>80</v>
      </c>
      <c r="K1020" s="66" t="str">
        <f>IF(Data[[#This Row],[Betrag]]&lt;0,"A","E")</f>
        <v>A</v>
      </c>
    </row>
    <row r="1021" spans="1:11" x14ac:dyDescent="0.25">
      <c r="A1021" s="1">
        <v>43024</v>
      </c>
      <c r="B1021" s="66" t="s">
        <v>45</v>
      </c>
      <c r="C1021" s="66" t="s">
        <v>46</v>
      </c>
      <c r="D1021" t="s">
        <v>47</v>
      </c>
      <c r="E1021">
        <v>1000</v>
      </c>
      <c r="F1021" s="66" t="s">
        <v>7</v>
      </c>
      <c r="G1021" s="66" t="s">
        <v>9</v>
      </c>
      <c r="H1021" s="66" t="str">
        <f>TEXT(Data[[#This Row],[Buchung]],"MMM")</f>
        <v>Okt</v>
      </c>
      <c r="I1021" s="67">
        <f>YEAR(Data[[#This Row],[Buchung]])</f>
        <v>2017</v>
      </c>
      <c r="J1021" s="2">
        <f>ABS(Data[[#This Row],[Betrag]])</f>
        <v>1000</v>
      </c>
      <c r="K1021" s="66" t="str">
        <f>IF(Data[[#This Row],[Betrag]]&lt;0,"A","E")</f>
        <v>E</v>
      </c>
    </row>
    <row r="1022" spans="1:11" x14ac:dyDescent="0.25">
      <c r="A1022" s="1">
        <v>43025</v>
      </c>
      <c r="B1022" s="66" t="s">
        <v>61</v>
      </c>
      <c r="C1022" s="66" t="s">
        <v>49</v>
      </c>
      <c r="D1022" t="s">
        <v>62</v>
      </c>
      <c r="E1022">
        <v>-10</v>
      </c>
      <c r="F1022" s="66" t="s">
        <v>7</v>
      </c>
      <c r="G1022" s="66" t="s">
        <v>8</v>
      </c>
      <c r="H1022" s="66" t="str">
        <f>TEXT(Data[[#This Row],[Buchung]],"MMM")</f>
        <v>Okt</v>
      </c>
      <c r="I1022" s="67">
        <f>YEAR(Data[[#This Row],[Buchung]])</f>
        <v>2017</v>
      </c>
      <c r="J1022" s="2">
        <f>ABS(Data[[#This Row],[Betrag]])</f>
        <v>10</v>
      </c>
      <c r="K1022" s="66" t="str">
        <f>IF(Data[[#This Row],[Betrag]]&lt;0,"A","E")</f>
        <v>A</v>
      </c>
    </row>
    <row r="1023" spans="1:11" x14ac:dyDescent="0.25">
      <c r="A1023" s="1">
        <v>43026</v>
      </c>
      <c r="B1023" s="66" t="s">
        <v>63</v>
      </c>
      <c r="C1023" s="66" t="s">
        <v>64</v>
      </c>
      <c r="D1023" t="s">
        <v>65</v>
      </c>
      <c r="E1023">
        <v>-65</v>
      </c>
      <c r="F1023" s="66" t="s">
        <v>7</v>
      </c>
      <c r="G1023" s="66" t="s">
        <v>11</v>
      </c>
      <c r="H1023" s="66" t="str">
        <f>TEXT(Data[[#This Row],[Buchung]],"MMM")</f>
        <v>Okt</v>
      </c>
      <c r="I1023" s="67">
        <f>YEAR(Data[[#This Row],[Buchung]])</f>
        <v>2017</v>
      </c>
      <c r="J1023" s="2">
        <f>ABS(Data[[#This Row],[Betrag]])</f>
        <v>65</v>
      </c>
      <c r="K1023" s="66" t="str">
        <f>IF(Data[[#This Row],[Betrag]]&lt;0,"A","E")</f>
        <v>A</v>
      </c>
    </row>
    <row r="1024" spans="1:11" x14ac:dyDescent="0.25">
      <c r="A1024" s="1">
        <v>43027</v>
      </c>
      <c r="B1024" s="66" t="s">
        <v>54</v>
      </c>
      <c r="C1024" s="66" t="s">
        <v>55</v>
      </c>
      <c r="D1024" t="s">
        <v>66</v>
      </c>
      <c r="E1024">
        <v>-80</v>
      </c>
      <c r="F1024" s="66" t="s">
        <v>7</v>
      </c>
      <c r="G1024" s="66" t="s">
        <v>57</v>
      </c>
      <c r="H1024" s="66" t="str">
        <f>TEXT(Data[[#This Row],[Buchung]],"MMM")</f>
        <v>Okt</v>
      </c>
      <c r="I1024" s="67">
        <f>YEAR(Data[[#This Row],[Buchung]])</f>
        <v>2017</v>
      </c>
      <c r="J1024" s="2">
        <f>ABS(Data[[#This Row],[Betrag]])</f>
        <v>80</v>
      </c>
      <c r="K1024" s="66" t="str">
        <f>IF(Data[[#This Row],[Betrag]]&lt;0,"A","E")</f>
        <v>A</v>
      </c>
    </row>
    <row r="1025" spans="1:11" x14ac:dyDescent="0.25">
      <c r="A1025" s="1">
        <v>43028</v>
      </c>
      <c r="B1025" s="66" t="s">
        <v>67</v>
      </c>
      <c r="C1025" s="66" t="s">
        <v>59</v>
      </c>
      <c r="D1025" t="s">
        <v>68</v>
      </c>
      <c r="E1025">
        <v>-35</v>
      </c>
      <c r="F1025" s="66" t="s">
        <v>7</v>
      </c>
      <c r="G1025" s="66" t="s">
        <v>10</v>
      </c>
      <c r="H1025" s="66" t="str">
        <f>TEXT(Data[[#This Row],[Buchung]],"MMM")</f>
        <v>Okt</v>
      </c>
      <c r="I1025" s="67">
        <f>YEAR(Data[[#This Row],[Buchung]])</f>
        <v>2017</v>
      </c>
      <c r="J1025" s="2">
        <f>ABS(Data[[#This Row],[Betrag]])</f>
        <v>35</v>
      </c>
      <c r="K1025" s="66" t="str">
        <f>IF(Data[[#This Row],[Betrag]]&lt;0,"A","E")</f>
        <v>A</v>
      </c>
    </row>
    <row r="1026" spans="1:11" x14ac:dyDescent="0.25">
      <c r="A1026" s="1">
        <v>43029</v>
      </c>
      <c r="B1026" s="66" t="s">
        <v>45</v>
      </c>
      <c r="C1026" s="66" t="s">
        <v>46</v>
      </c>
      <c r="D1026" t="s">
        <v>47</v>
      </c>
      <c r="E1026">
        <v>1000</v>
      </c>
      <c r="F1026" s="66" t="s">
        <v>7</v>
      </c>
      <c r="G1026" s="66" t="s">
        <v>9</v>
      </c>
      <c r="H1026" s="66" t="str">
        <f>TEXT(Data[[#This Row],[Buchung]],"MMM")</f>
        <v>Okt</v>
      </c>
      <c r="I1026" s="67">
        <f>YEAR(Data[[#This Row],[Buchung]])</f>
        <v>2017</v>
      </c>
      <c r="J1026" s="2">
        <f>ABS(Data[[#This Row],[Betrag]])</f>
        <v>1000</v>
      </c>
      <c r="K1026" s="66" t="str">
        <f>IF(Data[[#This Row],[Betrag]]&lt;0,"A","E")</f>
        <v>E</v>
      </c>
    </row>
    <row r="1027" spans="1:11" x14ac:dyDescent="0.25">
      <c r="A1027" s="1">
        <v>43030</v>
      </c>
      <c r="B1027" s="66" t="s">
        <v>45</v>
      </c>
      <c r="C1027" s="66" t="s">
        <v>46</v>
      </c>
      <c r="D1027" t="s">
        <v>47</v>
      </c>
      <c r="E1027">
        <v>1000</v>
      </c>
      <c r="F1027" s="66" t="s">
        <v>7</v>
      </c>
      <c r="G1027" s="66" t="s">
        <v>9</v>
      </c>
      <c r="H1027" s="66" t="str">
        <f>TEXT(Data[[#This Row],[Buchung]],"MMM")</f>
        <v>Okt</v>
      </c>
      <c r="I1027" s="67">
        <f>YEAR(Data[[#This Row],[Buchung]])</f>
        <v>2017</v>
      </c>
      <c r="J1027" s="2">
        <f>ABS(Data[[#This Row],[Betrag]])</f>
        <v>1000</v>
      </c>
      <c r="K1027" s="66" t="str">
        <f>IF(Data[[#This Row],[Betrag]]&lt;0,"A","E")</f>
        <v>E</v>
      </c>
    </row>
    <row r="1028" spans="1:11" x14ac:dyDescent="0.25">
      <c r="A1028" s="1">
        <v>43031</v>
      </c>
      <c r="B1028" s="66" t="s">
        <v>48</v>
      </c>
      <c r="C1028" s="66" t="s">
        <v>49</v>
      </c>
      <c r="D1028" t="s">
        <v>50</v>
      </c>
      <c r="E1028">
        <v>-15</v>
      </c>
      <c r="F1028" s="66" t="s">
        <v>7</v>
      </c>
      <c r="G1028" s="66" t="s">
        <v>8</v>
      </c>
      <c r="H1028" s="66" t="str">
        <f>TEXT(Data[[#This Row],[Buchung]],"MMM")</f>
        <v>Okt</v>
      </c>
      <c r="I1028" s="67">
        <f>YEAR(Data[[#This Row],[Buchung]])</f>
        <v>2017</v>
      </c>
      <c r="J1028" s="2">
        <f>ABS(Data[[#This Row],[Betrag]])</f>
        <v>15</v>
      </c>
      <c r="K1028" s="66" t="str">
        <f>IF(Data[[#This Row],[Betrag]]&lt;0,"A","E")</f>
        <v>A</v>
      </c>
    </row>
    <row r="1029" spans="1:11" x14ac:dyDescent="0.25">
      <c r="A1029" s="1">
        <v>43032</v>
      </c>
      <c r="B1029" s="66" t="s">
        <v>51</v>
      </c>
      <c r="C1029" s="66" t="s">
        <v>52</v>
      </c>
      <c r="D1029" t="s">
        <v>53</v>
      </c>
      <c r="E1029">
        <v>-350</v>
      </c>
      <c r="F1029" s="66" t="s">
        <v>7</v>
      </c>
      <c r="G1029" s="66" t="s">
        <v>11</v>
      </c>
      <c r="H1029" s="66" t="str">
        <f>TEXT(Data[[#This Row],[Buchung]],"MMM")</f>
        <v>Okt</v>
      </c>
      <c r="I1029" s="67">
        <f>YEAR(Data[[#This Row],[Buchung]])</f>
        <v>2017</v>
      </c>
      <c r="J1029" s="2">
        <f>ABS(Data[[#This Row],[Betrag]])</f>
        <v>350</v>
      </c>
      <c r="K1029" s="66" t="str">
        <f>IF(Data[[#This Row],[Betrag]]&lt;0,"A","E")</f>
        <v>A</v>
      </c>
    </row>
    <row r="1030" spans="1:11" x14ac:dyDescent="0.25">
      <c r="A1030" s="1">
        <v>43033</v>
      </c>
      <c r="B1030" s="66" t="s">
        <v>54</v>
      </c>
      <c r="C1030" s="66" t="s">
        <v>55</v>
      </c>
      <c r="D1030" t="s">
        <v>56</v>
      </c>
      <c r="E1030">
        <v>-120</v>
      </c>
      <c r="F1030" s="66" t="s">
        <v>7</v>
      </c>
      <c r="G1030" s="66" t="s">
        <v>57</v>
      </c>
      <c r="H1030" s="66" t="str">
        <f>TEXT(Data[[#This Row],[Buchung]],"MMM")</f>
        <v>Okt</v>
      </c>
      <c r="I1030" s="67">
        <f>YEAR(Data[[#This Row],[Buchung]])</f>
        <v>2017</v>
      </c>
      <c r="J1030" s="2">
        <f>ABS(Data[[#This Row],[Betrag]])</f>
        <v>120</v>
      </c>
      <c r="K1030" s="66" t="str">
        <f>IF(Data[[#This Row],[Betrag]]&lt;0,"A","E")</f>
        <v>A</v>
      </c>
    </row>
    <row r="1031" spans="1:11" x14ac:dyDescent="0.25">
      <c r="A1031" s="1">
        <v>43034</v>
      </c>
      <c r="B1031" s="66" t="s">
        <v>58</v>
      </c>
      <c r="C1031" s="66" t="s">
        <v>59</v>
      </c>
      <c r="D1031" t="s">
        <v>60</v>
      </c>
      <c r="E1031">
        <v>-50</v>
      </c>
      <c r="F1031" s="66" t="s">
        <v>7</v>
      </c>
      <c r="G1031" s="66" t="s">
        <v>10</v>
      </c>
      <c r="H1031" s="66" t="str">
        <f>TEXT(Data[[#This Row],[Buchung]],"MMM")</f>
        <v>Okt</v>
      </c>
      <c r="I1031" s="67">
        <f>YEAR(Data[[#This Row],[Buchung]])</f>
        <v>2017</v>
      </c>
      <c r="J1031" s="2">
        <f>ABS(Data[[#This Row],[Betrag]])</f>
        <v>50</v>
      </c>
      <c r="K1031" s="66" t="str">
        <f>IF(Data[[#This Row],[Betrag]]&lt;0,"A","E")</f>
        <v>A</v>
      </c>
    </row>
    <row r="1032" spans="1:11" x14ac:dyDescent="0.25">
      <c r="A1032" s="1">
        <v>43035</v>
      </c>
      <c r="B1032" s="66" t="s">
        <v>45</v>
      </c>
      <c r="C1032" s="66" t="s">
        <v>46</v>
      </c>
      <c r="D1032" t="s">
        <v>47</v>
      </c>
      <c r="E1032">
        <v>1000</v>
      </c>
      <c r="F1032" s="66" t="s">
        <v>7</v>
      </c>
      <c r="G1032" s="66" t="s">
        <v>9</v>
      </c>
      <c r="H1032" s="66" t="str">
        <f>TEXT(Data[[#This Row],[Buchung]],"MMM")</f>
        <v>Okt</v>
      </c>
      <c r="I1032" s="67">
        <f>YEAR(Data[[#This Row],[Buchung]])</f>
        <v>2017</v>
      </c>
      <c r="J1032" s="2">
        <f>ABS(Data[[#This Row],[Betrag]])</f>
        <v>1000</v>
      </c>
      <c r="K1032" s="66" t="str">
        <f>IF(Data[[#This Row],[Betrag]]&lt;0,"A","E")</f>
        <v>E</v>
      </c>
    </row>
    <row r="1033" spans="1:11" x14ac:dyDescent="0.25">
      <c r="A1033" s="1">
        <v>43036</v>
      </c>
      <c r="B1033" s="66" t="s">
        <v>61</v>
      </c>
      <c r="C1033" s="66" t="s">
        <v>49</v>
      </c>
      <c r="D1033" t="s">
        <v>62</v>
      </c>
      <c r="E1033">
        <v>-10</v>
      </c>
      <c r="F1033" s="66" t="s">
        <v>7</v>
      </c>
      <c r="G1033" s="66" t="s">
        <v>8</v>
      </c>
      <c r="H1033" s="66" t="str">
        <f>TEXT(Data[[#This Row],[Buchung]],"MMM")</f>
        <v>Okt</v>
      </c>
      <c r="I1033" s="67">
        <f>YEAR(Data[[#This Row],[Buchung]])</f>
        <v>2017</v>
      </c>
      <c r="J1033" s="2">
        <f>ABS(Data[[#This Row],[Betrag]])</f>
        <v>10</v>
      </c>
      <c r="K1033" s="66" t="str">
        <f>IF(Data[[#This Row],[Betrag]]&lt;0,"A","E")</f>
        <v>A</v>
      </c>
    </row>
    <row r="1034" spans="1:11" x14ac:dyDescent="0.25">
      <c r="A1034" s="1">
        <v>43037</v>
      </c>
      <c r="B1034" s="66" t="s">
        <v>63</v>
      </c>
      <c r="C1034" s="66" t="s">
        <v>64</v>
      </c>
      <c r="D1034" t="s">
        <v>65</v>
      </c>
      <c r="E1034">
        <v>-60</v>
      </c>
      <c r="F1034" s="66" t="s">
        <v>7</v>
      </c>
      <c r="G1034" s="66" t="s">
        <v>11</v>
      </c>
      <c r="H1034" s="66" t="str">
        <f>TEXT(Data[[#This Row],[Buchung]],"MMM")</f>
        <v>Okt</v>
      </c>
      <c r="I1034" s="67">
        <f>YEAR(Data[[#This Row],[Buchung]])</f>
        <v>2017</v>
      </c>
      <c r="J1034" s="2">
        <f>ABS(Data[[#This Row],[Betrag]])</f>
        <v>60</v>
      </c>
      <c r="K1034" s="66" t="str">
        <f>IF(Data[[#This Row],[Betrag]]&lt;0,"A","E")</f>
        <v>A</v>
      </c>
    </row>
    <row r="1035" spans="1:11" x14ac:dyDescent="0.25">
      <c r="A1035" s="1">
        <v>43038</v>
      </c>
      <c r="B1035" s="66" t="s">
        <v>54</v>
      </c>
      <c r="C1035" s="66" t="s">
        <v>55</v>
      </c>
      <c r="D1035" t="s">
        <v>66</v>
      </c>
      <c r="E1035">
        <v>-80</v>
      </c>
      <c r="F1035" s="66" t="s">
        <v>7</v>
      </c>
      <c r="G1035" s="66" t="s">
        <v>57</v>
      </c>
      <c r="H1035" s="66" t="str">
        <f>TEXT(Data[[#This Row],[Buchung]],"MMM")</f>
        <v>Okt</v>
      </c>
      <c r="I1035" s="67">
        <f>YEAR(Data[[#This Row],[Buchung]])</f>
        <v>2017</v>
      </c>
      <c r="J1035" s="2">
        <f>ABS(Data[[#This Row],[Betrag]])</f>
        <v>80</v>
      </c>
      <c r="K1035" s="66" t="str">
        <f>IF(Data[[#This Row],[Betrag]]&lt;0,"A","E")</f>
        <v>A</v>
      </c>
    </row>
    <row r="1036" spans="1:11" x14ac:dyDescent="0.25">
      <c r="A1036" s="1">
        <v>43039</v>
      </c>
      <c r="B1036" s="66" t="s">
        <v>67</v>
      </c>
      <c r="C1036" s="66" t="s">
        <v>59</v>
      </c>
      <c r="D1036" t="s">
        <v>68</v>
      </c>
      <c r="E1036">
        <v>-20</v>
      </c>
      <c r="F1036" s="66" t="s">
        <v>7</v>
      </c>
      <c r="G1036" s="66" t="s">
        <v>10</v>
      </c>
      <c r="H1036" s="66" t="str">
        <f>TEXT(Data[[#This Row],[Buchung]],"MMM")</f>
        <v>Okt</v>
      </c>
      <c r="I1036" s="67">
        <f>YEAR(Data[[#This Row],[Buchung]])</f>
        <v>2017</v>
      </c>
      <c r="J1036" s="2">
        <f>ABS(Data[[#This Row],[Betrag]])</f>
        <v>20</v>
      </c>
      <c r="K1036" s="66" t="str">
        <f>IF(Data[[#This Row],[Betrag]]&lt;0,"A","E")</f>
        <v>A</v>
      </c>
    </row>
    <row r="1037" spans="1:11" x14ac:dyDescent="0.25">
      <c r="A1037" s="1">
        <v>43040</v>
      </c>
      <c r="B1037" s="66" t="s">
        <v>45</v>
      </c>
      <c r="C1037" s="66" t="s">
        <v>46</v>
      </c>
      <c r="D1037" t="s">
        <v>47</v>
      </c>
      <c r="E1037">
        <v>1000</v>
      </c>
      <c r="F1037" s="66" t="s">
        <v>7</v>
      </c>
      <c r="G1037" s="66" t="s">
        <v>9</v>
      </c>
      <c r="H1037" s="66" t="str">
        <f>TEXT(Data[[#This Row],[Buchung]],"MMM")</f>
        <v>Nov</v>
      </c>
      <c r="I1037" s="67">
        <f>YEAR(Data[[#This Row],[Buchung]])</f>
        <v>2017</v>
      </c>
      <c r="J1037" s="2">
        <f>ABS(Data[[#This Row],[Betrag]])</f>
        <v>1000</v>
      </c>
      <c r="K1037" s="66" t="str">
        <f>IF(Data[[#This Row],[Betrag]]&lt;0,"A","E")</f>
        <v>E</v>
      </c>
    </row>
    <row r="1038" spans="1:11" x14ac:dyDescent="0.25">
      <c r="A1038" s="1">
        <v>43041</v>
      </c>
      <c r="B1038" s="66" t="s">
        <v>48</v>
      </c>
      <c r="C1038" s="66" t="s">
        <v>49</v>
      </c>
      <c r="D1038" t="s">
        <v>50</v>
      </c>
      <c r="E1038">
        <v>-15</v>
      </c>
      <c r="F1038" s="66" t="s">
        <v>7</v>
      </c>
      <c r="G1038" s="66" t="s">
        <v>8</v>
      </c>
      <c r="H1038" s="66" t="str">
        <f>TEXT(Data[[#This Row],[Buchung]],"MMM")</f>
        <v>Nov</v>
      </c>
      <c r="I1038" s="67">
        <f>YEAR(Data[[#This Row],[Buchung]])</f>
        <v>2017</v>
      </c>
      <c r="J1038" s="2">
        <f>ABS(Data[[#This Row],[Betrag]])</f>
        <v>15</v>
      </c>
      <c r="K1038" s="66" t="str">
        <f>IF(Data[[#This Row],[Betrag]]&lt;0,"A","E")</f>
        <v>A</v>
      </c>
    </row>
    <row r="1039" spans="1:11" x14ac:dyDescent="0.25">
      <c r="A1039" s="1">
        <v>43042</v>
      </c>
      <c r="B1039" s="66" t="s">
        <v>51</v>
      </c>
      <c r="C1039" s="66" t="s">
        <v>52</v>
      </c>
      <c r="D1039" t="s">
        <v>53</v>
      </c>
      <c r="E1039">
        <v>-350</v>
      </c>
      <c r="F1039" s="66" t="s">
        <v>7</v>
      </c>
      <c r="G1039" s="66" t="s">
        <v>11</v>
      </c>
      <c r="H1039" s="66" t="str">
        <f>TEXT(Data[[#This Row],[Buchung]],"MMM")</f>
        <v>Nov</v>
      </c>
      <c r="I1039" s="67">
        <f>YEAR(Data[[#This Row],[Buchung]])</f>
        <v>2017</v>
      </c>
      <c r="J1039" s="2">
        <f>ABS(Data[[#This Row],[Betrag]])</f>
        <v>350</v>
      </c>
      <c r="K1039" s="66" t="str">
        <f>IF(Data[[#This Row],[Betrag]]&lt;0,"A","E")</f>
        <v>A</v>
      </c>
    </row>
    <row r="1040" spans="1:11" x14ac:dyDescent="0.25">
      <c r="A1040" s="1">
        <v>43043</v>
      </c>
      <c r="B1040" s="66" t="s">
        <v>54</v>
      </c>
      <c r="C1040" s="66" t="s">
        <v>55</v>
      </c>
      <c r="D1040" t="s">
        <v>56</v>
      </c>
      <c r="E1040">
        <v>-120</v>
      </c>
      <c r="F1040" s="66" t="s">
        <v>7</v>
      </c>
      <c r="G1040" s="66" t="s">
        <v>57</v>
      </c>
      <c r="H1040" s="66" t="str">
        <f>TEXT(Data[[#This Row],[Buchung]],"MMM")</f>
        <v>Nov</v>
      </c>
      <c r="I1040" s="67">
        <f>YEAR(Data[[#This Row],[Buchung]])</f>
        <v>2017</v>
      </c>
      <c r="J1040" s="2">
        <f>ABS(Data[[#This Row],[Betrag]])</f>
        <v>120</v>
      </c>
      <c r="K1040" s="66" t="str">
        <f>IF(Data[[#This Row],[Betrag]]&lt;0,"A","E")</f>
        <v>A</v>
      </c>
    </row>
    <row r="1041" spans="1:11" x14ac:dyDescent="0.25">
      <c r="A1041" s="1">
        <v>43044</v>
      </c>
      <c r="B1041" s="66" t="s">
        <v>58</v>
      </c>
      <c r="C1041" s="66" t="s">
        <v>59</v>
      </c>
      <c r="D1041" t="s">
        <v>60</v>
      </c>
      <c r="E1041">
        <v>-60</v>
      </c>
      <c r="F1041" s="66" t="s">
        <v>7</v>
      </c>
      <c r="G1041" s="66" t="s">
        <v>10</v>
      </c>
      <c r="H1041" s="66" t="str">
        <f>TEXT(Data[[#This Row],[Buchung]],"MMM")</f>
        <v>Nov</v>
      </c>
      <c r="I1041" s="67">
        <f>YEAR(Data[[#This Row],[Buchung]])</f>
        <v>2017</v>
      </c>
      <c r="J1041" s="2">
        <f>ABS(Data[[#This Row],[Betrag]])</f>
        <v>60</v>
      </c>
      <c r="K1041" s="66" t="str">
        <f>IF(Data[[#This Row],[Betrag]]&lt;0,"A","E")</f>
        <v>A</v>
      </c>
    </row>
    <row r="1042" spans="1:11" x14ac:dyDescent="0.25">
      <c r="A1042" s="1">
        <v>43045</v>
      </c>
      <c r="B1042" s="66" t="s">
        <v>45</v>
      </c>
      <c r="C1042" s="66" t="s">
        <v>46</v>
      </c>
      <c r="D1042" t="s">
        <v>47</v>
      </c>
      <c r="E1042">
        <v>1000</v>
      </c>
      <c r="F1042" s="66" t="s">
        <v>7</v>
      </c>
      <c r="G1042" s="66" t="s">
        <v>9</v>
      </c>
      <c r="H1042" s="66" t="str">
        <f>TEXT(Data[[#This Row],[Buchung]],"MMM")</f>
        <v>Nov</v>
      </c>
      <c r="I1042" s="67">
        <f>YEAR(Data[[#This Row],[Buchung]])</f>
        <v>2017</v>
      </c>
      <c r="J1042" s="2">
        <f>ABS(Data[[#This Row],[Betrag]])</f>
        <v>1000</v>
      </c>
      <c r="K1042" s="66" t="str">
        <f>IF(Data[[#This Row],[Betrag]]&lt;0,"A","E")</f>
        <v>E</v>
      </c>
    </row>
    <row r="1043" spans="1:11" x14ac:dyDescent="0.25">
      <c r="A1043" s="1">
        <v>43046</v>
      </c>
      <c r="B1043" s="66" t="s">
        <v>61</v>
      </c>
      <c r="C1043" s="66" t="s">
        <v>49</v>
      </c>
      <c r="D1043" t="s">
        <v>62</v>
      </c>
      <c r="E1043">
        <v>-10</v>
      </c>
      <c r="F1043" s="66" t="s">
        <v>7</v>
      </c>
      <c r="G1043" s="66" t="s">
        <v>8</v>
      </c>
      <c r="H1043" s="66" t="str">
        <f>TEXT(Data[[#This Row],[Buchung]],"MMM")</f>
        <v>Nov</v>
      </c>
      <c r="I1043" s="67">
        <f>YEAR(Data[[#This Row],[Buchung]])</f>
        <v>2017</v>
      </c>
      <c r="J1043" s="2">
        <f>ABS(Data[[#This Row],[Betrag]])</f>
        <v>10</v>
      </c>
      <c r="K1043" s="66" t="str">
        <f>IF(Data[[#This Row],[Betrag]]&lt;0,"A","E")</f>
        <v>A</v>
      </c>
    </row>
    <row r="1044" spans="1:11" x14ac:dyDescent="0.25">
      <c r="A1044" s="1">
        <v>43047</v>
      </c>
      <c r="B1044" s="66" t="s">
        <v>63</v>
      </c>
      <c r="C1044" s="66" t="s">
        <v>64</v>
      </c>
      <c r="D1044" t="s">
        <v>65</v>
      </c>
      <c r="E1044">
        <v>-70</v>
      </c>
      <c r="F1044" s="66" t="s">
        <v>7</v>
      </c>
      <c r="G1044" s="66" t="s">
        <v>11</v>
      </c>
      <c r="H1044" s="66" t="str">
        <f>TEXT(Data[[#This Row],[Buchung]],"MMM")</f>
        <v>Nov</v>
      </c>
      <c r="I1044" s="67">
        <f>YEAR(Data[[#This Row],[Buchung]])</f>
        <v>2017</v>
      </c>
      <c r="J1044" s="2">
        <f>ABS(Data[[#This Row],[Betrag]])</f>
        <v>70</v>
      </c>
      <c r="K1044" s="66" t="str">
        <f>IF(Data[[#This Row],[Betrag]]&lt;0,"A","E")</f>
        <v>A</v>
      </c>
    </row>
    <row r="1045" spans="1:11" x14ac:dyDescent="0.25">
      <c r="A1045" s="1">
        <v>43048</v>
      </c>
      <c r="B1045" s="66" t="s">
        <v>54</v>
      </c>
      <c r="C1045" s="66" t="s">
        <v>55</v>
      </c>
      <c r="D1045" t="s">
        <v>66</v>
      </c>
      <c r="E1045">
        <v>-80</v>
      </c>
      <c r="F1045" s="66" t="s">
        <v>7</v>
      </c>
      <c r="G1045" s="66" t="s">
        <v>57</v>
      </c>
      <c r="H1045" s="66" t="str">
        <f>TEXT(Data[[#This Row],[Buchung]],"MMM")</f>
        <v>Nov</v>
      </c>
      <c r="I1045" s="67">
        <f>YEAR(Data[[#This Row],[Buchung]])</f>
        <v>2017</v>
      </c>
      <c r="J1045" s="2">
        <f>ABS(Data[[#This Row],[Betrag]])</f>
        <v>80</v>
      </c>
      <c r="K1045" s="66" t="str">
        <f>IF(Data[[#This Row],[Betrag]]&lt;0,"A","E")</f>
        <v>A</v>
      </c>
    </row>
    <row r="1046" spans="1:11" x14ac:dyDescent="0.25">
      <c r="A1046" s="1">
        <v>43049</v>
      </c>
      <c r="B1046" s="66" t="s">
        <v>67</v>
      </c>
      <c r="C1046" s="66" t="s">
        <v>59</v>
      </c>
      <c r="D1046" t="s">
        <v>68</v>
      </c>
      <c r="E1046">
        <v>-25</v>
      </c>
      <c r="F1046" s="66" t="s">
        <v>7</v>
      </c>
      <c r="G1046" s="66" t="s">
        <v>10</v>
      </c>
      <c r="H1046" s="66" t="str">
        <f>TEXT(Data[[#This Row],[Buchung]],"MMM")</f>
        <v>Nov</v>
      </c>
      <c r="I1046" s="67">
        <f>YEAR(Data[[#This Row],[Buchung]])</f>
        <v>2017</v>
      </c>
      <c r="J1046" s="2">
        <f>ABS(Data[[#This Row],[Betrag]])</f>
        <v>25</v>
      </c>
      <c r="K1046" s="66" t="str">
        <f>IF(Data[[#This Row],[Betrag]]&lt;0,"A","E")</f>
        <v>A</v>
      </c>
    </row>
    <row r="1047" spans="1:11" x14ac:dyDescent="0.25">
      <c r="A1047" s="1">
        <v>43050</v>
      </c>
      <c r="B1047" s="66" t="s">
        <v>45</v>
      </c>
      <c r="C1047" s="66" t="s">
        <v>46</v>
      </c>
      <c r="D1047" t="s">
        <v>47</v>
      </c>
      <c r="E1047">
        <v>1000</v>
      </c>
      <c r="F1047" s="66" t="s">
        <v>7</v>
      </c>
      <c r="G1047" s="66" t="s">
        <v>9</v>
      </c>
      <c r="H1047" s="66" t="str">
        <f>TEXT(Data[[#This Row],[Buchung]],"MMM")</f>
        <v>Nov</v>
      </c>
      <c r="I1047" s="67">
        <f>YEAR(Data[[#This Row],[Buchung]])</f>
        <v>2017</v>
      </c>
      <c r="J1047" s="2">
        <f>ABS(Data[[#This Row],[Betrag]])</f>
        <v>1000</v>
      </c>
      <c r="K1047" s="66" t="str">
        <f>IF(Data[[#This Row],[Betrag]]&lt;0,"A","E")</f>
        <v>E</v>
      </c>
    </row>
    <row r="1048" spans="1:11" x14ac:dyDescent="0.25">
      <c r="A1048" s="1">
        <v>43051</v>
      </c>
      <c r="B1048" s="66" t="s">
        <v>48</v>
      </c>
      <c r="C1048" s="66" t="s">
        <v>49</v>
      </c>
      <c r="D1048" t="s">
        <v>50</v>
      </c>
      <c r="E1048">
        <v>-15</v>
      </c>
      <c r="F1048" s="66" t="s">
        <v>7</v>
      </c>
      <c r="G1048" s="66" t="s">
        <v>8</v>
      </c>
      <c r="H1048" s="66" t="str">
        <f>TEXT(Data[[#This Row],[Buchung]],"MMM")</f>
        <v>Nov</v>
      </c>
      <c r="I1048" s="67">
        <f>YEAR(Data[[#This Row],[Buchung]])</f>
        <v>2017</v>
      </c>
      <c r="J1048" s="2">
        <f>ABS(Data[[#This Row],[Betrag]])</f>
        <v>15</v>
      </c>
      <c r="K1048" s="66" t="str">
        <f>IF(Data[[#This Row],[Betrag]]&lt;0,"A","E")</f>
        <v>A</v>
      </c>
    </row>
    <row r="1049" spans="1:11" x14ac:dyDescent="0.25">
      <c r="A1049" s="1">
        <v>43052</v>
      </c>
      <c r="B1049" s="66" t="s">
        <v>51</v>
      </c>
      <c r="C1049" s="66" t="s">
        <v>52</v>
      </c>
      <c r="D1049" t="s">
        <v>53</v>
      </c>
      <c r="E1049">
        <v>-350</v>
      </c>
      <c r="F1049" s="66" t="s">
        <v>7</v>
      </c>
      <c r="G1049" s="66" t="s">
        <v>11</v>
      </c>
      <c r="H1049" s="66" t="str">
        <f>TEXT(Data[[#This Row],[Buchung]],"MMM")</f>
        <v>Nov</v>
      </c>
      <c r="I1049" s="67">
        <f>YEAR(Data[[#This Row],[Buchung]])</f>
        <v>2017</v>
      </c>
      <c r="J1049" s="2">
        <f>ABS(Data[[#This Row],[Betrag]])</f>
        <v>350</v>
      </c>
      <c r="K1049" s="66" t="str">
        <f>IF(Data[[#This Row],[Betrag]]&lt;0,"A","E")</f>
        <v>A</v>
      </c>
    </row>
    <row r="1050" spans="1:11" x14ac:dyDescent="0.25">
      <c r="A1050" s="1">
        <v>43053</v>
      </c>
      <c r="B1050" s="66" t="s">
        <v>54</v>
      </c>
      <c r="C1050" s="66" t="s">
        <v>55</v>
      </c>
      <c r="D1050" t="s">
        <v>56</v>
      </c>
      <c r="E1050">
        <v>-120</v>
      </c>
      <c r="F1050" s="66" t="s">
        <v>7</v>
      </c>
      <c r="G1050" s="66" t="s">
        <v>57</v>
      </c>
      <c r="H1050" s="66" t="str">
        <f>TEXT(Data[[#This Row],[Buchung]],"MMM")</f>
        <v>Nov</v>
      </c>
      <c r="I1050" s="67">
        <f>YEAR(Data[[#This Row],[Buchung]])</f>
        <v>2017</v>
      </c>
      <c r="J1050" s="2">
        <f>ABS(Data[[#This Row],[Betrag]])</f>
        <v>120</v>
      </c>
      <c r="K1050" s="66" t="str">
        <f>IF(Data[[#This Row],[Betrag]]&lt;0,"A","E")</f>
        <v>A</v>
      </c>
    </row>
    <row r="1051" spans="1:11" x14ac:dyDescent="0.25">
      <c r="A1051" s="1">
        <v>43054</v>
      </c>
      <c r="B1051" s="66" t="s">
        <v>58</v>
      </c>
      <c r="C1051" s="66" t="s">
        <v>59</v>
      </c>
      <c r="D1051" t="s">
        <v>60</v>
      </c>
      <c r="E1051">
        <v>-70</v>
      </c>
      <c r="F1051" s="66" t="s">
        <v>7</v>
      </c>
      <c r="G1051" s="66" t="s">
        <v>10</v>
      </c>
      <c r="H1051" s="66" t="str">
        <f>TEXT(Data[[#This Row],[Buchung]],"MMM")</f>
        <v>Nov</v>
      </c>
      <c r="I1051" s="67">
        <f>YEAR(Data[[#This Row],[Buchung]])</f>
        <v>2017</v>
      </c>
      <c r="J1051" s="2">
        <f>ABS(Data[[#This Row],[Betrag]])</f>
        <v>70</v>
      </c>
      <c r="K1051" s="66" t="str">
        <f>IF(Data[[#This Row],[Betrag]]&lt;0,"A","E")</f>
        <v>A</v>
      </c>
    </row>
    <row r="1052" spans="1:11" x14ac:dyDescent="0.25">
      <c r="A1052" s="1">
        <v>43055</v>
      </c>
      <c r="B1052" s="66" t="s">
        <v>45</v>
      </c>
      <c r="C1052" s="66" t="s">
        <v>46</v>
      </c>
      <c r="D1052" t="s">
        <v>47</v>
      </c>
      <c r="E1052">
        <v>1000</v>
      </c>
      <c r="F1052" s="66" t="s">
        <v>7</v>
      </c>
      <c r="G1052" s="66" t="s">
        <v>9</v>
      </c>
      <c r="H1052" s="66" t="str">
        <f>TEXT(Data[[#This Row],[Buchung]],"MMM")</f>
        <v>Nov</v>
      </c>
      <c r="I1052" s="67">
        <f>YEAR(Data[[#This Row],[Buchung]])</f>
        <v>2017</v>
      </c>
      <c r="J1052" s="2">
        <f>ABS(Data[[#This Row],[Betrag]])</f>
        <v>1000</v>
      </c>
      <c r="K1052" s="66" t="str">
        <f>IF(Data[[#This Row],[Betrag]]&lt;0,"A","E")</f>
        <v>E</v>
      </c>
    </row>
    <row r="1053" spans="1:11" x14ac:dyDescent="0.25">
      <c r="A1053" s="1">
        <v>43056</v>
      </c>
      <c r="B1053" s="66" t="s">
        <v>61</v>
      </c>
      <c r="C1053" s="66" t="s">
        <v>49</v>
      </c>
      <c r="D1053" t="s">
        <v>62</v>
      </c>
      <c r="E1053">
        <v>-10</v>
      </c>
      <c r="F1053" s="66" t="s">
        <v>7</v>
      </c>
      <c r="G1053" s="66" t="s">
        <v>8</v>
      </c>
      <c r="H1053" s="66" t="str">
        <f>TEXT(Data[[#This Row],[Buchung]],"MMM")</f>
        <v>Nov</v>
      </c>
      <c r="I1053" s="67">
        <f>YEAR(Data[[#This Row],[Buchung]])</f>
        <v>2017</v>
      </c>
      <c r="J1053" s="2">
        <f>ABS(Data[[#This Row],[Betrag]])</f>
        <v>10</v>
      </c>
      <c r="K1053" s="66" t="str">
        <f>IF(Data[[#This Row],[Betrag]]&lt;0,"A","E")</f>
        <v>A</v>
      </c>
    </row>
    <row r="1054" spans="1:11" x14ac:dyDescent="0.25">
      <c r="A1054" s="1">
        <v>43057</v>
      </c>
      <c r="B1054" s="66" t="s">
        <v>63</v>
      </c>
      <c r="C1054" s="66" t="s">
        <v>64</v>
      </c>
      <c r="D1054" t="s">
        <v>65</v>
      </c>
      <c r="E1054">
        <v>-60</v>
      </c>
      <c r="F1054" s="66" t="s">
        <v>7</v>
      </c>
      <c r="G1054" s="66" t="s">
        <v>11</v>
      </c>
      <c r="H1054" s="66" t="str">
        <f>TEXT(Data[[#This Row],[Buchung]],"MMM")</f>
        <v>Nov</v>
      </c>
      <c r="I1054" s="67">
        <f>YEAR(Data[[#This Row],[Buchung]])</f>
        <v>2017</v>
      </c>
      <c r="J1054" s="2">
        <f>ABS(Data[[#This Row],[Betrag]])</f>
        <v>60</v>
      </c>
      <c r="K1054" s="66" t="str">
        <f>IF(Data[[#This Row],[Betrag]]&lt;0,"A","E")</f>
        <v>A</v>
      </c>
    </row>
    <row r="1055" spans="1:11" x14ac:dyDescent="0.25">
      <c r="A1055" s="1">
        <v>43058</v>
      </c>
      <c r="B1055" s="66" t="s">
        <v>54</v>
      </c>
      <c r="C1055" s="66" t="s">
        <v>55</v>
      </c>
      <c r="D1055" t="s">
        <v>66</v>
      </c>
      <c r="E1055">
        <v>-80</v>
      </c>
      <c r="F1055" s="66" t="s">
        <v>7</v>
      </c>
      <c r="G1055" s="66" t="s">
        <v>57</v>
      </c>
      <c r="H1055" s="66" t="str">
        <f>TEXT(Data[[#This Row],[Buchung]],"MMM")</f>
        <v>Nov</v>
      </c>
      <c r="I1055" s="67">
        <f>YEAR(Data[[#This Row],[Buchung]])</f>
        <v>2017</v>
      </c>
      <c r="J1055" s="2">
        <f>ABS(Data[[#This Row],[Betrag]])</f>
        <v>80</v>
      </c>
      <c r="K1055" s="66" t="str">
        <f>IF(Data[[#This Row],[Betrag]]&lt;0,"A","E")</f>
        <v>A</v>
      </c>
    </row>
    <row r="1056" spans="1:11" x14ac:dyDescent="0.25">
      <c r="A1056" s="1">
        <v>43059</v>
      </c>
      <c r="B1056" s="66" t="s">
        <v>67</v>
      </c>
      <c r="C1056" s="66" t="s">
        <v>59</v>
      </c>
      <c r="D1056" t="s">
        <v>68</v>
      </c>
      <c r="E1056">
        <v>-30</v>
      </c>
      <c r="F1056" s="66" t="s">
        <v>7</v>
      </c>
      <c r="G1056" s="66" t="s">
        <v>10</v>
      </c>
      <c r="H1056" s="66" t="str">
        <f>TEXT(Data[[#This Row],[Buchung]],"MMM")</f>
        <v>Nov</v>
      </c>
      <c r="I1056" s="67">
        <f>YEAR(Data[[#This Row],[Buchung]])</f>
        <v>2017</v>
      </c>
      <c r="J1056" s="2">
        <f>ABS(Data[[#This Row],[Betrag]])</f>
        <v>30</v>
      </c>
      <c r="K1056" s="66" t="str">
        <f>IF(Data[[#This Row],[Betrag]]&lt;0,"A","E")</f>
        <v>A</v>
      </c>
    </row>
    <row r="1057" spans="1:11" x14ac:dyDescent="0.25">
      <c r="A1057" s="1">
        <v>43060</v>
      </c>
      <c r="B1057" s="66" t="s">
        <v>45</v>
      </c>
      <c r="C1057" s="66" t="s">
        <v>46</v>
      </c>
      <c r="D1057" t="s">
        <v>47</v>
      </c>
      <c r="E1057">
        <v>1000</v>
      </c>
      <c r="F1057" s="66" t="s">
        <v>7</v>
      </c>
      <c r="G1057" s="66" t="s">
        <v>9</v>
      </c>
      <c r="H1057" s="66" t="str">
        <f>TEXT(Data[[#This Row],[Buchung]],"MMM")</f>
        <v>Nov</v>
      </c>
      <c r="I1057" s="67">
        <f>YEAR(Data[[#This Row],[Buchung]])</f>
        <v>2017</v>
      </c>
      <c r="J1057" s="2">
        <f>ABS(Data[[#This Row],[Betrag]])</f>
        <v>1000</v>
      </c>
      <c r="K1057" s="66" t="str">
        <f>IF(Data[[#This Row],[Betrag]]&lt;0,"A","E")</f>
        <v>E</v>
      </c>
    </row>
    <row r="1058" spans="1:11" x14ac:dyDescent="0.25">
      <c r="A1058" s="1">
        <v>43061</v>
      </c>
      <c r="B1058" s="66" t="s">
        <v>48</v>
      </c>
      <c r="C1058" s="66" t="s">
        <v>49</v>
      </c>
      <c r="D1058" t="s">
        <v>50</v>
      </c>
      <c r="E1058">
        <v>-15</v>
      </c>
      <c r="F1058" s="66" t="s">
        <v>7</v>
      </c>
      <c r="G1058" s="66" t="s">
        <v>8</v>
      </c>
      <c r="H1058" s="66" t="str">
        <f>TEXT(Data[[#This Row],[Buchung]],"MMM")</f>
        <v>Nov</v>
      </c>
      <c r="I1058" s="67">
        <f>YEAR(Data[[#This Row],[Buchung]])</f>
        <v>2017</v>
      </c>
      <c r="J1058" s="2">
        <f>ABS(Data[[#This Row],[Betrag]])</f>
        <v>15</v>
      </c>
      <c r="K1058" s="66" t="str">
        <f>IF(Data[[#This Row],[Betrag]]&lt;0,"A","E")</f>
        <v>A</v>
      </c>
    </row>
    <row r="1059" spans="1:11" x14ac:dyDescent="0.25">
      <c r="A1059" s="1">
        <v>43062</v>
      </c>
      <c r="B1059" s="66" t="s">
        <v>51</v>
      </c>
      <c r="C1059" s="66" t="s">
        <v>52</v>
      </c>
      <c r="D1059" t="s">
        <v>53</v>
      </c>
      <c r="E1059">
        <v>-350</v>
      </c>
      <c r="F1059" s="66" t="s">
        <v>7</v>
      </c>
      <c r="G1059" s="66" t="s">
        <v>11</v>
      </c>
      <c r="H1059" s="66" t="str">
        <f>TEXT(Data[[#This Row],[Buchung]],"MMM")</f>
        <v>Nov</v>
      </c>
      <c r="I1059" s="67">
        <f>YEAR(Data[[#This Row],[Buchung]])</f>
        <v>2017</v>
      </c>
      <c r="J1059" s="2">
        <f>ABS(Data[[#This Row],[Betrag]])</f>
        <v>350</v>
      </c>
      <c r="K1059" s="66" t="str">
        <f>IF(Data[[#This Row],[Betrag]]&lt;0,"A","E")</f>
        <v>A</v>
      </c>
    </row>
    <row r="1060" spans="1:11" x14ac:dyDescent="0.25">
      <c r="A1060" s="1">
        <v>43063</v>
      </c>
      <c r="B1060" s="66" t="s">
        <v>54</v>
      </c>
      <c r="C1060" s="66" t="s">
        <v>55</v>
      </c>
      <c r="D1060" t="s">
        <v>56</v>
      </c>
      <c r="E1060">
        <v>-120</v>
      </c>
      <c r="F1060" s="66" t="s">
        <v>7</v>
      </c>
      <c r="G1060" s="66" t="s">
        <v>57</v>
      </c>
      <c r="H1060" s="66" t="str">
        <f>TEXT(Data[[#This Row],[Buchung]],"MMM")</f>
        <v>Nov</v>
      </c>
      <c r="I1060" s="67">
        <f>YEAR(Data[[#This Row],[Buchung]])</f>
        <v>2017</v>
      </c>
      <c r="J1060" s="2">
        <f>ABS(Data[[#This Row],[Betrag]])</f>
        <v>120</v>
      </c>
      <c r="K1060" s="66" t="str">
        <f>IF(Data[[#This Row],[Betrag]]&lt;0,"A","E")</f>
        <v>A</v>
      </c>
    </row>
    <row r="1061" spans="1:11" x14ac:dyDescent="0.25">
      <c r="A1061" s="1">
        <v>43064</v>
      </c>
      <c r="B1061" s="66" t="s">
        <v>58</v>
      </c>
      <c r="C1061" s="66" t="s">
        <v>59</v>
      </c>
      <c r="D1061" t="s">
        <v>60</v>
      </c>
      <c r="E1061">
        <v>-80</v>
      </c>
      <c r="F1061" s="66" t="s">
        <v>7</v>
      </c>
      <c r="G1061" s="66" t="s">
        <v>10</v>
      </c>
      <c r="H1061" s="66" t="str">
        <f>TEXT(Data[[#This Row],[Buchung]],"MMM")</f>
        <v>Nov</v>
      </c>
      <c r="I1061" s="67">
        <f>YEAR(Data[[#This Row],[Buchung]])</f>
        <v>2017</v>
      </c>
      <c r="J1061" s="2">
        <f>ABS(Data[[#This Row],[Betrag]])</f>
        <v>80</v>
      </c>
      <c r="K1061" s="66" t="str">
        <f>IF(Data[[#This Row],[Betrag]]&lt;0,"A","E")</f>
        <v>A</v>
      </c>
    </row>
    <row r="1062" spans="1:11" x14ac:dyDescent="0.25">
      <c r="A1062" s="1">
        <v>43065</v>
      </c>
      <c r="B1062" s="66" t="s">
        <v>45</v>
      </c>
      <c r="C1062" s="66" t="s">
        <v>46</v>
      </c>
      <c r="D1062" t="s">
        <v>47</v>
      </c>
      <c r="E1062">
        <v>1000</v>
      </c>
      <c r="F1062" s="66" t="s">
        <v>7</v>
      </c>
      <c r="G1062" s="66" t="s">
        <v>9</v>
      </c>
      <c r="H1062" s="66" t="str">
        <f>TEXT(Data[[#This Row],[Buchung]],"MMM")</f>
        <v>Nov</v>
      </c>
      <c r="I1062" s="67">
        <f>YEAR(Data[[#This Row],[Buchung]])</f>
        <v>2017</v>
      </c>
      <c r="J1062" s="2">
        <f>ABS(Data[[#This Row],[Betrag]])</f>
        <v>1000</v>
      </c>
      <c r="K1062" s="66" t="str">
        <f>IF(Data[[#This Row],[Betrag]]&lt;0,"A","E")</f>
        <v>E</v>
      </c>
    </row>
    <row r="1063" spans="1:11" x14ac:dyDescent="0.25">
      <c r="A1063" s="1">
        <v>43066</v>
      </c>
      <c r="B1063" s="66" t="s">
        <v>61</v>
      </c>
      <c r="C1063" s="66" t="s">
        <v>49</v>
      </c>
      <c r="D1063" t="s">
        <v>62</v>
      </c>
      <c r="E1063">
        <v>-10</v>
      </c>
      <c r="F1063" s="66" t="s">
        <v>7</v>
      </c>
      <c r="G1063" s="66" t="s">
        <v>8</v>
      </c>
      <c r="H1063" s="66" t="str">
        <f>TEXT(Data[[#This Row],[Buchung]],"MMM")</f>
        <v>Nov</v>
      </c>
      <c r="I1063" s="67">
        <f>YEAR(Data[[#This Row],[Buchung]])</f>
        <v>2017</v>
      </c>
      <c r="J1063" s="2">
        <f>ABS(Data[[#This Row],[Betrag]])</f>
        <v>10</v>
      </c>
      <c r="K1063" s="66" t="str">
        <f>IF(Data[[#This Row],[Betrag]]&lt;0,"A","E")</f>
        <v>A</v>
      </c>
    </row>
    <row r="1064" spans="1:11" x14ac:dyDescent="0.25">
      <c r="A1064" s="1">
        <v>43067</v>
      </c>
      <c r="B1064" s="66" t="s">
        <v>63</v>
      </c>
      <c r="C1064" s="66" t="s">
        <v>64</v>
      </c>
      <c r="D1064" t="s">
        <v>65</v>
      </c>
      <c r="E1064">
        <v>-65</v>
      </c>
      <c r="F1064" s="66" t="s">
        <v>7</v>
      </c>
      <c r="G1064" s="66" t="s">
        <v>11</v>
      </c>
      <c r="H1064" s="66" t="str">
        <f>TEXT(Data[[#This Row],[Buchung]],"MMM")</f>
        <v>Nov</v>
      </c>
      <c r="I1064" s="67">
        <f>YEAR(Data[[#This Row],[Buchung]])</f>
        <v>2017</v>
      </c>
      <c r="J1064" s="2">
        <f>ABS(Data[[#This Row],[Betrag]])</f>
        <v>65</v>
      </c>
      <c r="K1064" s="66" t="str">
        <f>IF(Data[[#This Row],[Betrag]]&lt;0,"A","E")</f>
        <v>A</v>
      </c>
    </row>
    <row r="1065" spans="1:11" x14ac:dyDescent="0.25">
      <c r="A1065" s="1">
        <v>43068</v>
      </c>
      <c r="B1065" s="66" t="s">
        <v>54</v>
      </c>
      <c r="C1065" s="66" t="s">
        <v>55</v>
      </c>
      <c r="D1065" t="s">
        <v>66</v>
      </c>
      <c r="E1065">
        <v>-80</v>
      </c>
      <c r="F1065" s="66" t="s">
        <v>7</v>
      </c>
      <c r="G1065" s="66" t="s">
        <v>57</v>
      </c>
      <c r="H1065" s="66" t="str">
        <f>TEXT(Data[[#This Row],[Buchung]],"MMM")</f>
        <v>Nov</v>
      </c>
      <c r="I1065" s="67">
        <f>YEAR(Data[[#This Row],[Buchung]])</f>
        <v>2017</v>
      </c>
      <c r="J1065" s="2">
        <f>ABS(Data[[#This Row],[Betrag]])</f>
        <v>80</v>
      </c>
      <c r="K1065" s="66" t="str">
        <f>IF(Data[[#This Row],[Betrag]]&lt;0,"A","E")</f>
        <v>A</v>
      </c>
    </row>
    <row r="1066" spans="1:11" x14ac:dyDescent="0.25">
      <c r="A1066" s="1">
        <v>43069</v>
      </c>
      <c r="B1066" s="66" t="s">
        <v>67</v>
      </c>
      <c r="C1066" s="66" t="s">
        <v>59</v>
      </c>
      <c r="D1066" t="s">
        <v>68</v>
      </c>
      <c r="E1066">
        <v>-35</v>
      </c>
      <c r="F1066" s="66" t="s">
        <v>7</v>
      </c>
      <c r="G1066" s="66" t="s">
        <v>10</v>
      </c>
      <c r="H1066" s="66" t="str">
        <f>TEXT(Data[[#This Row],[Buchung]],"MMM")</f>
        <v>Nov</v>
      </c>
      <c r="I1066" s="67">
        <f>YEAR(Data[[#This Row],[Buchung]])</f>
        <v>2017</v>
      </c>
      <c r="J1066" s="2">
        <f>ABS(Data[[#This Row],[Betrag]])</f>
        <v>35</v>
      </c>
      <c r="K1066" s="66" t="str">
        <f>IF(Data[[#This Row],[Betrag]]&lt;0,"A","E")</f>
        <v>A</v>
      </c>
    </row>
    <row r="1067" spans="1:11" x14ac:dyDescent="0.25">
      <c r="A1067" s="1">
        <v>43070</v>
      </c>
      <c r="B1067" s="66" t="s">
        <v>45</v>
      </c>
      <c r="C1067" s="66" t="s">
        <v>46</v>
      </c>
      <c r="D1067" t="s">
        <v>47</v>
      </c>
      <c r="E1067">
        <v>1000</v>
      </c>
      <c r="F1067" s="66" t="s">
        <v>7</v>
      </c>
      <c r="G1067" s="66" t="s">
        <v>9</v>
      </c>
      <c r="H1067" s="66" t="str">
        <f>TEXT(Data[[#This Row],[Buchung]],"MMM")</f>
        <v>Dez</v>
      </c>
      <c r="I1067" s="67">
        <f>YEAR(Data[[#This Row],[Buchung]])</f>
        <v>2017</v>
      </c>
      <c r="J1067" s="2">
        <f>ABS(Data[[#This Row],[Betrag]])</f>
        <v>1000</v>
      </c>
      <c r="K1067" s="66" t="str">
        <f>IF(Data[[#This Row],[Betrag]]&lt;0,"A","E")</f>
        <v>E</v>
      </c>
    </row>
    <row r="1068" spans="1:11" x14ac:dyDescent="0.25">
      <c r="A1068" s="1">
        <v>43071</v>
      </c>
      <c r="B1068" s="66" t="s">
        <v>45</v>
      </c>
      <c r="C1068" s="66" t="s">
        <v>46</v>
      </c>
      <c r="D1068" t="s">
        <v>47</v>
      </c>
      <c r="E1068">
        <v>1000</v>
      </c>
      <c r="F1068" s="66" t="s">
        <v>7</v>
      </c>
      <c r="G1068" s="66" t="s">
        <v>9</v>
      </c>
      <c r="H1068" s="66" t="str">
        <f>TEXT(Data[[#This Row],[Buchung]],"MMM")</f>
        <v>Dez</v>
      </c>
      <c r="I1068" s="67">
        <f>YEAR(Data[[#This Row],[Buchung]])</f>
        <v>2017</v>
      </c>
      <c r="J1068" s="2">
        <f>ABS(Data[[#This Row],[Betrag]])</f>
        <v>1000</v>
      </c>
      <c r="K1068" s="66" t="str">
        <f>IF(Data[[#This Row],[Betrag]]&lt;0,"A","E")</f>
        <v>E</v>
      </c>
    </row>
    <row r="1069" spans="1:11" x14ac:dyDescent="0.25">
      <c r="A1069" s="1">
        <v>43072</v>
      </c>
      <c r="B1069" s="66" t="s">
        <v>48</v>
      </c>
      <c r="C1069" s="66" t="s">
        <v>49</v>
      </c>
      <c r="D1069" t="s">
        <v>50</v>
      </c>
      <c r="E1069">
        <v>-15</v>
      </c>
      <c r="F1069" s="66" t="s">
        <v>7</v>
      </c>
      <c r="G1069" s="66" t="s">
        <v>8</v>
      </c>
      <c r="H1069" s="66" t="str">
        <f>TEXT(Data[[#This Row],[Buchung]],"MMM")</f>
        <v>Dez</v>
      </c>
      <c r="I1069" s="67">
        <f>YEAR(Data[[#This Row],[Buchung]])</f>
        <v>2017</v>
      </c>
      <c r="J1069" s="2">
        <f>ABS(Data[[#This Row],[Betrag]])</f>
        <v>15</v>
      </c>
      <c r="K1069" s="66" t="str">
        <f>IF(Data[[#This Row],[Betrag]]&lt;0,"A","E")</f>
        <v>A</v>
      </c>
    </row>
    <row r="1070" spans="1:11" x14ac:dyDescent="0.25">
      <c r="A1070" s="1">
        <v>43073</v>
      </c>
      <c r="B1070" s="66" t="s">
        <v>51</v>
      </c>
      <c r="C1070" s="66" t="s">
        <v>52</v>
      </c>
      <c r="D1070" t="s">
        <v>53</v>
      </c>
      <c r="E1070">
        <v>-350</v>
      </c>
      <c r="F1070" s="66" t="s">
        <v>7</v>
      </c>
      <c r="G1070" s="66" t="s">
        <v>11</v>
      </c>
      <c r="H1070" s="66" t="str">
        <f>TEXT(Data[[#This Row],[Buchung]],"MMM")</f>
        <v>Dez</v>
      </c>
      <c r="I1070" s="67">
        <f>YEAR(Data[[#This Row],[Buchung]])</f>
        <v>2017</v>
      </c>
      <c r="J1070" s="2">
        <f>ABS(Data[[#This Row],[Betrag]])</f>
        <v>350</v>
      </c>
      <c r="K1070" s="66" t="str">
        <f>IF(Data[[#This Row],[Betrag]]&lt;0,"A","E")</f>
        <v>A</v>
      </c>
    </row>
    <row r="1071" spans="1:11" x14ac:dyDescent="0.25">
      <c r="A1071" s="1">
        <v>43074</v>
      </c>
      <c r="B1071" s="66" t="s">
        <v>54</v>
      </c>
      <c r="C1071" s="66" t="s">
        <v>55</v>
      </c>
      <c r="D1071" t="s">
        <v>56</v>
      </c>
      <c r="E1071">
        <v>-120</v>
      </c>
      <c r="F1071" s="66" t="s">
        <v>7</v>
      </c>
      <c r="G1071" s="66" t="s">
        <v>57</v>
      </c>
      <c r="H1071" s="66" t="str">
        <f>TEXT(Data[[#This Row],[Buchung]],"MMM")</f>
        <v>Dez</v>
      </c>
      <c r="I1071" s="67">
        <f>YEAR(Data[[#This Row],[Buchung]])</f>
        <v>2017</v>
      </c>
      <c r="J1071" s="2">
        <f>ABS(Data[[#This Row],[Betrag]])</f>
        <v>120</v>
      </c>
      <c r="K1071" s="66" t="str">
        <f>IF(Data[[#This Row],[Betrag]]&lt;0,"A","E")</f>
        <v>A</v>
      </c>
    </row>
    <row r="1072" spans="1:11" x14ac:dyDescent="0.25">
      <c r="A1072" s="1">
        <v>43075</v>
      </c>
      <c r="B1072" s="66" t="s">
        <v>58</v>
      </c>
      <c r="C1072" s="66" t="s">
        <v>59</v>
      </c>
      <c r="D1072" t="s">
        <v>60</v>
      </c>
      <c r="E1072">
        <v>-50</v>
      </c>
      <c r="F1072" s="66" t="s">
        <v>7</v>
      </c>
      <c r="G1072" s="66" t="s">
        <v>10</v>
      </c>
      <c r="H1072" s="66" t="str">
        <f>TEXT(Data[[#This Row],[Buchung]],"MMM")</f>
        <v>Dez</v>
      </c>
      <c r="I1072" s="67">
        <f>YEAR(Data[[#This Row],[Buchung]])</f>
        <v>2017</v>
      </c>
      <c r="J1072" s="2">
        <f>ABS(Data[[#This Row],[Betrag]])</f>
        <v>50</v>
      </c>
      <c r="K1072" s="66" t="str">
        <f>IF(Data[[#This Row],[Betrag]]&lt;0,"A","E")</f>
        <v>A</v>
      </c>
    </row>
    <row r="1073" spans="1:11" x14ac:dyDescent="0.25">
      <c r="A1073" s="1">
        <v>43076</v>
      </c>
      <c r="B1073" s="66" t="s">
        <v>45</v>
      </c>
      <c r="C1073" s="66" t="s">
        <v>46</v>
      </c>
      <c r="D1073" t="s">
        <v>47</v>
      </c>
      <c r="E1073">
        <v>1000</v>
      </c>
      <c r="F1073" s="66" t="s">
        <v>7</v>
      </c>
      <c r="G1073" s="66" t="s">
        <v>9</v>
      </c>
      <c r="H1073" s="66" t="str">
        <f>TEXT(Data[[#This Row],[Buchung]],"MMM")</f>
        <v>Dez</v>
      </c>
      <c r="I1073" s="67">
        <f>YEAR(Data[[#This Row],[Buchung]])</f>
        <v>2017</v>
      </c>
      <c r="J1073" s="2">
        <f>ABS(Data[[#This Row],[Betrag]])</f>
        <v>1000</v>
      </c>
      <c r="K1073" s="66" t="str">
        <f>IF(Data[[#This Row],[Betrag]]&lt;0,"A","E")</f>
        <v>E</v>
      </c>
    </row>
    <row r="1074" spans="1:11" x14ac:dyDescent="0.25">
      <c r="A1074" s="1">
        <v>43077</v>
      </c>
      <c r="B1074" s="66" t="s">
        <v>61</v>
      </c>
      <c r="C1074" s="66" t="s">
        <v>49</v>
      </c>
      <c r="D1074" t="s">
        <v>62</v>
      </c>
      <c r="E1074">
        <v>-10</v>
      </c>
      <c r="F1074" s="66" t="s">
        <v>7</v>
      </c>
      <c r="G1074" s="66" t="s">
        <v>8</v>
      </c>
      <c r="H1074" s="66" t="str">
        <f>TEXT(Data[[#This Row],[Buchung]],"MMM")</f>
        <v>Dez</v>
      </c>
      <c r="I1074" s="67">
        <f>YEAR(Data[[#This Row],[Buchung]])</f>
        <v>2017</v>
      </c>
      <c r="J1074" s="2">
        <f>ABS(Data[[#This Row],[Betrag]])</f>
        <v>10</v>
      </c>
      <c r="K1074" s="66" t="str">
        <f>IF(Data[[#This Row],[Betrag]]&lt;0,"A","E")</f>
        <v>A</v>
      </c>
    </row>
    <row r="1075" spans="1:11" x14ac:dyDescent="0.25">
      <c r="A1075" s="1">
        <v>43078</v>
      </c>
      <c r="B1075" s="66" t="s">
        <v>63</v>
      </c>
      <c r="C1075" s="66" t="s">
        <v>64</v>
      </c>
      <c r="D1075" t="s">
        <v>65</v>
      </c>
      <c r="E1075">
        <v>-60</v>
      </c>
      <c r="F1075" s="66" t="s">
        <v>7</v>
      </c>
      <c r="G1075" s="66" t="s">
        <v>11</v>
      </c>
      <c r="H1075" s="66" t="str">
        <f>TEXT(Data[[#This Row],[Buchung]],"MMM")</f>
        <v>Dez</v>
      </c>
      <c r="I1075" s="67">
        <f>YEAR(Data[[#This Row],[Buchung]])</f>
        <v>2017</v>
      </c>
      <c r="J1075" s="2">
        <f>ABS(Data[[#This Row],[Betrag]])</f>
        <v>60</v>
      </c>
      <c r="K1075" s="66" t="str">
        <f>IF(Data[[#This Row],[Betrag]]&lt;0,"A","E")</f>
        <v>A</v>
      </c>
    </row>
    <row r="1076" spans="1:11" x14ac:dyDescent="0.25">
      <c r="A1076" s="1">
        <v>43079</v>
      </c>
      <c r="B1076" s="66" t="s">
        <v>54</v>
      </c>
      <c r="C1076" s="66" t="s">
        <v>55</v>
      </c>
      <c r="D1076" t="s">
        <v>66</v>
      </c>
      <c r="E1076">
        <v>-80</v>
      </c>
      <c r="F1076" s="66" t="s">
        <v>7</v>
      </c>
      <c r="G1076" s="66" t="s">
        <v>57</v>
      </c>
      <c r="H1076" s="66" t="str">
        <f>TEXT(Data[[#This Row],[Buchung]],"MMM")</f>
        <v>Dez</v>
      </c>
      <c r="I1076" s="67">
        <f>YEAR(Data[[#This Row],[Buchung]])</f>
        <v>2017</v>
      </c>
      <c r="J1076" s="2">
        <f>ABS(Data[[#This Row],[Betrag]])</f>
        <v>80</v>
      </c>
      <c r="K1076" s="66" t="str">
        <f>IF(Data[[#This Row],[Betrag]]&lt;0,"A","E")</f>
        <v>A</v>
      </c>
    </row>
    <row r="1077" spans="1:11" x14ac:dyDescent="0.25">
      <c r="A1077" s="1">
        <v>43080</v>
      </c>
      <c r="B1077" s="66" t="s">
        <v>67</v>
      </c>
      <c r="C1077" s="66" t="s">
        <v>59</v>
      </c>
      <c r="D1077" t="s">
        <v>68</v>
      </c>
      <c r="E1077">
        <v>-20</v>
      </c>
      <c r="F1077" s="66" t="s">
        <v>7</v>
      </c>
      <c r="G1077" s="66" t="s">
        <v>10</v>
      </c>
      <c r="H1077" s="66" t="str">
        <f>TEXT(Data[[#This Row],[Buchung]],"MMM")</f>
        <v>Dez</v>
      </c>
      <c r="I1077" s="67">
        <f>YEAR(Data[[#This Row],[Buchung]])</f>
        <v>2017</v>
      </c>
      <c r="J1077" s="2">
        <f>ABS(Data[[#This Row],[Betrag]])</f>
        <v>20</v>
      </c>
      <c r="K1077" s="66" t="str">
        <f>IF(Data[[#This Row],[Betrag]]&lt;0,"A","E")</f>
        <v>A</v>
      </c>
    </row>
    <row r="1078" spans="1:11" x14ac:dyDescent="0.25">
      <c r="A1078" s="1">
        <v>43081</v>
      </c>
      <c r="B1078" s="66" t="s">
        <v>45</v>
      </c>
      <c r="C1078" s="66" t="s">
        <v>46</v>
      </c>
      <c r="D1078" t="s">
        <v>47</v>
      </c>
      <c r="E1078">
        <v>1000</v>
      </c>
      <c r="F1078" s="66" t="s">
        <v>7</v>
      </c>
      <c r="G1078" s="66" t="s">
        <v>9</v>
      </c>
      <c r="H1078" s="66" t="str">
        <f>TEXT(Data[[#This Row],[Buchung]],"MMM")</f>
        <v>Dez</v>
      </c>
      <c r="I1078" s="67">
        <f>YEAR(Data[[#This Row],[Buchung]])</f>
        <v>2017</v>
      </c>
      <c r="J1078" s="2">
        <f>ABS(Data[[#This Row],[Betrag]])</f>
        <v>1000</v>
      </c>
      <c r="K1078" s="66" t="str">
        <f>IF(Data[[#This Row],[Betrag]]&lt;0,"A","E")</f>
        <v>E</v>
      </c>
    </row>
    <row r="1079" spans="1:11" x14ac:dyDescent="0.25">
      <c r="A1079" s="1">
        <v>43082</v>
      </c>
      <c r="B1079" s="66" t="s">
        <v>48</v>
      </c>
      <c r="C1079" s="66" t="s">
        <v>49</v>
      </c>
      <c r="D1079" t="s">
        <v>50</v>
      </c>
      <c r="E1079">
        <v>-15</v>
      </c>
      <c r="F1079" s="66" t="s">
        <v>7</v>
      </c>
      <c r="G1079" s="66" t="s">
        <v>8</v>
      </c>
      <c r="H1079" s="66" t="str">
        <f>TEXT(Data[[#This Row],[Buchung]],"MMM")</f>
        <v>Dez</v>
      </c>
      <c r="I1079" s="67">
        <f>YEAR(Data[[#This Row],[Buchung]])</f>
        <v>2017</v>
      </c>
      <c r="J1079" s="2">
        <f>ABS(Data[[#This Row],[Betrag]])</f>
        <v>15</v>
      </c>
      <c r="K1079" s="66" t="str">
        <f>IF(Data[[#This Row],[Betrag]]&lt;0,"A","E")</f>
        <v>A</v>
      </c>
    </row>
    <row r="1080" spans="1:11" x14ac:dyDescent="0.25">
      <c r="A1080" s="1">
        <v>43083</v>
      </c>
      <c r="B1080" s="66" t="s">
        <v>51</v>
      </c>
      <c r="C1080" s="66" t="s">
        <v>52</v>
      </c>
      <c r="D1080" t="s">
        <v>53</v>
      </c>
      <c r="E1080">
        <v>-350</v>
      </c>
      <c r="F1080" s="66" t="s">
        <v>7</v>
      </c>
      <c r="G1080" s="66" t="s">
        <v>11</v>
      </c>
      <c r="H1080" s="66" t="str">
        <f>TEXT(Data[[#This Row],[Buchung]],"MMM")</f>
        <v>Dez</v>
      </c>
      <c r="I1080" s="67">
        <f>YEAR(Data[[#This Row],[Buchung]])</f>
        <v>2017</v>
      </c>
      <c r="J1080" s="2">
        <f>ABS(Data[[#This Row],[Betrag]])</f>
        <v>350</v>
      </c>
      <c r="K1080" s="66" t="str">
        <f>IF(Data[[#This Row],[Betrag]]&lt;0,"A","E")</f>
        <v>A</v>
      </c>
    </row>
    <row r="1081" spans="1:11" x14ac:dyDescent="0.25">
      <c r="A1081" s="1">
        <v>43084</v>
      </c>
      <c r="B1081" s="66" t="s">
        <v>54</v>
      </c>
      <c r="C1081" s="66" t="s">
        <v>55</v>
      </c>
      <c r="D1081" t="s">
        <v>56</v>
      </c>
      <c r="E1081">
        <v>-120</v>
      </c>
      <c r="F1081" s="66" t="s">
        <v>7</v>
      </c>
      <c r="G1081" s="66" t="s">
        <v>57</v>
      </c>
      <c r="H1081" s="66" t="str">
        <f>TEXT(Data[[#This Row],[Buchung]],"MMM")</f>
        <v>Dez</v>
      </c>
      <c r="I1081" s="67">
        <f>YEAR(Data[[#This Row],[Buchung]])</f>
        <v>2017</v>
      </c>
      <c r="J1081" s="2">
        <f>ABS(Data[[#This Row],[Betrag]])</f>
        <v>120</v>
      </c>
      <c r="K1081" s="66" t="str">
        <f>IF(Data[[#This Row],[Betrag]]&lt;0,"A","E")</f>
        <v>A</v>
      </c>
    </row>
    <row r="1082" spans="1:11" x14ac:dyDescent="0.25">
      <c r="A1082" s="1">
        <v>43085</v>
      </c>
      <c r="B1082" s="66" t="s">
        <v>58</v>
      </c>
      <c r="C1082" s="66" t="s">
        <v>59</v>
      </c>
      <c r="D1082" t="s">
        <v>60</v>
      </c>
      <c r="E1082">
        <v>-60</v>
      </c>
      <c r="F1082" s="66" t="s">
        <v>7</v>
      </c>
      <c r="G1082" s="66" t="s">
        <v>10</v>
      </c>
      <c r="H1082" s="66" t="str">
        <f>TEXT(Data[[#This Row],[Buchung]],"MMM")</f>
        <v>Dez</v>
      </c>
      <c r="I1082" s="67">
        <f>YEAR(Data[[#This Row],[Buchung]])</f>
        <v>2017</v>
      </c>
      <c r="J1082" s="2">
        <f>ABS(Data[[#This Row],[Betrag]])</f>
        <v>60</v>
      </c>
      <c r="K1082" s="66" t="str">
        <f>IF(Data[[#This Row],[Betrag]]&lt;0,"A","E")</f>
        <v>A</v>
      </c>
    </row>
    <row r="1083" spans="1:11" x14ac:dyDescent="0.25">
      <c r="A1083" s="1">
        <v>43086</v>
      </c>
      <c r="B1083" s="66" t="s">
        <v>45</v>
      </c>
      <c r="C1083" s="66" t="s">
        <v>46</v>
      </c>
      <c r="D1083" t="s">
        <v>47</v>
      </c>
      <c r="E1083">
        <v>1000</v>
      </c>
      <c r="F1083" s="66" t="s">
        <v>7</v>
      </c>
      <c r="G1083" s="66" t="s">
        <v>9</v>
      </c>
      <c r="H1083" s="66" t="str">
        <f>TEXT(Data[[#This Row],[Buchung]],"MMM")</f>
        <v>Dez</v>
      </c>
      <c r="I1083" s="67">
        <f>YEAR(Data[[#This Row],[Buchung]])</f>
        <v>2017</v>
      </c>
      <c r="J1083" s="2">
        <f>ABS(Data[[#This Row],[Betrag]])</f>
        <v>1000</v>
      </c>
      <c r="K1083" s="66" t="str">
        <f>IF(Data[[#This Row],[Betrag]]&lt;0,"A","E")</f>
        <v>E</v>
      </c>
    </row>
    <row r="1084" spans="1:11" x14ac:dyDescent="0.25">
      <c r="A1084" s="1">
        <v>43087</v>
      </c>
      <c r="B1084" s="66" t="s">
        <v>61</v>
      </c>
      <c r="C1084" s="66" t="s">
        <v>49</v>
      </c>
      <c r="D1084" t="s">
        <v>62</v>
      </c>
      <c r="E1084">
        <v>-10</v>
      </c>
      <c r="F1084" s="66" t="s">
        <v>7</v>
      </c>
      <c r="G1084" s="66" t="s">
        <v>8</v>
      </c>
      <c r="H1084" s="66" t="str">
        <f>TEXT(Data[[#This Row],[Buchung]],"MMM")</f>
        <v>Dez</v>
      </c>
      <c r="I1084" s="67">
        <f>YEAR(Data[[#This Row],[Buchung]])</f>
        <v>2017</v>
      </c>
      <c r="J1084" s="2">
        <f>ABS(Data[[#This Row],[Betrag]])</f>
        <v>10</v>
      </c>
      <c r="K1084" s="66" t="str">
        <f>IF(Data[[#This Row],[Betrag]]&lt;0,"A","E")</f>
        <v>A</v>
      </c>
    </row>
    <row r="1085" spans="1:11" x14ac:dyDescent="0.25">
      <c r="A1085" s="1">
        <v>43088</v>
      </c>
      <c r="B1085" s="66" t="s">
        <v>63</v>
      </c>
      <c r="C1085" s="66" t="s">
        <v>64</v>
      </c>
      <c r="D1085" t="s">
        <v>65</v>
      </c>
      <c r="E1085">
        <v>-70</v>
      </c>
      <c r="F1085" s="66" t="s">
        <v>7</v>
      </c>
      <c r="G1085" s="66" t="s">
        <v>11</v>
      </c>
      <c r="H1085" s="66" t="str">
        <f>TEXT(Data[[#This Row],[Buchung]],"MMM")</f>
        <v>Dez</v>
      </c>
      <c r="I1085" s="67">
        <f>YEAR(Data[[#This Row],[Buchung]])</f>
        <v>2017</v>
      </c>
      <c r="J1085" s="2">
        <f>ABS(Data[[#This Row],[Betrag]])</f>
        <v>70</v>
      </c>
      <c r="K1085" s="66" t="str">
        <f>IF(Data[[#This Row],[Betrag]]&lt;0,"A","E")</f>
        <v>A</v>
      </c>
    </row>
    <row r="1086" spans="1:11" x14ac:dyDescent="0.25">
      <c r="A1086" s="1">
        <v>43089</v>
      </c>
      <c r="B1086" s="66" t="s">
        <v>54</v>
      </c>
      <c r="C1086" s="66" t="s">
        <v>55</v>
      </c>
      <c r="D1086" t="s">
        <v>66</v>
      </c>
      <c r="E1086">
        <v>-80</v>
      </c>
      <c r="F1086" s="66" t="s">
        <v>7</v>
      </c>
      <c r="G1086" s="66" t="s">
        <v>57</v>
      </c>
      <c r="H1086" s="66" t="str">
        <f>TEXT(Data[[#This Row],[Buchung]],"MMM")</f>
        <v>Dez</v>
      </c>
      <c r="I1086" s="67">
        <f>YEAR(Data[[#This Row],[Buchung]])</f>
        <v>2017</v>
      </c>
      <c r="J1086" s="2">
        <f>ABS(Data[[#This Row],[Betrag]])</f>
        <v>80</v>
      </c>
      <c r="K1086" s="66" t="str">
        <f>IF(Data[[#This Row],[Betrag]]&lt;0,"A","E")</f>
        <v>A</v>
      </c>
    </row>
    <row r="1087" spans="1:11" x14ac:dyDescent="0.25">
      <c r="A1087" s="1">
        <v>43090</v>
      </c>
      <c r="B1087" s="66" t="s">
        <v>67</v>
      </c>
      <c r="C1087" s="66" t="s">
        <v>59</v>
      </c>
      <c r="D1087" t="s">
        <v>68</v>
      </c>
      <c r="E1087">
        <v>-25</v>
      </c>
      <c r="F1087" s="66" t="s">
        <v>7</v>
      </c>
      <c r="G1087" s="66" t="s">
        <v>10</v>
      </c>
      <c r="H1087" s="66" t="str">
        <f>TEXT(Data[[#This Row],[Buchung]],"MMM")</f>
        <v>Dez</v>
      </c>
      <c r="I1087" s="67">
        <f>YEAR(Data[[#This Row],[Buchung]])</f>
        <v>2017</v>
      </c>
      <c r="J1087" s="2">
        <f>ABS(Data[[#This Row],[Betrag]])</f>
        <v>25</v>
      </c>
      <c r="K1087" s="66" t="str">
        <f>IF(Data[[#This Row],[Betrag]]&lt;0,"A","E")</f>
        <v>A</v>
      </c>
    </row>
    <row r="1088" spans="1:11" x14ac:dyDescent="0.25">
      <c r="A1088" s="1">
        <v>43091</v>
      </c>
      <c r="B1088" s="66" t="s">
        <v>45</v>
      </c>
      <c r="C1088" s="66" t="s">
        <v>46</v>
      </c>
      <c r="D1088" t="s">
        <v>47</v>
      </c>
      <c r="E1088">
        <v>1000</v>
      </c>
      <c r="F1088" s="66" t="s">
        <v>7</v>
      </c>
      <c r="G1088" s="66" t="s">
        <v>9</v>
      </c>
      <c r="H1088" s="66" t="str">
        <f>TEXT(Data[[#This Row],[Buchung]],"MMM")</f>
        <v>Dez</v>
      </c>
      <c r="I1088" s="67">
        <f>YEAR(Data[[#This Row],[Buchung]])</f>
        <v>2017</v>
      </c>
      <c r="J1088" s="2">
        <f>ABS(Data[[#This Row],[Betrag]])</f>
        <v>1000</v>
      </c>
      <c r="K1088" s="66" t="str">
        <f>IF(Data[[#This Row],[Betrag]]&lt;0,"A","E")</f>
        <v>E</v>
      </c>
    </row>
    <row r="1089" spans="1:11" x14ac:dyDescent="0.25">
      <c r="A1089" s="1">
        <v>43092</v>
      </c>
      <c r="B1089" s="66" t="s">
        <v>48</v>
      </c>
      <c r="C1089" s="66" t="s">
        <v>49</v>
      </c>
      <c r="D1089" t="s">
        <v>50</v>
      </c>
      <c r="E1089">
        <v>-15</v>
      </c>
      <c r="F1089" s="66" t="s">
        <v>7</v>
      </c>
      <c r="G1089" s="66" t="s">
        <v>8</v>
      </c>
      <c r="H1089" s="66" t="str">
        <f>TEXT(Data[[#This Row],[Buchung]],"MMM")</f>
        <v>Dez</v>
      </c>
      <c r="I1089" s="67">
        <f>YEAR(Data[[#This Row],[Buchung]])</f>
        <v>2017</v>
      </c>
      <c r="J1089" s="2">
        <f>ABS(Data[[#This Row],[Betrag]])</f>
        <v>15</v>
      </c>
      <c r="K1089" s="66" t="str">
        <f>IF(Data[[#This Row],[Betrag]]&lt;0,"A","E")</f>
        <v>A</v>
      </c>
    </row>
    <row r="1090" spans="1:11" x14ac:dyDescent="0.25">
      <c r="A1090" s="1">
        <v>43093</v>
      </c>
      <c r="B1090" s="66" t="s">
        <v>51</v>
      </c>
      <c r="C1090" s="66" t="s">
        <v>52</v>
      </c>
      <c r="D1090" t="s">
        <v>53</v>
      </c>
      <c r="E1090">
        <v>-350</v>
      </c>
      <c r="F1090" s="66" t="s">
        <v>7</v>
      </c>
      <c r="G1090" s="66" t="s">
        <v>11</v>
      </c>
      <c r="H1090" s="66" t="str">
        <f>TEXT(Data[[#This Row],[Buchung]],"MMM")</f>
        <v>Dez</v>
      </c>
      <c r="I1090" s="67">
        <f>YEAR(Data[[#This Row],[Buchung]])</f>
        <v>2017</v>
      </c>
      <c r="J1090" s="2">
        <f>ABS(Data[[#This Row],[Betrag]])</f>
        <v>350</v>
      </c>
      <c r="K1090" s="66" t="str">
        <f>IF(Data[[#This Row],[Betrag]]&lt;0,"A","E")</f>
        <v>A</v>
      </c>
    </row>
    <row r="1091" spans="1:11" x14ac:dyDescent="0.25">
      <c r="A1091" s="1">
        <v>43094</v>
      </c>
      <c r="B1091" s="66" t="s">
        <v>54</v>
      </c>
      <c r="C1091" s="66" t="s">
        <v>55</v>
      </c>
      <c r="D1091" t="s">
        <v>56</v>
      </c>
      <c r="E1091">
        <v>-120</v>
      </c>
      <c r="F1091" s="66" t="s">
        <v>7</v>
      </c>
      <c r="G1091" s="66" t="s">
        <v>57</v>
      </c>
      <c r="H1091" s="66" t="str">
        <f>TEXT(Data[[#This Row],[Buchung]],"MMM")</f>
        <v>Dez</v>
      </c>
      <c r="I1091" s="67">
        <f>YEAR(Data[[#This Row],[Buchung]])</f>
        <v>2017</v>
      </c>
      <c r="J1091" s="2">
        <f>ABS(Data[[#This Row],[Betrag]])</f>
        <v>120</v>
      </c>
      <c r="K1091" s="66" t="str">
        <f>IF(Data[[#This Row],[Betrag]]&lt;0,"A","E")</f>
        <v>A</v>
      </c>
    </row>
    <row r="1092" spans="1:11" x14ac:dyDescent="0.25">
      <c r="A1092" s="1">
        <v>43095</v>
      </c>
      <c r="B1092" s="66" t="s">
        <v>58</v>
      </c>
      <c r="C1092" s="66" t="s">
        <v>59</v>
      </c>
      <c r="D1092" t="s">
        <v>60</v>
      </c>
      <c r="E1092">
        <v>-70</v>
      </c>
      <c r="F1092" s="66" t="s">
        <v>7</v>
      </c>
      <c r="G1092" s="66" t="s">
        <v>10</v>
      </c>
      <c r="H1092" s="66" t="str">
        <f>TEXT(Data[[#This Row],[Buchung]],"MMM")</f>
        <v>Dez</v>
      </c>
      <c r="I1092" s="67">
        <f>YEAR(Data[[#This Row],[Buchung]])</f>
        <v>2017</v>
      </c>
      <c r="J1092" s="2">
        <f>ABS(Data[[#This Row],[Betrag]])</f>
        <v>70</v>
      </c>
      <c r="K1092" s="66" t="str">
        <f>IF(Data[[#This Row],[Betrag]]&lt;0,"A","E")</f>
        <v>A</v>
      </c>
    </row>
    <row r="1093" spans="1:11" x14ac:dyDescent="0.25">
      <c r="A1093" s="1">
        <v>43096</v>
      </c>
      <c r="B1093" s="66" t="s">
        <v>45</v>
      </c>
      <c r="C1093" s="66" t="s">
        <v>46</v>
      </c>
      <c r="D1093" t="s">
        <v>47</v>
      </c>
      <c r="E1093">
        <v>1000</v>
      </c>
      <c r="F1093" s="66" t="s">
        <v>7</v>
      </c>
      <c r="G1093" s="66" t="s">
        <v>9</v>
      </c>
      <c r="H1093" s="66" t="str">
        <f>TEXT(Data[[#This Row],[Buchung]],"MMM")</f>
        <v>Dez</v>
      </c>
      <c r="I1093" s="67">
        <f>YEAR(Data[[#This Row],[Buchung]])</f>
        <v>2017</v>
      </c>
      <c r="J1093" s="2">
        <f>ABS(Data[[#This Row],[Betrag]])</f>
        <v>1000</v>
      </c>
      <c r="K1093" s="66" t="str">
        <f>IF(Data[[#This Row],[Betrag]]&lt;0,"A","E")</f>
        <v>E</v>
      </c>
    </row>
    <row r="1094" spans="1:11" x14ac:dyDescent="0.25">
      <c r="A1094" s="1">
        <v>43097</v>
      </c>
      <c r="B1094" s="66" t="s">
        <v>61</v>
      </c>
      <c r="C1094" s="66" t="s">
        <v>49</v>
      </c>
      <c r="D1094" t="s">
        <v>62</v>
      </c>
      <c r="E1094">
        <v>-10</v>
      </c>
      <c r="F1094" s="66" t="s">
        <v>7</v>
      </c>
      <c r="G1094" s="66" t="s">
        <v>8</v>
      </c>
      <c r="H1094" s="66" t="str">
        <f>TEXT(Data[[#This Row],[Buchung]],"MMM")</f>
        <v>Dez</v>
      </c>
      <c r="I1094" s="67">
        <f>YEAR(Data[[#This Row],[Buchung]])</f>
        <v>2017</v>
      </c>
      <c r="J1094" s="2">
        <f>ABS(Data[[#This Row],[Betrag]])</f>
        <v>10</v>
      </c>
      <c r="K1094" s="66" t="str">
        <f>IF(Data[[#This Row],[Betrag]]&lt;0,"A","E")</f>
        <v>A</v>
      </c>
    </row>
    <row r="1095" spans="1:11" x14ac:dyDescent="0.25">
      <c r="A1095" s="1">
        <v>43098</v>
      </c>
      <c r="B1095" s="66" t="s">
        <v>63</v>
      </c>
      <c r="C1095" s="66" t="s">
        <v>64</v>
      </c>
      <c r="D1095" t="s">
        <v>65</v>
      </c>
      <c r="E1095">
        <v>-60</v>
      </c>
      <c r="F1095" s="66" t="s">
        <v>7</v>
      </c>
      <c r="G1095" s="66" t="s">
        <v>11</v>
      </c>
      <c r="H1095" s="66" t="str">
        <f>TEXT(Data[[#This Row],[Buchung]],"MMM")</f>
        <v>Dez</v>
      </c>
      <c r="I1095" s="67">
        <f>YEAR(Data[[#This Row],[Buchung]])</f>
        <v>2017</v>
      </c>
      <c r="J1095" s="2">
        <f>ABS(Data[[#This Row],[Betrag]])</f>
        <v>60</v>
      </c>
      <c r="K1095" s="66" t="str">
        <f>IF(Data[[#This Row],[Betrag]]&lt;0,"A","E")</f>
        <v>A</v>
      </c>
    </row>
    <row r="1096" spans="1:11" x14ac:dyDescent="0.25">
      <c r="A1096" s="1">
        <v>43099</v>
      </c>
      <c r="B1096" s="66" t="s">
        <v>54</v>
      </c>
      <c r="C1096" s="66" t="s">
        <v>55</v>
      </c>
      <c r="D1096" t="s">
        <v>66</v>
      </c>
      <c r="E1096">
        <v>-80</v>
      </c>
      <c r="F1096" s="66" t="s">
        <v>7</v>
      </c>
      <c r="G1096" s="66" t="s">
        <v>57</v>
      </c>
      <c r="H1096" s="66" t="str">
        <f>TEXT(Data[[#This Row],[Buchung]],"MMM")</f>
        <v>Dez</v>
      </c>
      <c r="I1096" s="67">
        <f>YEAR(Data[[#This Row],[Buchung]])</f>
        <v>2017</v>
      </c>
      <c r="J1096" s="2">
        <f>ABS(Data[[#This Row],[Betrag]])</f>
        <v>80</v>
      </c>
      <c r="K1096" s="66" t="str">
        <f>IF(Data[[#This Row],[Betrag]]&lt;0,"A","E")</f>
        <v>A</v>
      </c>
    </row>
    <row r="1097" spans="1:11" x14ac:dyDescent="0.25">
      <c r="A1097" s="1">
        <v>43100</v>
      </c>
      <c r="B1097" s="66" t="s">
        <v>67</v>
      </c>
      <c r="C1097" s="66" t="s">
        <v>59</v>
      </c>
      <c r="D1097" t="s">
        <v>68</v>
      </c>
      <c r="E1097">
        <v>-30</v>
      </c>
      <c r="F1097" s="66" t="s">
        <v>7</v>
      </c>
      <c r="G1097" s="66" t="s">
        <v>10</v>
      </c>
      <c r="H1097" s="66" t="str">
        <f>TEXT(Data[[#This Row],[Buchung]],"MMM")</f>
        <v>Dez</v>
      </c>
      <c r="I1097" s="67">
        <f>YEAR(Data[[#This Row],[Buchung]])</f>
        <v>2017</v>
      </c>
      <c r="J1097" s="2">
        <f>ABS(Data[[#This Row],[Betrag]])</f>
        <v>30</v>
      </c>
      <c r="K1097" s="66" t="str">
        <f>IF(Data[[#This Row],[Betrag]]&lt;0,"A","E")</f>
        <v>A</v>
      </c>
    </row>
    <row r="1098" spans="1:11" x14ac:dyDescent="0.25">
      <c r="A1098" s="1">
        <v>43101</v>
      </c>
      <c r="B1098" s="66" t="s">
        <v>45</v>
      </c>
      <c r="C1098" s="66" t="s">
        <v>46</v>
      </c>
      <c r="D1098" t="s">
        <v>47</v>
      </c>
      <c r="E1098">
        <v>1000</v>
      </c>
      <c r="F1098" s="66" t="s">
        <v>7</v>
      </c>
      <c r="G1098" s="66" t="s">
        <v>9</v>
      </c>
      <c r="H1098" s="66" t="str">
        <f>TEXT(Data[[#This Row],[Buchung]],"MMM")</f>
        <v>Jan</v>
      </c>
      <c r="I1098" s="67">
        <f>YEAR(Data[[#This Row],[Buchung]])</f>
        <v>2018</v>
      </c>
      <c r="J1098" s="2">
        <f>ABS(Data[[#This Row],[Betrag]])</f>
        <v>1000</v>
      </c>
      <c r="K1098" s="66" t="str">
        <f>IF(Data[[#This Row],[Betrag]]&lt;0,"A","E")</f>
        <v>E</v>
      </c>
    </row>
    <row r="1099" spans="1:11" x14ac:dyDescent="0.25">
      <c r="A1099" s="1">
        <v>43102</v>
      </c>
      <c r="B1099" s="66" t="s">
        <v>48</v>
      </c>
      <c r="C1099" s="66" t="s">
        <v>49</v>
      </c>
      <c r="D1099" t="s">
        <v>50</v>
      </c>
      <c r="E1099">
        <v>-15</v>
      </c>
      <c r="F1099" s="66" t="s">
        <v>7</v>
      </c>
      <c r="G1099" s="66" t="s">
        <v>8</v>
      </c>
      <c r="H1099" s="66" t="str">
        <f>TEXT(Data[[#This Row],[Buchung]],"MMM")</f>
        <v>Jan</v>
      </c>
      <c r="I1099" s="67">
        <f>YEAR(Data[[#This Row],[Buchung]])</f>
        <v>2018</v>
      </c>
      <c r="J1099" s="2">
        <f>ABS(Data[[#This Row],[Betrag]])</f>
        <v>15</v>
      </c>
      <c r="K1099" s="66" t="str">
        <f>IF(Data[[#This Row],[Betrag]]&lt;0,"A","E")</f>
        <v>A</v>
      </c>
    </row>
    <row r="1100" spans="1:11" x14ac:dyDescent="0.25">
      <c r="A1100" s="1">
        <v>43103</v>
      </c>
      <c r="B1100" s="66" t="s">
        <v>51</v>
      </c>
      <c r="C1100" s="66" t="s">
        <v>52</v>
      </c>
      <c r="D1100" t="s">
        <v>53</v>
      </c>
      <c r="E1100">
        <v>-350</v>
      </c>
      <c r="F1100" s="66" t="s">
        <v>7</v>
      </c>
      <c r="G1100" s="66" t="s">
        <v>11</v>
      </c>
      <c r="H1100" s="66" t="str">
        <f>TEXT(Data[[#This Row],[Buchung]],"MMM")</f>
        <v>Jan</v>
      </c>
      <c r="I1100" s="67">
        <f>YEAR(Data[[#This Row],[Buchung]])</f>
        <v>2018</v>
      </c>
      <c r="J1100" s="2">
        <f>ABS(Data[[#This Row],[Betrag]])</f>
        <v>350</v>
      </c>
      <c r="K1100" s="66" t="str">
        <f>IF(Data[[#This Row],[Betrag]]&lt;0,"A","E")</f>
        <v>A</v>
      </c>
    </row>
    <row r="1101" spans="1:11" x14ac:dyDescent="0.25">
      <c r="A1101" s="1">
        <v>43104</v>
      </c>
      <c r="B1101" s="66" t="s">
        <v>54</v>
      </c>
      <c r="C1101" s="66" t="s">
        <v>55</v>
      </c>
      <c r="D1101" t="s">
        <v>56</v>
      </c>
      <c r="E1101">
        <v>-120</v>
      </c>
      <c r="F1101" s="66" t="s">
        <v>7</v>
      </c>
      <c r="G1101" s="66" t="s">
        <v>57</v>
      </c>
      <c r="H1101" s="66" t="str">
        <f>TEXT(Data[[#This Row],[Buchung]],"MMM")</f>
        <v>Jan</v>
      </c>
      <c r="I1101" s="67">
        <f>YEAR(Data[[#This Row],[Buchung]])</f>
        <v>2018</v>
      </c>
      <c r="J1101" s="2">
        <f>ABS(Data[[#This Row],[Betrag]])</f>
        <v>120</v>
      </c>
      <c r="K1101" s="66" t="str">
        <f>IF(Data[[#This Row],[Betrag]]&lt;0,"A","E")</f>
        <v>A</v>
      </c>
    </row>
    <row r="1102" spans="1:11" x14ac:dyDescent="0.25">
      <c r="A1102" s="1">
        <v>43105</v>
      </c>
      <c r="B1102" s="66" t="s">
        <v>58</v>
      </c>
      <c r="C1102" s="66" t="s">
        <v>59</v>
      </c>
      <c r="D1102" t="s">
        <v>60</v>
      </c>
      <c r="E1102">
        <v>-80</v>
      </c>
      <c r="F1102" s="66" t="s">
        <v>7</v>
      </c>
      <c r="G1102" s="66" t="s">
        <v>10</v>
      </c>
      <c r="H1102" s="66" t="str">
        <f>TEXT(Data[[#This Row],[Buchung]],"MMM")</f>
        <v>Jan</v>
      </c>
      <c r="I1102" s="67">
        <f>YEAR(Data[[#This Row],[Buchung]])</f>
        <v>2018</v>
      </c>
      <c r="J1102" s="2">
        <f>ABS(Data[[#This Row],[Betrag]])</f>
        <v>80</v>
      </c>
      <c r="K1102" s="66" t="str">
        <f>IF(Data[[#This Row],[Betrag]]&lt;0,"A","E")</f>
        <v>A</v>
      </c>
    </row>
    <row r="1103" spans="1:11" x14ac:dyDescent="0.25">
      <c r="A1103" s="1">
        <v>43106</v>
      </c>
      <c r="B1103" s="66" t="s">
        <v>45</v>
      </c>
      <c r="C1103" s="66" t="s">
        <v>46</v>
      </c>
      <c r="D1103" t="s">
        <v>47</v>
      </c>
      <c r="E1103">
        <v>1000</v>
      </c>
      <c r="F1103" s="66" t="s">
        <v>7</v>
      </c>
      <c r="G1103" s="66" t="s">
        <v>9</v>
      </c>
      <c r="H1103" s="66" t="str">
        <f>TEXT(Data[[#This Row],[Buchung]],"MMM")</f>
        <v>Jan</v>
      </c>
      <c r="I1103" s="67">
        <f>YEAR(Data[[#This Row],[Buchung]])</f>
        <v>2018</v>
      </c>
      <c r="J1103" s="2">
        <f>ABS(Data[[#This Row],[Betrag]])</f>
        <v>1000</v>
      </c>
      <c r="K1103" s="66" t="str">
        <f>IF(Data[[#This Row],[Betrag]]&lt;0,"A","E")</f>
        <v>E</v>
      </c>
    </row>
    <row r="1104" spans="1:11" x14ac:dyDescent="0.25">
      <c r="A1104" s="1">
        <v>43107</v>
      </c>
      <c r="B1104" s="66" t="s">
        <v>61</v>
      </c>
      <c r="C1104" s="66" t="s">
        <v>49</v>
      </c>
      <c r="D1104" t="s">
        <v>62</v>
      </c>
      <c r="E1104">
        <v>-10</v>
      </c>
      <c r="F1104" s="66" t="s">
        <v>7</v>
      </c>
      <c r="G1104" s="66" t="s">
        <v>8</v>
      </c>
      <c r="H1104" s="66" t="str">
        <f>TEXT(Data[[#This Row],[Buchung]],"MMM")</f>
        <v>Jan</v>
      </c>
      <c r="I1104" s="67">
        <f>YEAR(Data[[#This Row],[Buchung]])</f>
        <v>2018</v>
      </c>
      <c r="J1104" s="2">
        <f>ABS(Data[[#This Row],[Betrag]])</f>
        <v>10</v>
      </c>
      <c r="K1104" s="66" t="str">
        <f>IF(Data[[#This Row],[Betrag]]&lt;0,"A","E")</f>
        <v>A</v>
      </c>
    </row>
    <row r="1105" spans="1:11" x14ac:dyDescent="0.25">
      <c r="A1105" s="1">
        <v>43108</v>
      </c>
      <c r="B1105" s="66" t="s">
        <v>63</v>
      </c>
      <c r="C1105" s="66" t="s">
        <v>64</v>
      </c>
      <c r="D1105" t="s">
        <v>65</v>
      </c>
      <c r="E1105">
        <v>-65</v>
      </c>
      <c r="F1105" s="66" t="s">
        <v>7</v>
      </c>
      <c r="G1105" s="66" t="s">
        <v>11</v>
      </c>
      <c r="H1105" s="66" t="str">
        <f>TEXT(Data[[#This Row],[Buchung]],"MMM")</f>
        <v>Jan</v>
      </c>
      <c r="I1105" s="67">
        <f>YEAR(Data[[#This Row],[Buchung]])</f>
        <v>2018</v>
      </c>
      <c r="J1105" s="2">
        <f>ABS(Data[[#This Row],[Betrag]])</f>
        <v>65</v>
      </c>
      <c r="K1105" s="66" t="str">
        <f>IF(Data[[#This Row],[Betrag]]&lt;0,"A","E")</f>
        <v>A</v>
      </c>
    </row>
    <row r="1106" spans="1:11" x14ac:dyDescent="0.25">
      <c r="A1106" s="1">
        <v>43109</v>
      </c>
      <c r="B1106" s="66" t="s">
        <v>54</v>
      </c>
      <c r="C1106" s="66" t="s">
        <v>55</v>
      </c>
      <c r="D1106" t="s">
        <v>66</v>
      </c>
      <c r="E1106">
        <v>-80</v>
      </c>
      <c r="F1106" s="66" t="s">
        <v>7</v>
      </c>
      <c r="G1106" s="66" t="s">
        <v>57</v>
      </c>
      <c r="H1106" s="66" t="str">
        <f>TEXT(Data[[#This Row],[Buchung]],"MMM")</f>
        <v>Jan</v>
      </c>
      <c r="I1106" s="67">
        <f>YEAR(Data[[#This Row],[Buchung]])</f>
        <v>2018</v>
      </c>
      <c r="J1106" s="2">
        <f>ABS(Data[[#This Row],[Betrag]])</f>
        <v>80</v>
      </c>
      <c r="K1106" s="66" t="str">
        <f>IF(Data[[#This Row],[Betrag]]&lt;0,"A","E")</f>
        <v>A</v>
      </c>
    </row>
    <row r="1107" spans="1:11" x14ac:dyDescent="0.25">
      <c r="A1107" s="1">
        <v>43110</v>
      </c>
      <c r="B1107" s="66" t="s">
        <v>67</v>
      </c>
      <c r="C1107" s="66" t="s">
        <v>59</v>
      </c>
      <c r="D1107" t="s">
        <v>68</v>
      </c>
      <c r="E1107">
        <v>-35</v>
      </c>
      <c r="F1107" s="66" t="s">
        <v>7</v>
      </c>
      <c r="G1107" s="66" t="s">
        <v>10</v>
      </c>
      <c r="H1107" s="66" t="str">
        <f>TEXT(Data[[#This Row],[Buchung]],"MMM")</f>
        <v>Jan</v>
      </c>
      <c r="I1107" s="67">
        <f>YEAR(Data[[#This Row],[Buchung]])</f>
        <v>2018</v>
      </c>
      <c r="J1107" s="2">
        <f>ABS(Data[[#This Row],[Betrag]])</f>
        <v>35</v>
      </c>
      <c r="K1107" s="66" t="str">
        <f>IF(Data[[#This Row],[Betrag]]&lt;0,"A","E")</f>
        <v>A</v>
      </c>
    </row>
    <row r="1108" spans="1:11" x14ac:dyDescent="0.25">
      <c r="A1108" s="1">
        <v>43111</v>
      </c>
      <c r="B1108" s="66" t="s">
        <v>45</v>
      </c>
      <c r="C1108" s="66" t="s">
        <v>46</v>
      </c>
      <c r="D1108" t="s">
        <v>47</v>
      </c>
      <c r="E1108">
        <v>1000</v>
      </c>
      <c r="F1108" s="66" t="s">
        <v>7</v>
      </c>
      <c r="G1108" s="66" t="s">
        <v>9</v>
      </c>
      <c r="H1108" s="66" t="str">
        <f>TEXT(Data[[#This Row],[Buchung]],"MMM")</f>
        <v>Jan</v>
      </c>
      <c r="I1108" s="67">
        <f>YEAR(Data[[#This Row],[Buchung]])</f>
        <v>2018</v>
      </c>
      <c r="J1108" s="2">
        <f>ABS(Data[[#This Row],[Betrag]])</f>
        <v>1000</v>
      </c>
      <c r="K1108" s="66" t="str">
        <f>IF(Data[[#This Row],[Betrag]]&lt;0,"A","E")</f>
        <v>E</v>
      </c>
    </row>
    <row r="1109" spans="1:11" x14ac:dyDescent="0.25">
      <c r="A1109" s="1">
        <v>43112</v>
      </c>
      <c r="B1109" s="66" t="s">
        <v>45</v>
      </c>
      <c r="C1109" s="66" t="s">
        <v>46</v>
      </c>
      <c r="D1109" t="s">
        <v>47</v>
      </c>
      <c r="E1109">
        <v>1000</v>
      </c>
      <c r="F1109" s="66" t="s">
        <v>7</v>
      </c>
      <c r="G1109" s="66" t="s">
        <v>9</v>
      </c>
      <c r="H1109" s="66" t="str">
        <f>TEXT(Data[[#This Row],[Buchung]],"MMM")</f>
        <v>Jan</v>
      </c>
      <c r="I1109" s="67">
        <f>YEAR(Data[[#This Row],[Buchung]])</f>
        <v>2018</v>
      </c>
      <c r="J1109" s="2">
        <f>ABS(Data[[#This Row],[Betrag]])</f>
        <v>1000</v>
      </c>
      <c r="K1109" s="66" t="str">
        <f>IF(Data[[#This Row],[Betrag]]&lt;0,"A","E")</f>
        <v>E</v>
      </c>
    </row>
    <row r="1110" spans="1:11" x14ac:dyDescent="0.25">
      <c r="A1110" s="1">
        <v>43113</v>
      </c>
      <c r="B1110" s="66" t="s">
        <v>48</v>
      </c>
      <c r="C1110" s="66" t="s">
        <v>49</v>
      </c>
      <c r="D1110" t="s">
        <v>50</v>
      </c>
      <c r="E1110">
        <v>-15</v>
      </c>
      <c r="F1110" s="66" t="s">
        <v>7</v>
      </c>
      <c r="G1110" s="66" t="s">
        <v>8</v>
      </c>
      <c r="H1110" s="66" t="str">
        <f>TEXT(Data[[#This Row],[Buchung]],"MMM")</f>
        <v>Jan</v>
      </c>
      <c r="I1110" s="67">
        <f>YEAR(Data[[#This Row],[Buchung]])</f>
        <v>2018</v>
      </c>
      <c r="J1110" s="2">
        <f>ABS(Data[[#This Row],[Betrag]])</f>
        <v>15</v>
      </c>
      <c r="K1110" s="66" t="str">
        <f>IF(Data[[#This Row],[Betrag]]&lt;0,"A","E")</f>
        <v>A</v>
      </c>
    </row>
    <row r="1111" spans="1:11" x14ac:dyDescent="0.25">
      <c r="A1111" s="1">
        <v>43114</v>
      </c>
      <c r="B1111" s="66" t="s">
        <v>51</v>
      </c>
      <c r="C1111" s="66" t="s">
        <v>52</v>
      </c>
      <c r="D1111" t="s">
        <v>53</v>
      </c>
      <c r="E1111">
        <v>-350</v>
      </c>
      <c r="F1111" s="66" t="s">
        <v>7</v>
      </c>
      <c r="G1111" s="66" t="s">
        <v>11</v>
      </c>
      <c r="H1111" s="66" t="str">
        <f>TEXT(Data[[#This Row],[Buchung]],"MMM")</f>
        <v>Jan</v>
      </c>
      <c r="I1111" s="67">
        <f>YEAR(Data[[#This Row],[Buchung]])</f>
        <v>2018</v>
      </c>
      <c r="J1111" s="2">
        <f>ABS(Data[[#This Row],[Betrag]])</f>
        <v>350</v>
      </c>
      <c r="K1111" s="66" t="str">
        <f>IF(Data[[#This Row],[Betrag]]&lt;0,"A","E")</f>
        <v>A</v>
      </c>
    </row>
    <row r="1112" spans="1:11" x14ac:dyDescent="0.25">
      <c r="A1112" s="1">
        <v>43115</v>
      </c>
      <c r="B1112" s="66" t="s">
        <v>54</v>
      </c>
      <c r="C1112" s="66" t="s">
        <v>55</v>
      </c>
      <c r="D1112" t="s">
        <v>56</v>
      </c>
      <c r="E1112">
        <v>-120</v>
      </c>
      <c r="F1112" s="66" t="s">
        <v>7</v>
      </c>
      <c r="G1112" s="66" t="s">
        <v>57</v>
      </c>
      <c r="H1112" s="66" t="str">
        <f>TEXT(Data[[#This Row],[Buchung]],"MMM")</f>
        <v>Jan</v>
      </c>
      <c r="I1112" s="67">
        <f>YEAR(Data[[#This Row],[Buchung]])</f>
        <v>2018</v>
      </c>
      <c r="J1112" s="2">
        <f>ABS(Data[[#This Row],[Betrag]])</f>
        <v>120</v>
      </c>
      <c r="K1112" s="66" t="str">
        <f>IF(Data[[#This Row],[Betrag]]&lt;0,"A","E")</f>
        <v>A</v>
      </c>
    </row>
    <row r="1113" spans="1:11" x14ac:dyDescent="0.25">
      <c r="A1113" s="1">
        <v>43116</v>
      </c>
      <c r="B1113" s="66" t="s">
        <v>58</v>
      </c>
      <c r="C1113" s="66" t="s">
        <v>59</v>
      </c>
      <c r="D1113" t="s">
        <v>60</v>
      </c>
      <c r="E1113">
        <v>-50</v>
      </c>
      <c r="F1113" s="66" t="s">
        <v>7</v>
      </c>
      <c r="G1113" s="66" t="s">
        <v>10</v>
      </c>
      <c r="H1113" s="66" t="str">
        <f>TEXT(Data[[#This Row],[Buchung]],"MMM")</f>
        <v>Jan</v>
      </c>
      <c r="I1113" s="67">
        <f>YEAR(Data[[#This Row],[Buchung]])</f>
        <v>2018</v>
      </c>
      <c r="J1113" s="2">
        <f>ABS(Data[[#This Row],[Betrag]])</f>
        <v>50</v>
      </c>
      <c r="K1113" s="66" t="str">
        <f>IF(Data[[#This Row],[Betrag]]&lt;0,"A","E")</f>
        <v>A</v>
      </c>
    </row>
    <row r="1114" spans="1:11" x14ac:dyDescent="0.25">
      <c r="A1114" s="1">
        <v>43117</v>
      </c>
      <c r="B1114" s="66" t="s">
        <v>45</v>
      </c>
      <c r="C1114" s="66" t="s">
        <v>46</v>
      </c>
      <c r="D1114" t="s">
        <v>47</v>
      </c>
      <c r="E1114">
        <v>1000</v>
      </c>
      <c r="F1114" s="66" t="s">
        <v>7</v>
      </c>
      <c r="G1114" s="66" t="s">
        <v>9</v>
      </c>
      <c r="H1114" s="66" t="str">
        <f>TEXT(Data[[#This Row],[Buchung]],"MMM")</f>
        <v>Jan</v>
      </c>
      <c r="I1114" s="67">
        <f>YEAR(Data[[#This Row],[Buchung]])</f>
        <v>2018</v>
      </c>
      <c r="J1114" s="2">
        <f>ABS(Data[[#This Row],[Betrag]])</f>
        <v>1000</v>
      </c>
      <c r="K1114" s="66" t="str">
        <f>IF(Data[[#This Row],[Betrag]]&lt;0,"A","E")</f>
        <v>E</v>
      </c>
    </row>
    <row r="1115" spans="1:11" x14ac:dyDescent="0.25">
      <c r="A1115" s="1">
        <v>43118</v>
      </c>
      <c r="B1115" s="66" t="s">
        <v>61</v>
      </c>
      <c r="C1115" s="66" t="s">
        <v>49</v>
      </c>
      <c r="D1115" t="s">
        <v>62</v>
      </c>
      <c r="E1115">
        <v>-10</v>
      </c>
      <c r="F1115" s="66" t="s">
        <v>7</v>
      </c>
      <c r="G1115" s="66" t="s">
        <v>8</v>
      </c>
      <c r="H1115" s="66" t="str">
        <f>TEXT(Data[[#This Row],[Buchung]],"MMM")</f>
        <v>Jan</v>
      </c>
      <c r="I1115" s="67">
        <f>YEAR(Data[[#This Row],[Buchung]])</f>
        <v>2018</v>
      </c>
      <c r="J1115" s="2">
        <f>ABS(Data[[#This Row],[Betrag]])</f>
        <v>10</v>
      </c>
      <c r="K1115" s="66" t="str">
        <f>IF(Data[[#This Row],[Betrag]]&lt;0,"A","E")</f>
        <v>A</v>
      </c>
    </row>
    <row r="1116" spans="1:11" x14ac:dyDescent="0.25">
      <c r="A1116" s="1">
        <v>43119</v>
      </c>
      <c r="B1116" s="66" t="s">
        <v>63</v>
      </c>
      <c r="C1116" s="66" t="s">
        <v>64</v>
      </c>
      <c r="D1116" t="s">
        <v>65</v>
      </c>
      <c r="E1116">
        <v>-60</v>
      </c>
      <c r="F1116" s="66" t="s">
        <v>7</v>
      </c>
      <c r="G1116" s="66" t="s">
        <v>11</v>
      </c>
      <c r="H1116" s="66" t="str">
        <f>TEXT(Data[[#This Row],[Buchung]],"MMM")</f>
        <v>Jan</v>
      </c>
      <c r="I1116" s="67">
        <f>YEAR(Data[[#This Row],[Buchung]])</f>
        <v>2018</v>
      </c>
      <c r="J1116" s="2">
        <f>ABS(Data[[#This Row],[Betrag]])</f>
        <v>60</v>
      </c>
      <c r="K1116" s="66" t="str">
        <f>IF(Data[[#This Row],[Betrag]]&lt;0,"A","E")</f>
        <v>A</v>
      </c>
    </row>
    <row r="1117" spans="1:11" x14ac:dyDescent="0.25">
      <c r="A1117" s="1">
        <v>43120</v>
      </c>
      <c r="B1117" s="66" t="s">
        <v>54</v>
      </c>
      <c r="C1117" s="66" t="s">
        <v>55</v>
      </c>
      <c r="D1117" t="s">
        <v>66</v>
      </c>
      <c r="E1117">
        <v>-80</v>
      </c>
      <c r="F1117" s="66" t="s">
        <v>7</v>
      </c>
      <c r="G1117" s="66" t="s">
        <v>57</v>
      </c>
      <c r="H1117" s="66" t="str">
        <f>TEXT(Data[[#This Row],[Buchung]],"MMM")</f>
        <v>Jan</v>
      </c>
      <c r="I1117" s="67">
        <f>YEAR(Data[[#This Row],[Buchung]])</f>
        <v>2018</v>
      </c>
      <c r="J1117" s="2">
        <f>ABS(Data[[#This Row],[Betrag]])</f>
        <v>80</v>
      </c>
      <c r="K1117" s="66" t="str">
        <f>IF(Data[[#This Row],[Betrag]]&lt;0,"A","E")</f>
        <v>A</v>
      </c>
    </row>
    <row r="1118" spans="1:11" x14ac:dyDescent="0.25">
      <c r="A1118" s="1">
        <v>43121</v>
      </c>
      <c r="B1118" s="66" t="s">
        <v>67</v>
      </c>
      <c r="C1118" s="66" t="s">
        <v>59</v>
      </c>
      <c r="D1118" t="s">
        <v>68</v>
      </c>
      <c r="E1118">
        <v>-20</v>
      </c>
      <c r="F1118" s="66" t="s">
        <v>7</v>
      </c>
      <c r="G1118" s="66" t="s">
        <v>10</v>
      </c>
      <c r="H1118" s="66" t="str">
        <f>TEXT(Data[[#This Row],[Buchung]],"MMM")</f>
        <v>Jan</v>
      </c>
      <c r="I1118" s="67">
        <f>YEAR(Data[[#This Row],[Buchung]])</f>
        <v>2018</v>
      </c>
      <c r="J1118" s="2">
        <f>ABS(Data[[#This Row],[Betrag]])</f>
        <v>20</v>
      </c>
      <c r="K1118" s="66" t="str">
        <f>IF(Data[[#This Row],[Betrag]]&lt;0,"A","E")</f>
        <v>A</v>
      </c>
    </row>
    <row r="1119" spans="1:11" x14ac:dyDescent="0.25">
      <c r="A1119" s="1">
        <v>43122</v>
      </c>
      <c r="B1119" s="66" t="s">
        <v>45</v>
      </c>
      <c r="C1119" s="66" t="s">
        <v>46</v>
      </c>
      <c r="D1119" t="s">
        <v>47</v>
      </c>
      <c r="E1119">
        <v>1000</v>
      </c>
      <c r="F1119" s="66" t="s">
        <v>7</v>
      </c>
      <c r="G1119" s="66" t="s">
        <v>9</v>
      </c>
      <c r="H1119" s="66" t="str">
        <f>TEXT(Data[[#This Row],[Buchung]],"MMM")</f>
        <v>Jan</v>
      </c>
      <c r="I1119" s="67">
        <f>YEAR(Data[[#This Row],[Buchung]])</f>
        <v>2018</v>
      </c>
      <c r="J1119" s="2">
        <f>ABS(Data[[#This Row],[Betrag]])</f>
        <v>1000</v>
      </c>
      <c r="K1119" s="66" t="str">
        <f>IF(Data[[#This Row],[Betrag]]&lt;0,"A","E")</f>
        <v>E</v>
      </c>
    </row>
    <row r="1120" spans="1:11" x14ac:dyDescent="0.25">
      <c r="A1120" s="1">
        <v>43123</v>
      </c>
      <c r="B1120" s="66" t="s">
        <v>48</v>
      </c>
      <c r="C1120" s="66" t="s">
        <v>49</v>
      </c>
      <c r="D1120" t="s">
        <v>50</v>
      </c>
      <c r="E1120">
        <v>-15</v>
      </c>
      <c r="F1120" s="66" t="s">
        <v>7</v>
      </c>
      <c r="G1120" s="66" t="s">
        <v>8</v>
      </c>
      <c r="H1120" s="66" t="str">
        <f>TEXT(Data[[#This Row],[Buchung]],"MMM")</f>
        <v>Jan</v>
      </c>
      <c r="I1120" s="67">
        <f>YEAR(Data[[#This Row],[Buchung]])</f>
        <v>2018</v>
      </c>
      <c r="J1120" s="2">
        <f>ABS(Data[[#This Row],[Betrag]])</f>
        <v>15</v>
      </c>
      <c r="K1120" s="66" t="str">
        <f>IF(Data[[#This Row],[Betrag]]&lt;0,"A","E")</f>
        <v>A</v>
      </c>
    </row>
    <row r="1121" spans="1:11" x14ac:dyDescent="0.25">
      <c r="A1121" s="1">
        <v>43124</v>
      </c>
      <c r="B1121" s="66" t="s">
        <v>51</v>
      </c>
      <c r="C1121" s="66" t="s">
        <v>52</v>
      </c>
      <c r="D1121" t="s">
        <v>53</v>
      </c>
      <c r="E1121">
        <v>-350</v>
      </c>
      <c r="F1121" s="66" t="s">
        <v>7</v>
      </c>
      <c r="G1121" s="66" t="s">
        <v>11</v>
      </c>
      <c r="H1121" s="66" t="str">
        <f>TEXT(Data[[#This Row],[Buchung]],"MMM")</f>
        <v>Jan</v>
      </c>
      <c r="I1121" s="67">
        <f>YEAR(Data[[#This Row],[Buchung]])</f>
        <v>2018</v>
      </c>
      <c r="J1121" s="2">
        <f>ABS(Data[[#This Row],[Betrag]])</f>
        <v>350</v>
      </c>
      <c r="K1121" s="66" t="str">
        <f>IF(Data[[#This Row],[Betrag]]&lt;0,"A","E")</f>
        <v>A</v>
      </c>
    </row>
    <row r="1122" spans="1:11" x14ac:dyDescent="0.25">
      <c r="A1122" s="1">
        <v>43125</v>
      </c>
      <c r="B1122" s="66" t="s">
        <v>54</v>
      </c>
      <c r="C1122" s="66" t="s">
        <v>55</v>
      </c>
      <c r="D1122" t="s">
        <v>56</v>
      </c>
      <c r="E1122">
        <v>-120</v>
      </c>
      <c r="F1122" s="66" t="s">
        <v>7</v>
      </c>
      <c r="G1122" s="66" t="s">
        <v>57</v>
      </c>
      <c r="H1122" s="66" t="str">
        <f>TEXT(Data[[#This Row],[Buchung]],"MMM")</f>
        <v>Jan</v>
      </c>
      <c r="I1122" s="67">
        <f>YEAR(Data[[#This Row],[Buchung]])</f>
        <v>2018</v>
      </c>
      <c r="J1122" s="2">
        <f>ABS(Data[[#This Row],[Betrag]])</f>
        <v>120</v>
      </c>
      <c r="K1122" s="66" t="str">
        <f>IF(Data[[#This Row],[Betrag]]&lt;0,"A","E")</f>
        <v>A</v>
      </c>
    </row>
    <row r="1123" spans="1:11" x14ac:dyDescent="0.25">
      <c r="A1123" s="1">
        <v>43126</v>
      </c>
      <c r="B1123" s="66" t="s">
        <v>58</v>
      </c>
      <c r="C1123" s="66" t="s">
        <v>59</v>
      </c>
      <c r="D1123" t="s">
        <v>60</v>
      </c>
      <c r="E1123">
        <v>-60</v>
      </c>
      <c r="F1123" s="66" t="s">
        <v>7</v>
      </c>
      <c r="G1123" s="66" t="s">
        <v>10</v>
      </c>
      <c r="H1123" s="66" t="str">
        <f>TEXT(Data[[#This Row],[Buchung]],"MMM")</f>
        <v>Jan</v>
      </c>
      <c r="I1123" s="67">
        <f>YEAR(Data[[#This Row],[Buchung]])</f>
        <v>2018</v>
      </c>
      <c r="J1123" s="2">
        <f>ABS(Data[[#This Row],[Betrag]])</f>
        <v>60</v>
      </c>
      <c r="K1123" s="66" t="str">
        <f>IF(Data[[#This Row],[Betrag]]&lt;0,"A","E")</f>
        <v>A</v>
      </c>
    </row>
    <row r="1124" spans="1:11" x14ac:dyDescent="0.25">
      <c r="A1124" s="1">
        <v>43127</v>
      </c>
      <c r="B1124" s="66" t="s">
        <v>45</v>
      </c>
      <c r="C1124" s="66" t="s">
        <v>46</v>
      </c>
      <c r="D1124" t="s">
        <v>47</v>
      </c>
      <c r="E1124">
        <v>1000</v>
      </c>
      <c r="F1124" s="66" t="s">
        <v>7</v>
      </c>
      <c r="G1124" s="66" t="s">
        <v>9</v>
      </c>
      <c r="H1124" s="66" t="str">
        <f>TEXT(Data[[#This Row],[Buchung]],"MMM")</f>
        <v>Jan</v>
      </c>
      <c r="I1124" s="67">
        <f>YEAR(Data[[#This Row],[Buchung]])</f>
        <v>2018</v>
      </c>
      <c r="J1124" s="2">
        <f>ABS(Data[[#This Row],[Betrag]])</f>
        <v>1000</v>
      </c>
      <c r="K1124" s="66" t="str">
        <f>IF(Data[[#This Row],[Betrag]]&lt;0,"A","E")</f>
        <v>E</v>
      </c>
    </row>
    <row r="1125" spans="1:11" x14ac:dyDescent="0.25">
      <c r="A1125" s="1">
        <v>43128</v>
      </c>
      <c r="B1125" s="66" t="s">
        <v>61</v>
      </c>
      <c r="C1125" s="66" t="s">
        <v>49</v>
      </c>
      <c r="D1125" t="s">
        <v>62</v>
      </c>
      <c r="E1125">
        <v>-10</v>
      </c>
      <c r="F1125" s="66" t="s">
        <v>7</v>
      </c>
      <c r="G1125" s="66" t="s">
        <v>8</v>
      </c>
      <c r="H1125" s="66" t="str">
        <f>TEXT(Data[[#This Row],[Buchung]],"MMM")</f>
        <v>Jan</v>
      </c>
      <c r="I1125" s="67">
        <f>YEAR(Data[[#This Row],[Buchung]])</f>
        <v>2018</v>
      </c>
      <c r="J1125" s="2">
        <f>ABS(Data[[#This Row],[Betrag]])</f>
        <v>10</v>
      </c>
      <c r="K1125" s="66" t="str">
        <f>IF(Data[[#This Row],[Betrag]]&lt;0,"A","E")</f>
        <v>A</v>
      </c>
    </row>
    <row r="1126" spans="1:11" x14ac:dyDescent="0.25">
      <c r="A1126" s="1">
        <v>43129</v>
      </c>
      <c r="B1126" s="66" t="s">
        <v>63</v>
      </c>
      <c r="C1126" s="66" t="s">
        <v>64</v>
      </c>
      <c r="D1126" t="s">
        <v>65</v>
      </c>
      <c r="E1126">
        <v>-70</v>
      </c>
      <c r="F1126" s="66" t="s">
        <v>7</v>
      </c>
      <c r="G1126" s="66" t="s">
        <v>11</v>
      </c>
      <c r="H1126" s="66" t="str">
        <f>TEXT(Data[[#This Row],[Buchung]],"MMM")</f>
        <v>Jan</v>
      </c>
      <c r="I1126" s="67">
        <f>YEAR(Data[[#This Row],[Buchung]])</f>
        <v>2018</v>
      </c>
      <c r="J1126" s="2">
        <f>ABS(Data[[#This Row],[Betrag]])</f>
        <v>70</v>
      </c>
      <c r="K1126" s="66" t="str">
        <f>IF(Data[[#This Row],[Betrag]]&lt;0,"A","E")</f>
        <v>A</v>
      </c>
    </row>
    <row r="1127" spans="1:11" x14ac:dyDescent="0.25">
      <c r="A1127" s="1">
        <v>43130</v>
      </c>
      <c r="B1127" s="66" t="s">
        <v>54</v>
      </c>
      <c r="C1127" s="66" t="s">
        <v>55</v>
      </c>
      <c r="D1127" t="s">
        <v>66</v>
      </c>
      <c r="E1127">
        <v>-80</v>
      </c>
      <c r="F1127" s="66" t="s">
        <v>7</v>
      </c>
      <c r="G1127" s="66" t="s">
        <v>57</v>
      </c>
      <c r="H1127" s="66" t="str">
        <f>TEXT(Data[[#This Row],[Buchung]],"MMM")</f>
        <v>Jan</v>
      </c>
      <c r="I1127" s="67">
        <f>YEAR(Data[[#This Row],[Buchung]])</f>
        <v>2018</v>
      </c>
      <c r="J1127" s="2">
        <f>ABS(Data[[#This Row],[Betrag]])</f>
        <v>80</v>
      </c>
      <c r="K1127" s="66" t="str">
        <f>IF(Data[[#This Row],[Betrag]]&lt;0,"A","E")</f>
        <v>A</v>
      </c>
    </row>
    <row r="1128" spans="1:11" x14ac:dyDescent="0.25">
      <c r="A1128" s="1">
        <v>43131</v>
      </c>
      <c r="B1128" s="66" t="s">
        <v>67</v>
      </c>
      <c r="C1128" s="66" t="s">
        <v>59</v>
      </c>
      <c r="D1128" t="s">
        <v>68</v>
      </c>
      <c r="E1128">
        <v>-25</v>
      </c>
      <c r="F1128" s="66" t="s">
        <v>7</v>
      </c>
      <c r="G1128" s="66" t="s">
        <v>10</v>
      </c>
      <c r="H1128" s="66" t="str">
        <f>TEXT(Data[[#This Row],[Buchung]],"MMM")</f>
        <v>Jan</v>
      </c>
      <c r="I1128" s="67">
        <f>YEAR(Data[[#This Row],[Buchung]])</f>
        <v>2018</v>
      </c>
      <c r="J1128" s="2">
        <f>ABS(Data[[#This Row],[Betrag]])</f>
        <v>25</v>
      </c>
      <c r="K1128" s="66" t="str">
        <f>IF(Data[[#This Row],[Betrag]]&lt;0,"A","E")</f>
        <v>A</v>
      </c>
    </row>
    <row r="1129" spans="1:11" x14ac:dyDescent="0.25">
      <c r="A1129" s="1">
        <v>43132</v>
      </c>
      <c r="B1129" s="66" t="s">
        <v>45</v>
      </c>
      <c r="C1129" s="66" t="s">
        <v>46</v>
      </c>
      <c r="D1129" t="s">
        <v>47</v>
      </c>
      <c r="E1129">
        <v>1000</v>
      </c>
      <c r="F1129" s="66" t="s">
        <v>7</v>
      </c>
      <c r="G1129" s="66" t="s">
        <v>9</v>
      </c>
      <c r="H1129" s="66" t="str">
        <f>TEXT(Data[[#This Row],[Buchung]],"MMM")</f>
        <v>Feb</v>
      </c>
      <c r="I1129" s="67">
        <f>YEAR(Data[[#This Row],[Buchung]])</f>
        <v>2018</v>
      </c>
      <c r="J1129" s="2">
        <f>ABS(Data[[#This Row],[Betrag]])</f>
        <v>1000</v>
      </c>
      <c r="K1129" s="66" t="str">
        <f>IF(Data[[#This Row],[Betrag]]&lt;0,"A","E")</f>
        <v>E</v>
      </c>
    </row>
    <row r="1130" spans="1:11" x14ac:dyDescent="0.25">
      <c r="A1130" s="1">
        <v>43133</v>
      </c>
      <c r="B1130" s="66" t="s">
        <v>48</v>
      </c>
      <c r="C1130" s="66" t="s">
        <v>49</v>
      </c>
      <c r="D1130" t="s">
        <v>50</v>
      </c>
      <c r="E1130">
        <v>-15</v>
      </c>
      <c r="F1130" s="66" t="s">
        <v>7</v>
      </c>
      <c r="G1130" s="66" t="s">
        <v>8</v>
      </c>
      <c r="H1130" s="66" t="str">
        <f>TEXT(Data[[#This Row],[Buchung]],"MMM")</f>
        <v>Feb</v>
      </c>
      <c r="I1130" s="67">
        <f>YEAR(Data[[#This Row],[Buchung]])</f>
        <v>2018</v>
      </c>
      <c r="J1130" s="2">
        <f>ABS(Data[[#This Row],[Betrag]])</f>
        <v>15</v>
      </c>
      <c r="K1130" s="66" t="str">
        <f>IF(Data[[#This Row],[Betrag]]&lt;0,"A","E")</f>
        <v>A</v>
      </c>
    </row>
    <row r="1131" spans="1:11" x14ac:dyDescent="0.25">
      <c r="A1131" s="1">
        <v>43134</v>
      </c>
      <c r="B1131" s="66" t="s">
        <v>51</v>
      </c>
      <c r="C1131" s="66" t="s">
        <v>52</v>
      </c>
      <c r="D1131" t="s">
        <v>53</v>
      </c>
      <c r="E1131">
        <v>-350</v>
      </c>
      <c r="F1131" s="66" t="s">
        <v>7</v>
      </c>
      <c r="G1131" s="66" t="s">
        <v>11</v>
      </c>
      <c r="H1131" s="66" t="str">
        <f>TEXT(Data[[#This Row],[Buchung]],"MMM")</f>
        <v>Feb</v>
      </c>
      <c r="I1131" s="67">
        <f>YEAR(Data[[#This Row],[Buchung]])</f>
        <v>2018</v>
      </c>
      <c r="J1131" s="2">
        <f>ABS(Data[[#This Row],[Betrag]])</f>
        <v>350</v>
      </c>
      <c r="K1131" s="66" t="str">
        <f>IF(Data[[#This Row],[Betrag]]&lt;0,"A","E")</f>
        <v>A</v>
      </c>
    </row>
    <row r="1132" spans="1:11" x14ac:dyDescent="0.25">
      <c r="A1132" s="1">
        <v>43135</v>
      </c>
      <c r="B1132" s="66" t="s">
        <v>54</v>
      </c>
      <c r="C1132" s="66" t="s">
        <v>55</v>
      </c>
      <c r="D1132" t="s">
        <v>56</v>
      </c>
      <c r="E1132">
        <v>-120</v>
      </c>
      <c r="F1132" s="66" t="s">
        <v>7</v>
      </c>
      <c r="G1132" s="66" t="s">
        <v>57</v>
      </c>
      <c r="H1132" s="66" t="str">
        <f>TEXT(Data[[#This Row],[Buchung]],"MMM")</f>
        <v>Feb</v>
      </c>
      <c r="I1132" s="67">
        <f>YEAR(Data[[#This Row],[Buchung]])</f>
        <v>2018</v>
      </c>
      <c r="J1132" s="2">
        <f>ABS(Data[[#This Row],[Betrag]])</f>
        <v>120</v>
      </c>
      <c r="K1132" s="66" t="str">
        <f>IF(Data[[#This Row],[Betrag]]&lt;0,"A","E")</f>
        <v>A</v>
      </c>
    </row>
    <row r="1133" spans="1:11" x14ac:dyDescent="0.25">
      <c r="A1133" s="1">
        <v>43136</v>
      </c>
      <c r="B1133" s="66" t="s">
        <v>58</v>
      </c>
      <c r="C1133" s="66" t="s">
        <v>59</v>
      </c>
      <c r="D1133" t="s">
        <v>60</v>
      </c>
      <c r="E1133">
        <v>-70</v>
      </c>
      <c r="F1133" s="66" t="s">
        <v>7</v>
      </c>
      <c r="G1133" s="66" t="s">
        <v>10</v>
      </c>
      <c r="H1133" s="66" t="str">
        <f>TEXT(Data[[#This Row],[Buchung]],"MMM")</f>
        <v>Feb</v>
      </c>
      <c r="I1133" s="67">
        <f>YEAR(Data[[#This Row],[Buchung]])</f>
        <v>2018</v>
      </c>
      <c r="J1133" s="2">
        <f>ABS(Data[[#This Row],[Betrag]])</f>
        <v>70</v>
      </c>
      <c r="K1133" s="66" t="str">
        <f>IF(Data[[#This Row],[Betrag]]&lt;0,"A","E")</f>
        <v>A</v>
      </c>
    </row>
    <row r="1134" spans="1:11" x14ac:dyDescent="0.25">
      <c r="A1134" s="1">
        <v>43137</v>
      </c>
      <c r="B1134" s="66" t="s">
        <v>45</v>
      </c>
      <c r="C1134" s="66" t="s">
        <v>46</v>
      </c>
      <c r="D1134" t="s">
        <v>47</v>
      </c>
      <c r="E1134">
        <v>1000</v>
      </c>
      <c r="F1134" s="66" t="s">
        <v>7</v>
      </c>
      <c r="G1134" s="66" t="s">
        <v>9</v>
      </c>
      <c r="H1134" s="66" t="str">
        <f>TEXT(Data[[#This Row],[Buchung]],"MMM")</f>
        <v>Feb</v>
      </c>
      <c r="I1134" s="67">
        <f>YEAR(Data[[#This Row],[Buchung]])</f>
        <v>2018</v>
      </c>
      <c r="J1134" s="2">
        <f>ABS(Data[[#This Row],[Betrag]])</f>
        <v>1000</v>
      </c>
      <c r="K1134" s="66" t="str">
        <f>IF(Data[[#This Row],[Betrag]]&lt;0,"A","E")</f>
        <v>E</v>
      </c>
    </row>
    <row r="1135" spans="1:11" x14ac:dyDescent="0.25">
      <c r="A1135" s="1">
        <v>43138</v>
      </c>
      <c r="B1135" s="66" t="s">
        <v>61</v>
      </c>
      <c r="C1135" s="66" t="s">
        <v>49</v>
      </c>
      <c r="D1135" t="s">
        <v>62</v>
      </c>
      <c r="E1135">
        <v>-10</v>
      </c>
      <c r="F1135" s="66" t="s">
        <v>7</v>
      </c>
      <c r="G1135" s="66" t="s">
        <v>8</v>
      </c>
      <c r="H1135" s="66" t="str">
        <f>TEXT(Data[[#This Row],[Buchung]],"MMM")</f>
        <v>Feb</v>
      </c>
      <c r="I1135" s="67">
        <f>YEAR(Data[[#This Row],[Buchung]])</f>
        <v>2018</v>
      </c>
      <c r="J1135" s="2">
        <f>ABS(Data[[#This Row],[Betrag]])</f>
        <v>10</v>
      </c>
      <c r="K1135" s="66" t="str">
        <f>IF(Data[[#This Row],[Betrag]]&lt;0,"A","E")</f>
        <v>A</v>
      </c>
    </row>
    <row r="1136" spans="1:11" x14ac:dyDescent="0.25">
      <c r="A1136" s="1">
        <v>43139</v>
      </c>
      <c r="B1136" s="66" t="s">
        <v>63</v>
      </c>
      <c r="C1136" s="66" t="s">
        <v>64</v>
      </c>
      <c r="D1136" t="s">
        <v>65</v>
      </c>
      <c r="E1136">
        <v>-60</v>
      </c>
      <c r="F1136" s="66" t="s">
        <v>7</v>
      </c>
      <c r="G1136" s="66" t="s">
        <v>11</v>
      </c>
      <c r="H1136" s="66" t="str">
        <f>TEXT(Data[[#This Row],[Buchung]],"MMM")</f>
        <v>Feb</v>
      </c>
      <c r="I1136" s="67">
        <f>YEAR(Data[[#This Row],[Buchung]])</f>
        <v>2018</v>
      </c>
      <c r="J1136" s="2">
        <f>ABS(Data[[#This Row],[Betrag]])</f>
        <v>60</v>
      </c>
      <c r="K1136" s="66" t="str">
        <f>IF(Data[[#This Row],[Betrag]]&lt;0,"A","E")</f>
        <v>A</v>
      </c>
    </row>
    <row r="1137" spans="1:11" x14ac:dyDescent="0.25">
      <c r="A1137" s="1">
        <v>43140</v>
      </c>
      <c r="B1137" s="66" t="s">
        <v>54</v>
      </c>
      <c r="C1137" s="66" t="s">
        <v>55</v>
      </c>
      <c r="D1137" t="s">
        <v>66</v>
      </c>
      <c r="E1137">
        <v>-80</v>
      </c>
      <c r="F1137" s="66" t="s">
        <v>7</v>
      </c>
      <c r="G1137" s="66" t="s">
        <v>57</v>
      </c>
      <c r="H1137" s="66" t="str">
        <f>TEXT(Data[[#This Row],[Buchung]],"MMM")</f>
        <v>Feb</v>
      </c>
      <c r="I1137" s="67">
        <f>YEAR(Data[[#This Row],[Buchung]])</f>
        <v>2018</v>
      </c>
      <c r="J1137" s="2">
        <f>ABS(Data[[#This Row],[Betrag]])</f>
        <v>80</v>
      </c>
      <c r="K1137" s="66" t="str">
        <f>IF(Data[[#This Row],[Betrag]]&lt;0,"A","E")</f>
        <v>A</v>
      </c>
    </row>
    <row r="1138" spans="1:11" x14ac:dyDescent="0.25">
      <c r="A1138" s="1">
        <v>43141</v>
      </c>
      <c r="B1138" s="66" t="s">
        <v>67</v>
      </c>
      <c r="C1138" s="66" t="s">
        <v>59</v>
      </c>
      <c r="D1138" t="s">
        <v>68</v>
      </c>
      <c r="E1138">
        <v>-30</v>
      </c>
      <c r="F1138" s="66" t="s">
        <v>7</v>
      </c>
      <c r="G1138" s="66" t="s">
        <v>10</v>
      </c>
      <c r="H1138" s="66" t="str">
        <f>TEXT(Data[[#This Row],[Buchung]],"MMM")</f>
        <v>Feb</v>
      </c>
      <c r="I1138" s="67">
        <f>YEAR(Data[[#This Row],[Buchung]])</f>
        <v>2018</v>
      </c>
      <c r="J1138" s="2">
        <f>ABS(Data[[#This Row],[Betrag]])</f>
        <v>30</v>
      </c>
      <c r="K1138" s="66" t="str">
        <f>IF(Data[[#This Row],[Betrag]]&lt;0,"A","E")</f>
        <v>A</v>
      </c>
    </row>
    <row r="1139" spans="1:11" x14ac:dyDescent="0.25">
      <c r="A1139" s="1">
        <v>43142</v>
      </c>
      <c r="B1139" s="66" t="s">
        <v>45</v>
      </c>
      <c r="C1139" s="66" t="s">
        <v>46</v>
      </c>
      <c r="D1139" t="s">
        <v>47</v>
      </c>
      <c r="E1139">
        <v>1000</v>
      </c>
      <c r="F1139" s="66" t="s">
        <v>7</v>
      </c>
      <c r="G1139" s="66" t="s">
        <v>9</v>
      </c>
      <c r="H1139" s="66" t="str">
        <f>TEXT(Data[[#This Row],[Buchung]],"MMM")</f>
        <v>Feb</v>
      </c>
      <c r="I1139" s="67">
        <f>YEAR(Data[[#This Row],[Buchung]])</f>
        <v>2018</v>
      </c>
      <c r="J1139" s="2">
        <f>ABS(Data[[#This Row],[Betrag]])</f>
        <v>1000</v>
      </c>
      <c r="K1139" s="66" t="str">
        <f>IF(Data[[#This Row],[Betrag]]&lt;0,"A","E")</f>
        <v>E</v>
      </c>
    </row>
    <row r="1140" spans="1:11" x14ac:dyDescent="0.25">
      <c r="A1140" s="1">
        <v>43143</v>
      </c>
      <c r="B1140" s="66" t="s">
        <v>48</v>
      </c>
      <c r="C1140" s="66" t="s">
        <v>49</v>
      </c>
      <c r="D1140" t="s">
        <v>50</v>
      </c>
      <c r="E1140">
        <v>-15</v>
      </c>
      <c r="F1140" s="66" t="s">
        <v>7</v>
      </c>
      <c r="G1140" s="66" t="s">
        <v>8</v>
      </c>
      <c r="H1140" s="66" t="str">
        <f>TEXT(Data[[#This Row],[Buchung]],"MMM")</f>
        <v>Feb</v>
      </c>
      <c r="I1140" s="67">
        <f>YEAR(Data[[#This Row],[Buchung]])</f>
        <v>2018</v>
      </c>
      <c r="J1140" s="2">
        <f>ABS(Data[[#This Row],[Betrag]])</f>
        <v>15</v>
      </c>
      <c r="K1140" s="66" t="str">
        <f>IF(Data[[#This Row],[Betrag]]&lt;0,"A","E")</f>
        <v>A</v>
      </c>
    </row>
    <row r="1141" spans="1:11" x14ac:dyDescent="0.25">
      <c r="A1141" s="1">
        <v>43144</v>
      </c>
      <c r="B1141" s="66" t="s">
        <v>51</v>
      </c>
      <c r="C1141" s="66" t="s">
        <v>52</v>
      </c>
      <c r="D1141" t="s">
        <v>53</v>
      </c>
      <c r="E1141">
        <v>-350</v>
      </c>
      <c r="F1141" s="66" t="s">
        <v>7</v>
      </c>
      <c r="G1141" s="66" t="s">
        <v>11</v>
      </c>
      <c r="H1141" s="66" t="str">
        <f>TEXT(Data[[#This Row],[Buchung]],"MMM")</f>
        <v>Feb</v>
      </c>
      <c r="I1141" s="67">
        <f>YEAR(Data[[#This Row],[Buchung]])</f>
        <v>2018</v>
      </c>
      <c r="J1141" s="2">
        <f>ABS(Data[[#This Row],[Betrag]])</f>
        <v>350</v>
      </c>
      <c r="K1141" s="66" t="str">
        <f>IF(Data[[#This Row],[Betrag]]&lt;0,"A","E")</f>
        <v>A</v>
      </c>
    </row>
    <row r="1142" spans="1:11" x14ac:dyDescent="0.25">
      <c r="A1142" s="1">
        <v>43145</v>
      </c>
      <c r="B1142" s="66" t="s">
        <v>54</v>
      </c>
      <c r="C1142" s="66" t="s">
        <v>55</v>
      </c>
      <c r="D1142" t="s">
        <v>56</v>
      </c>
      <c r="E1142">
        <v>-120</v>
      </c>
      <c r="F1142" s="66" t="s">
        <v>7</v>
      </c>
      <c r="G1142" s="66" t="s">
        <v>57</v>
      </c>
      <c r="H1142" s="66" t="str">
        <f>TEXT(Data[[#This Row],[Buchung]],"MMM")</f>
        <v>Feb</v>
      </c>
      <c r="I1142" s="67">
        <f>YEAR(Data[[#This Row],[Buchung]])</f>
        <v>2018</v>
      </c>
      <c r="J1142" s="2">
        <f>ABS(Data[[#This Row],[Betrag]])</f>
        <v>120</v>
      </c>
      <c r="K1142" s="66" t="str">
        <f>IF(Data[[#This Row],[Betrag]]&lt;0,"A","E")</f>
        <v>A</v>
      </c>
    </row>
    <row r="1143" spans="1:11" x14ac:dyDescent="0.25">
      <c r="A1143" s="1">
        <v>43146</v>
      </c>
      <c r="B1143" s="66" t="s">
        <v>58</v>
      </c>
      <c r="C1143" s="66" t="s">
        <v>59</v>
      </c>
      <c r="D1143" t="s">
        <v>60</v>
      </c>
      <c r="E1143">
        <v>-80</v>
      </c>
      <c r="F1143" s="66" t="s">
        <v>7</v>
      </c>
      <c r="G1143" s="66" t="s">
        <v>10</v>
      </c>
      <c r="H1143" s="66" t="str">
        <f>TEXT(Data[[#This Row],[Buchung]],"MMM")</f>
        <v>Feb</v>
      </c>
      <c r="I1143" s="67">
        <f>YEAR(Data[[#This Row],[Buchung]])</f>
        <v>2018</v>
      </c>
      <c r="J1143" s="2">
        <f>ABS(Data[[#This Row],[Betrag]])</f>
        <v>80</v>
      </c>
      <c r="K1143" s="66" t="str">
        <f>IF(Data[[#This Row],[Betrag]]&lt;0,"A","E")</f>
        <v>A</v>
      </c>
    </row>
    <row r="1144" spans="1:11" x14ac:dyDescent="0.25">
      <c r="A1144" s="1">
        <v>43147</v>
      </c>
      <c r="B1144" s="66" t="s">
        <v>45</v>
      </c>
      <c r="C1144" s="66" t="s">
        <v>46</v>
      </c>
      <c r="D1144" t="s">
        <v>47</v>
      </c>
      <c r="E1144">
        <v>1000</v>
      </c>
      <c r="F1144" s="66" t="s">
        <v>7</v>
      </c>
      <c r="G1144" s="66" t="s">
        <v>9</v>
      </c>
      <c r="H1144" s="66" t="str">
        <f>TEXT(Data[[#This Row],[Buchung]],"MMM")</f>
        <v>Feb</v>
      </c>
      <c r="I1144" s="67">
        <f>YEAR(Data[[#This Row],[Buchung]])</f>
        <v>2018</v>
      </c>
      <c r="J1144" s="2">
        <f>ABS(Data[[#This Row],[Betrag]])</f>
        <v>1000</v>
      </c>
      <c r="K1144" s="66" t="str">
        <f>IF(Data[[#This Row],[Betrag]]&lt;0,"A","E")</f>
        <v>E</v>
      </c>
    </row>
    <row r="1145" spans="1:11" x14ac:dyDescent="0.25">
      <c r="A1145" s="1">
        <v>43148</v>
      </c>
      <c r="B1145" s="66" t="s">
        <v>61</v>
      </c>
      <c r="C1145" s="66" t="s">
        <v>49</v>
      </c>
      <c r="D1145" t="s">
        <v>62</v>
      </c>
      <c r="E1145">
        <v>-10</v>
      </c>
      <c r="F1145" s="66" t="s">
        <v>7</v>
      </c>
      <c r="G1145" s="66" t="s">
        <v>8</v>
      </c>
      <c r="H1145" s="66" t="str">
        <f>TEXT(Data[[#This Row],[Buchung]],"MMM")</f>
        <v>Feb</v>
      </c>
      <c r="I1145" s="67">
        <f>YEAR(Data[[#This Row],[Buchung]])</f>
        <v>2018</v>
      </c>
      <c r="J1145" s="2">
        <f>ABS(Data[[#This Row],[Betrag]])</f>
        <v>10</v>
      </c>
      <c r="K1145" s="66" t="str">
        <f>IF(Data[[#This Row],[Betrag]]&lt;0,"A","E")</f>
        <v>A</v>
      </c>
    </row>
    <row r="1146" spans="1:11" x14ac:dyDescent="0.25">
      <c r="A1146" s="1">
        <v>43149</v>
      </c>
      <c r="B1146" s="66" t="s">
        <v>63</v>
      </c>
      <c r="C1146" s="66" t="s">
        <v>64</v>
      </c>
      <c r="D1146" t="s">
        <v>65</v>
      </c>
      <c r="E1146">
        <v>-65</v>
      </c>
      <c r="F1146" s="66" t="s">
        <v>7</v>
      </c>
      <c r="G1146" s="66" t="s">
        <v>11</v>
      </c>
      <c r="H1146" s="66" t="str">
        <f>TEXT(Data[[#This Row],[Buchung]],"MMM")</f>
        <v>Feb</v>
      </c>
      <c r="I1146" s="67">
        <f>YEAR(Data[[#This Row],[Buchung]])</f>
        <v>2018</v>
      </c>
      <c r="J1146" s="2">
        <f>ABS(Data[[#This Row],[Betrag]])</f>
        <v>65</v>
      </c>
      <c r="K1146" s="66" t="str">
        <f>IF(Data[[#This Row],[Betrag]]&lt;0,"A","E")</f>
        <v>A</v>
      </c>
    </row>
    <row r="1147" spans="1:11" x14ac:dyDescent="0.25">
      <c r="A1147" s="1">
        <v>43150</v>
      </c>
      <c r="B1147" s="66" t="s">
        <v>54</v>
      </c>
      <c r="C1147" s="66" t="s">
        <v>55</v>
      </c>
      <c r="D1147" t="s">
        <v>66</v>
      </c>
      <c r="E1147">
        <v>-80</v>
      </c>
      <c r="F1147" s="66" t="s">
        <v>7</v>
      </c>
      <c r="G1147" s="66" t="s">
        <v>57</v>
      </c>
      <c r="H1147" s="66" t="str">
        <f>TEXT(Data[[#This Row],[Buchung]],"MMM")</f>
        <v>Feb</v>
      </c>
      <c r="I1147" s="67">
        <f>YEAR(Data[[#This Row],[Buchung]])</f>
        <v>2018</v>
      </c>
      <c r="J1147" s="2">
        <f>ABS(Data[[#This Row],[Betrag]])</f>
        <v>80</v>
      </c>
      <c r="K1147" s="66" t="str">
        <f>IF(Data[[#This Row],[Betrag]]&lt;0,"A","E")</f>
        <v>A</v>
      </c>
    </row>
    <row r="1148" spans="1:11" x14ac:dyDescent="0.25">
      <c r="A1148" s="1">
        <v>43151</v>
      </c>
      <c r="B1148" s="66" t="s">
        <v>67</v>
      </c>
      <c r="C1148" s="66" t="s">
        <v>59</v>
      </c>
      <c r="D1148" t="s">
        <v>68</v>
      </c>
      <c r="E1148">
        <v>-35</v>
      </c>
      <c r="F1148" s="66" t="s">
        <v>7</v>
      </c>
      <c r="G1148" s="66" t="s">
        <v>10</v>
      </c>
      <c r="H1148" s="66" t="str">
        <f>TEXT(Data[[#This Row],[Buchung]],"MMM")</f>
        <v>Feb</v>
      </c>
      <c r="I1148" s="67">
        <f>YEAR(Data[[#This Row],[Buchung]])</f>
        <v>2018</v>
      </c>
      <c r="J1148" s="2">
        <f>ABS(Data[[#This Row],[Betrag]])</f>
        <v>35</v>
      </c>
      <c r="K1148" s="66" t="str">
        <f>IF(Data[[#This Row],[Betrag]]&lt;0,"A","E")</f>
        <v>A</v>
      </c>
    </row>
    <row r="1149" spans="1:11" x14ac:dyDescent="0.25">
      <c r="A1149" s="1">
        <v>43152</v>
      </c>
      <c r="B1149" s="66" t="s">
        <v>45</v>
      </c>
      <c r="C1149" s="66" t="s">
        <v>46</v>
      </c>
      <c r="D1149" t="s">
        <v>47</v>
      </c>
      <c r="E1149">
        <v>1000</v>
      </c>
      <c r="F1149" s="66" t="s">
        <v>7</v>
      </c>
      <c r="G1149" s="66" t="s">
        <v>9</v>
      </c>
      <c r="H1149" s="66" t="str">
        <f>TEXT(Data[[#This Row],[Buchung]],"MMM")</f>
        <v>Feb</v>
      </c>
      <c r="I1149" s="67">
        <f>YEAR(Data[[#This Row],[Buchung]])</f>
        <v>2018</v>
      </c>
      <c r="J1149" s="2">
        <f>ABS(Data[[#This Row],[Betrag]])</f>
        <v>1000</v>
      </c>
      <c r="K1149" s="66" t="str">
        <f>IF(Data[[#This Row],[Betrag]]&lt;0,"A","E")</f>
        <v>E</v>
      </c>
    </row>
    <row r="1150" spans="1:11" x14ac:dyDescent="0.25">
      <c r="A1150" s="1">
        <v>43153</v>
      </c>
      <c r="B1150" s="66" t="s">
        <v>45</v>
      </c>
      <c r="C1150" s="66" t="s">
        <v>46</v>
      </c>
      <c r="D1150" t="s">
        <v>47</v>
      </c>
      <c r="E1150">
        <v>1000</v>
      </c>
      <c r="F1150" s="66" t="s">
        <v>7</v>
      </c>
      <c r="G1150" s="66" t="s">
        <v>9</v>
      </c>
      <c r="H1150" s="66" t="str">
        <f>TEXT(Data[[#This Row],[Buchung]],"MMM")</f>
        <v>Feb</v>
      </c>
      <c r="I1150" s="67">
        <f>YEAR(Data[[#This Row],[Buchung]])</f>
        <v>2018</v>
      </c>
      <c r="J1150" s="2">
        <f>ABS(Data[[#This Row],[Betrag]])</f>
        <v>1000</v>
      </c>
      <c r="K1150" s="66" t="str">
        <f>IF(Data[[#This Row],[Betrag]]&lt;0,"A","E")</f>
        <v>E</v>
      </c>
    </row>
    <row r="1151" spans="1:11" x14ac:dyDescent="0.25">
      <c r="A1151" s="1">
        <v>43154</v>
      </c>
      <c r="B1151" s="66" t="s">
        <v>48</v>
      </c>
      <c r="C1151" s="66" t="s">
        <v>49</v>
      </c>
      <c r="D1151" t="s">
        <v>50</v>
      </c>
      <c r="E1151">
        <v>-15</v>
      </c>
      <c r="F1151" s="66" t="s">
        <v>7</v>
      </c>
      <c r="G1151" s="66" t="s">
        <v>8</v>
      </c>
      <c r="H1151" s="66" t="str">
        <f>TEXT(Data[[#This Row],[Buchung]],"MMM")</f>
        <v>Feb</v>
      </c>
      <c r="I1151" s="67">
        <f>YEAR(Data[[#This Row],[Buchung]])</f>
        <v>2018</v>
      </c>
      <c r="J1151" s="2">
        <f>ABS(Data[[#This Row],[Betrag]])</f>
        <v>15</v>
      </c>
      <c r="K1151" s="66" t="str">
        <f>IF(Data[[#This Row],[Betrag]]&lt;0,"A","E")</f>
        <v>A</v>
      </c>
    </row>
    <row r="1152" spans="1:11" x14ac:dyDescent="0.25">
      <c r="A1152" s="1">
        <v>43155</v>
      </c>
      <c r="B1152" s="66" t="s">
        <v>51</v>
      </c>
      <c r="C1152" s="66" t="s">
        <v>52</v>
      </c>
      <c r="D1152" t="s">
        <v>53</v>
      </c>
      <c r="E1152">
        <v>-350</v>
      </c>
      <c r="F1152" s="66" t="s">
        <v>7</v>
      </c>
      <c r="G1152" s="66" t="s">
        <v>11</v>
      </c>
      <c r="H1152" s="66" t="str">
        <f>TEXT(Data[[#This Row],[Buchung]],"MMM")</f>
        <v>Feb</v>
      </c>
      <c r="I1152" s="67">
        <f>YEAR(Data[[#This Row],[Buchung]])</f>
        <v>2018</v>
      </c>
      <c r="J1152" s="2">
        <f>ABS(Data[[#This Row],[Betrag]])</f>
        <v>350</v>
      </c>
      <c r="K1152" s="66" t="str">
        <f>IF(Data[[#This Row],[Betrag]]&lt;0,"A","E")</f>
        <v>A</v>
      </c>
    </row>
    <row r="1153" spans="1:11" x14ac:dyDescent="0.25">
      <c r="A1153" s="1">
        <v>43156</v>
      </c>
      <c r="B1153" s="66" t="s">
        <v>54</v>
      </c>
      <c r="C1153" s="66" t="s">
        <v>55</v>
      </c>
      <c r="D1153" t="s">
        <v>56</v>
      </c>
      <c r="E1153">
        <v>-120</v>
      </c>
      <c r="F1153" s="66" t="s">
        <v>7</v>
      </c>
      <c r="G1153" s="66" t="s">
        <v>57</v>
      </c>
      <c r="H1153" s="66" t="str">
        <f>TEXT(Data[[#This Row],[Buchung]],"MMM")</f>
        <v>Feb</v>
      </c>
      <c r="I1153" s="67">
        <f>YEAR(Data[[#This Row],[Buchung]])</f>
        <v>2018</v>
      </c>
      <c r="J1153" s="2">
        <f>ABS(Data[[#This Row],[Betrag]])</f>
        <v>120</v>
      </c>
      <c r="K1153" s="66" t="str">
        <f>IF(Data[[#This Row],[Betrag]]&lt;0,"A","E")</f>
        <v>A</v>
      </c>
    </row>
    <row r="1154" spans="1:11" x14ac:dyDescent="0.25">
      <c r="A1154" s="1">
        <v>43157</v>
      </c>
      <c r="B1154" s="66" t="s">
        <v>58</v>
      </c>
      <c r="C1154" s="66" t="s">
        <v>59</v>
      </c>
      <c r="D1154" t="s">
        <v>60</v>
      </c>
      <c r="E1154">
        <v>-50</v>
      </c>
      <c r="F1154" s="66" t="s">
        <v>7</v>
      </c>
      <c r="G1154" s="66" t="s">
        <v>10</v>
      </c>
      <c r="H1154" s="66" t="str">
        <f>TEXT(Data[[#This Row],[Buchung]],"MMM")</f>
        <v>Feb</v>
      </c>
      <c r="I1154" s="67">
        <f>YEAR(Data[[#This Row],[Buchung]])</f>
        <v>2018</v>
      </c>
      <c r="J1154" s="2">
        <f>ABS(Data[[#This Row],[Betrag]])</f>
        <v>50</v>
      </c>
      <c r="K1154" s="66" t="str">
        <f>IF(Data[[#This Row],[Betrag]]&lt;0,"A","E")</f>
        <v>A</v>
      </c>
    </row>
    <row r="1155" spans="1:11" x14ac:dyDescent="0.25">
      <c r="A1155" s="1">
        <v>43158</v>
      </c>
      <c r="B1155" s="66" t="s">
        <v>45</v>
      </c>
      <c r="C1155" s="66" t="s">
        <v>46</v>
      </c>
      <c r="D1155" t="s">
        <v>47</v>
      </c>
      <c r="E1155">
        <v>1000</v>
      </c>
      <c r="F1155" s="66" t="s">
        <v>7</v>
      </c>
      <c r="G1155" s="66" t="s">
        <v>9</v>
      </c>
      <c r="H1155" s="66" t="str">
        <f>TEXT(Data[[#This Row],[Buchung]],"MMM")</f>
        <v>Feb</v>
      </c>
      <c r="I1155" s="67">
        <f>YEAR(Data[[#This Row],[Buchung]])</f>
        <v>2018</v>
      </c>
      <c r="J1155" s="2">
        <f>ABS(Data[[#This Row],[Betrag]])</f>
        <v>1000</v>
      </c>
      <c r="K1155" s="66" t="str">
        <f>IF(Data[[#This Row],[Betrag]]&lt;0,"A","E")</f>
        <v>E</v>
      </c>
    </row>
    <row r="1156" spans="1:11" x14ac:dyDescent="0.25">
      <c r="A1156" s="1">
        <v>43159</v>
      </c>
      <c r="B1156" s="66" t="s">
        <v>61</v>
      </c>
      <c r="C1156" s="66" t="s">
        <v>49</v>
      </c>
      <c r="D1156" t="s">
        <v>62</v>
      </c>
      <c r="E1156">
        <v>-10</v>
      </c>
      <c r="F1156" s="66" t="s">
        <v>7</v>
      </c>
      <c r="G1156" s="66" t="s">
        <v>8</v>
      </c>
      <c r="H1156" s="66" t="str">
        <f>TEXT(Data[[#This Row],[Buchung]],"MMM")</f>
        <v>Feb</v>
      </c>
      <c r="I1156" s="67">
        <f>YEAR(Data[[#This Row],[Buchung]])</f>
        <v>2018</v>
      </c>
      <c r="J1156" s="2">
        <f>ABS(Data[[#This Row],[Betrag]])</f>
        <v>10</v>
      </c>
      <c r="K1156" s="66" t="str">
        <f>IF(Data[[#This Row],[Betrag]]&lt;0,"A","E")</f>
        <v>A</v>
      </c>
    </row>
    <row r="1157" spans="1:11" x14ac:dyDescent="0.25">
      <c r="A1157" s="1">
        <v>43160</v>
      </c>
      <c r="B1157" s="66" t="s">
        <v>63</v>
      </c>
      <c r="C1157" s="66" t="s">
        <v>64</v>
      </c>
      <c r="D1157" t="s">
        <v>65</v>
      </c>
      <c r="E1157">
        <v>-60</v>
      </c>
      <c r="F1157" s="66" t="s">
        <v>7</v>
      </c>
      <c r="G1157" s="66" t="s">
        <v>11</v>
      </c>
      <c r="H1157" s="66" t="str">
        <f>TEXT(Data[[#This Row],[Buchung]],"MMM")</f>
        <v>Mrz</v>
      </c>
      <c r="I1157" s="67">
        <f>YEAR(Data[[#This Row],[Buchung]])</f>
        <v>2018</v>
      </c>
      <c r="J1157" s="2">
        <f>ABS(Data[[#This Row],[Betrag]])</f>
        <v>60</v>
      </c>
      <c r="K1157" s="66" t="str">
        <f>IF(Data[[#This Row],[Betrag]]&lt;0,"A","E")</f>
        <v>A</v>
      </c>
    </row>
    <row r="1158" spans="1:11" x14ac:dyDescent="0.25">
      <c r="A1158" s="1">
        <v>43161</v>
      </c>
      <c r="B1158" s="66" t="s">
        <v>54</v>
      </c>
      <c r="C1158" s="66" t="s">
        <v>55</v>
      </c>
      <c r="D1158" t="s">
        <v>66</v>
      </c>
      <c r="E1158">
        <v>-80</v>
      </c>
      <c r="F1158" s="66" t="s">
        <v>7</v>
      </c>
      <c r="G1158" s="66" t="s">
        <v>57</v>
      </c>
      <c r="H1158" s="66" t="str">
        <f>TEXT(Data[[#This Row],[Buchung]],"MMM")</f>
        <v>Mrz</v>
      </c>
      <c r="I1158" s="67">
        <f>YEAR(Data[[#This Row],[Buchung]])</f>
        <v>2018</v>
      </c>
      <c r="J1158" s="2">
        <f>ABS(Data[[#This Row],[Betrag]])</f>
        <v>80</v>
      </c>
      <c r="K1158" s="66" t="str">
        <f>IF(Data[[#This Row],[Betrag]]&lt;0,"A","E")</f>
        <v>A</v>
      </c>
    </row>
    <row r="1159" spans="1:11" x14ac:dyDescent="0.25">
      <c r="A1159" s="1">
        <v>43162</v>
      </c>
      <c r="B1159" s="66" t="s">
        <v>67</v>
      </c>
      <c r="C1159" s="66" t="s">
        <v>59</v>
      </c>
      <c r="D1159" t="s">
        <v>68</v>
      </c>
      <c r="E1159">
        <v>-20</v>
      </c>
      <c r="F1159" s="66" t="s">
        <v>7</v>
      </c>
      <c r="G1159" s="66" t="s">
        <v>10</v>
      </c>
      <c r="H1159" s="66" t="str">
        <f>TEXT(Data[[#This Row],[Buchung]],"MMM")</f>
        <v>Mrz</v>
      </c>
      <c r="I1159" s="67">
        <f>YEAR(Data[[#This Row],[Buchung]])</f>
        <v>2018</v>
      </c>
      <c r="J1159" s="2">
        <f>ABS(Data[[#This Row],[Betrag]])</f>
        <v>20</v>
      </c>
      <c r="K1159" s="66" t="str">
        <f>IF(Data[[#This Row],[Betrag]]&lt;0,"A","E")</f>
        <v>A</v>
      </c>
    </row>
    <row r="1160" spans="1:11" x14ac:dyDescent="0.25">
      <c r="A1160" s="1">
        <v>43163</v>
      </c>
      <c r="B1160" s="66" t="s">
        <v>45</v>
      </c>
      <c r="C1160" s="66" t="s">
        <v>46</v>
      </c>
      <c r="D1160" t="s">
        <v>47</v>
      </c>
      <c r="E1160">
        <v>1000</v>
      </c>
      <c r="F1160" s="66" t="s">
        <v>7</v>
      </c>
      <c r="G1160" s="66" t="s">
        <v>9</v>
      </c>
      <c r="H1160" s="66" t="str">
        <f>TEXT(Data[[#This Row],[Buchung]],"MMM")</f>
        <v>Mrz</v>
      </c>
      <c r="I1160" s="67">
        <f>YEAR(Data[[#This Row],[Buchung]])</f>
        <v>2018</v>
      </c>
      <c r="J1160" s="2">
        <f>ABS(Data[[#This Row],[Betrag]])</f>
        <v>1000</v>
      </c>
      <c r="K1160" s="66" t="str">
        <f>IF(Data[[#This Row],[Betrag]]&lt;0,"A","E")</f>
        <v>E</v>
      </c>
    </row>
    <row r="1161" spans="1:11" x14ac:dyDescent="0.25">
      <c r="A1161" s="1">
        <v>43164</v>
      </c>
      <c r="B1161" s="66" t="s">
        <v>48</v>
      </c>
      <c r="C1161" s="66" t="s">
        <v>49</v>
      </c>
      <c r="D1161" t="s">
        <v>50</v>
      </c>
      <c r="E1161">
        <v>-15</v>
      </c>
      <c r="F1161" s="66" t="s">
        <v>7</v>
      </c>
      <c r="G1161" s="66" t="s">
        <v>8</v>
      </c>
      <c r="H1161" s="66" t="str">
        <f>TEXT(Data[[#This Row],[Buchung]],"MMM")</f>
        <v>Mrz</v>
      </c>
      <c r="I1161" s="67">
        <f>YEAR(Data[[#This Row],[Buchung]])</f>
        <v>2018</v>
      </c>
      <c r="J1161" s="2">
        <f>ABS(Data[[#This Row],[Betrag]])</f>
        <v>15</v>
      </c>
      <c r="K1161" s="66" t="str">
        <f>IF(Data[[#This Row],[Betrag]]&lt;0,"A","E")</f>
        <v>A</v>
      </c>
    </row>
    <row r="1162" spans="1:11" x14ac:dyDescent="0.25">
      <c r="A1162" s="1">
        <v>43165</v>
      </c>
      <c r="B1162" s="66" t="s">
        <v>51</v>
      </c>
      <c r="C1162" s="66" t="s">
        <v>52</v>
      </c>
      <c r="D1162" t="s">
        <v>53</v>
      </c>
      <c r="E1162">
        <v>-350</v>
      </c>
      <c r="F1162" s="66" t="s">
        <v>7</v>
      </c>
      <c r="G1162" s="66" t="s">
        <v>11</v>
      </c>
      <c r="H1162" s="66" t="str">
        <f>TEXT(Data[[#This Row],[Buchung]],"MMM")</f>
        <v>Mrz</v>
      </c>
      <c r="I1162" s="67">
        <f>YEAR(Data[[#This Row],[Buchung]])</f>
        <v>2018</v>
      </c>
      <c r="J1162" s="2">
        <f>ABS(Data[[#This Row],[Betrag]])</f>
        <v>350</v>
      </c>
      <c r="K1162" s="66" t="str">
        <f>IF(Data[[#This Row],[Betrag]]&lt;0,"A","E")</f>
        <v>A</v>
      </c>
    </row>
    <row r="1163" spans="1:11" x14ac:dyDescent="0.25">
      <c r="A1163" s="1">
        <v>43166</v>
      </c>
      <c r="B1163" s="66" t="s">
        <v>54</v>
      </c>
      <c r="C1163" s="66" t="s">
        <v>55</v>
      </c>
      <c r="D1163" t="s">
        <v>56</v>
      </c>
      <c r="E1163">
        <v>-120</v>
      </c>
      <c r="F1163" s="66" t="s">
        <v>7</v>
      </c>
      <c r="G1163" s="66" t="s">
        <v>57</v>
      </c>
      <c r="H1163" s="66" t="str">
        <f>TEXT(Data[[#This Row],[Buchung]],"MMM")</f>
        <v>Mrz</v>
      </c>
      <c r="I1163" s="67">
        <f>YEAR(Data[[#This Row],[Buchung]])</f>
        <v>2018</v>
      </c>
      <c r="J1163" s="2">
        <f>ABS(Data[[#This Row],[Betrag]])</f>
        <v>120</v>
      </c>
      <c r="K1163" s="66" t="str">
        <f>IF(Data[[#This Row],[Betrag]]&lt;0,"A","E")</f>
        <v>A</v>
      </c>
    </row>
    <row r="1164" spans="1:11" x14ac:dyDescent="0.25">
      <c r="A1164" s="1">
        <v>43167</v>
      </c>
      <c r="B1164" s="66" t="s">
        <v>58</v>
      </c>
      <c r="C1164" s="66" t="s">
        <v>59</v>
      </c>
      <c r="D1164" t="s">
        <v>60</v>
      </c>
      <c r="E1164">
        <v>-60</v>
      </c>
      <c r="F1164" s="66" t="s">
        <v>7</v>
      </c>
      <c r="G1164" s="66" t="s">
        <v>10</v>
      </c>
      <c r="H1164" s="66" t="str">
        <f>TEXT(Data[[#This Row],[Buchung]],"MMM")</f>
        <v>Mrz</v>
      </c>
      <c r="I1164" s="67">
        <f>YEAR(Data[[#This Row],[Buchung]])</f>
        <v>2018</v>
      </c>
      <c r="J1164" s="2">
        <f>ABS(Data[[#This Row],[Betrag]])</f>
        <v>60</v>
      </c>
      <c r="K1164" s="66" t="str">
        <f>IF(Data[[#This Row],[Betrag]]&lt;0,"A","E")</f>
        <v>A</v>
      </c>
    </row>
    <row r="1165" spans="1:11" x14ac:dyDescent="0.25">
      <c r="A1165" s="1">
        <v>43168</v>
      </c>
      <c r="B1165" s="66" t="s">
        <v>45</v>
      </c>
      <c r="C1165" s="66" t="s">
        <v>46</v>
      </c>
      <c r="D1165" t="s">
        <v>47</v>
      </c>
      <c r="E1165">
        <v>1000</v>
      </c>
      <c r="F1165" s="66" t="s">
        <v>7</v>
      </c>
      <c r="G1165" s="66" t="s">
        <v>9</v>
      </c>
      <c r="H1165" s="66" t="str">
        <f>TEXT(Data[[#This Row],[Buchung]],"MMM")</f>
        <v>Mrz</v>
      </c>
      <c r="I1165" s="67">
        <f>YEAR(Data[[#This Row],[Buchung]])</f>
        <v>2018</v>
      </c>
      <c r="J1165" s="2">
        <f>ABS(Data[[#This Row],[Betrag]])</f>
        <v>1000</v>
      </c>
      <c r="K1165" s="66" t="str">
        <f>IF(Data[[#This Row],[Betrag]]&lt;0,"A","E")</f>
        <v>E</v>
      </c>
    </row>
    <row r="1166" spans="1:11" x14ac:dyDescent="0.25">
      <c r="A1166" s="1">
        <v>43169</v>
      </c>
      <c r="B1166" s="66" t="s">
        <v>61</v>
      </c>
      <c r="C1166" s="66" t="s">
        <v>49</v>
      </c>
      <c r="D1166" t="s">
        <v>62</v>
      </c>
      <c r="E1166">
        <v>-10</v>
      </c>
      <c r="F1166" s="66" t="s">
        <v>7</v>
      </c>
      <c r="G1166" s="66" t="s">
        <v>8</v>
      </c>
      <c r="H1166" s="66" t="str">
        <f>TEXT(Data[[#This Row],[Buchung]],"MMM")</f>
        <v>Mrz</v>
      </c>
      <c r="I1166" s="67">
        <f>YEAR(Data[[#This Row],[Buchung]])</f>
        <v>2018</v>
      </c>
      <c r="J1166" s="2">
        <f>ABS(Data[[#This Row],[Betrag]])</f>
        <v>10</v>
      </c>
      <c r="K1166" s="66" t="str">
        <f>IF(Data[[#This Row],[Betrag]]&lt;0,"A","E")</f>
        <v>A</v>
      </c>
    </row>
    <row r="1167" spans="1:11" x14ac:dyDescent="0.25">
      <c r="A1167" s="1">
        <v>43170</v>
      </c>
      <c r="B1167" s="66" t="s">
        <v>63</v>
      </c>
      <c r="C1167" s="66" t="s">
        <v>64</v>
      </c>
      <c r="D1167" t="s">
        <v>65</v>
      </c>
      <c r="E1167">
        <v>-70</v>
      </c>
      <c r="F1167" s="66" t="s">
        <v>7</v>
      </c>
      <c r="G1167" s="66" t="s">
        <v>11</v>
      </c>
      <c r="H1167" s="66" t="str">
        <f>TEXT(Data[[#This Row],[Buchung]],"MMM")</f>
        <v>Mrz</v>
      </c>
      <c r="I1167" s="67">
        <f>YEAR(Data[[#This Row],[Buchung]])</f>
        <v>2018</v>
      </c>
      <c r="J1167" s="2">
        <f>ABS(Data[[#This Row],[Betrag]])</f>
        <v>70</v>
      </c>
      <c r="K1167" s="66" t="str">
        <f>IF(Data[[#This Row],[Betrag]]&lt;0,"A","E")</f>
        <v>A</v>
      </c>
    </row>
    <row r="1168" spans="1:11" x14ac:dyDescent="0.25">
      <c r="A1168" s="1">
        <v>43171</v>
      </c>
      <c r="B1168" s="66" t="s">
        <v>54</v>
      </c>
      <c r="C1168" s="66" t="s">
        <v>55</v>
      </c>
      <c r="D1168" t="s">
        <v>66</v>
      </c>
      <c r="E1168">
        <v>-80</v>
      </c>
      <c r="F1168" s="66" t="s">
        <v>7</v>
      </c>
      <c r="G1168" s="66" t="s">
        <v>57</v>
      </c>
      <c r="H1168" s="66" t="str">
        <f>TEXT(Data[[#This Row],[Buchung]],"MMM")</f>
        <v>Mrz</v>
      </c>
      <c r="I1168" s="67">
        <f>YEAR(Data[[#This Row],[Buchung]])</f>
        <v>2018</v>
      </c>
      <c r="J1168" s="2">
        <f>ABS(Data[[#This Row],[Betrag]])</f>
        <v>80</v>
      </c>
      <c r="K1168" s="66" t="str">
        <f>IF(Data[[#This Row],[Betrag]]&lt;0,"A","E")</f>
        <v>A</v>
      </c>
    </row>
    <row r="1169" spans="1:11" x14ac:dyDescent="0.25">
      <c r="A1169" s="1">
        <v>43172</v>
      </c>
      <c r="B1169" s="66" t="s">
        <v>67</v>
      </c>
      <c r="C1169" s="66" t="s">
        <v>59</v>
      </c>
      <c r="D1169" t="s">
        <v>68</v>
      </c>
      <c r="E1169">
        <v>-25</v>
      </c>
      <c r="F1169" s="66" t="s">
        <v>7</v>
      </c>
      <c r="G1169" s="66" t="s">
        <v>10</v>
      </c>
      <c r="H1169" s="66" t="str">
        <f>TEXT(Data[[#This Row],[Buchung]],"MMM")</f>
        <v>Mrz</v>
      </c>
      <c r="I1169" s="67">
        <f>YEAR(Data[[#This Row],[Buchung]])</f>
        <v>2018</v>
      </c>
      <c r="J1169" s="2">
        <f>ABS(Data[[#This Row],[Betrag]])</f>
        <v>25</v>
      </c>
      <c r="K1169" s="66" t="str">
        <f>IF(Data[[#This Row],[Betrag]]&lt;0,"A","E")</f>
        <v>A</v>
      </c>
    </row>
    <row r="1170" spans="1:11" x14ac:dyDescent="0.25">
      <c r="A1170" s="1">
        <v>43173</v>
      </c>
      <c r="B1170" s="66" t="s">
        <v>45</v>
      </c>
      <c r="C1170" s="66" t="s">
        <v>46</v>
      </c>
      <c r="D1170" t="s">
        <v>47</v>
      </c>
      <c r="E1170">
        <v>1000</v>
      </c>
      <c r="F1170" s="66" t="s">
        <v>7</v>
      </c>
      <c r="G1170" s="66" t="s">
        <v>9</v>
      </c>
      <c r="H1170" s="66" t="str">
        <f>TEXT(Data[[#This Row],[Buchung]],"MMM")</f>
        <v>Mrz</v>
      </c>
      <c r="I1170" s="67">
        <f>YEAR(Data[[#This Row],[Buchung]])</f>
        <v>2018</v>
      </c>
      <c r="J1170" s="2">
        <f>ABS(Data[[#This Row],[Betrag]])</f>
        <v>1000</v>
      </c>
      <c r="K1170" s="66" t="str">
        <f>IF(Data[[#This Row],[Betrag]]&lt;0,"A","E")</f>
        <v>E</v>
      </c>
    </row>
    <row r="1171" spans="1:11" x14ac:dyDescent="0.25">
      <c r="A1171" s="1">
        <v>43174</v>
      </c>
      <c r="B1171" s="66" t="s">
        <v>48</v>
      </c>
      <c r="C1171" s="66" t="s">
        <v>49</v>
      </c>
      <c r="D1171" t="s">
        <v>50</v>
      </c>
      <c r="E1171">
        <v>-15</v>
      </c>
      <c r="F1171" s="66" t="s">
        <v>7</v>
      </c>
      <c r="G1171" s="66" t="s">
        <v>8</v>
      </c>
      <c r="H1171" s="66" t="str">
        <f>TEXT(Data[[#This Row],[Buchung]],"MMM")</f>
        <v>Mrz</v>
      </c>
      <c r="I1171" s="67">
        <f>YEAR(Data[[#This Row],[Buchung]])</f>
        <v>2018</v>
      </c>
      <c r="J1171" s="2">
        <f>ABS(Data[[#This Row],[Betrag]])</f>
        <v>15</v>
      </c>
      <c r="K1171" s="66" t="str">
        <f>IF(Data[[#This Row],[Betrag]]&lt;0,"A","E")</f>
        <v>A</v>
      </c>
    </row>
    <row r="1172" spans="1:11" x14ac:dyDescent="0.25">
      <c r="A1172" s="1">
        <v>43175</v>
      </c>
      <c r="B1172" s="66" t="s">
        <v>51</v>
      </c>
      <c r="C1172" s="66" t="s">
        <v>52</v>
      </c>
      <c r="D1172" t="s">
        <v>53</v>
      </c>
      <c r="E1172">
        <v>-350</v>
      </c>
      <c r="F1172" s="66" t="s">
        <v>7</v>
      </c>
      <c r="G1172" s="66" t="s">
        <v>11</v>
      </c>
      <c r="H1172" s="66" t="str">
        <f>TEXT(Data[[#This Row],[Buchung]],"MMM")</f>
        <v>Mrz</v>
      </c>
      <c r="I1172" s="67">
        <f>YEAR(Data[[#This Row],[Buchung]])</f>
        <v>2018</v>
      </c>
      <c r="J1172" s="2">
        <f>ABS(Data[[#This Row],[Betrag]])</f>
        <v>350</v>
      </c>
      <c r="K1172" s="66" t="str">
        <f>IF(Data[[#This Row],[Betrag]]&lt;0,"A","E")</f>
        <v>A</v>
      </c>
    </row>
    <row r="1173" spans="1:11" x14ac:dyDescent="0.25">
      <c r="A1173" s="1">
        <v>43176</v>
      </c>
      <c r="B1173" s="66" t="s">
        <v>54</v>
      </c>
      <c r="C1173" s="66" t="s">
        <v>55</v>
      </c>
      <c r="D1173" t="s">
        <v>56</v>
      </c>
      <c r="E1173">
        <v>-120</v>
      </c>
      <c r="F1173" s="66" t="s">
        <v>7</v>
      </c>
      <c r="G1173" s="66" t="s">
        <v>57</v>
      </c>
      <c r="H1173" s="66" t="str">
        <f>TEXT(Data[[#This Row],[Buchung]],"MMM")</f>
        <v>Mrz</v>
      </c>
      <c r="I1173" s="67">
        <f>YEAR(Data[[#This Row],[Buchung]])</f>
        <v>2018</v>
      </c>
      <c r="J1173" s="2">
        <f>ABS(Data[[#This Row],[Betrag]])</f>
        <v>120</v>
      </c>
      <c r="K1173" s="66" t="str">
        <f>IF(Data[[#This Row],[Betrag]]&lt;0,"A","E")</f>
        <v>A</v>
      </c>
    </row>
    <row r="1174" spans="1:11" x14ac:dyDescent="0.25">
      <c r="A1174" s="1">
        <v>43177</v>
      </c>
      <c r="B1174" s="66" t="s">
        <v>58</v>
      </c>
      <c r="C1174" s="66" t="s">
        <v>59</v>
      </c>
      <c r="D1174" t="s">
        <v>60</v>
      </c>
      <c r="E1174">
        <v>-70</v>
      </c>
      <c r="F1174" s="66" t="s">
        <v>7</v>
      </c>
      <c r="G1174" s="66" t="s">
        <v>10</v>
      </c>
      <c r="H1174" s="66" t="str">
        <f>TEXT(Data[[#This Row],[Buchung]],"MMM")</f>
        <v>Mrz</v>
      </c>
      <c r="I1174" s="67">
        <f>YEAR(Data[[#This Row],[Buchung]])</f>
        <v>2018</v>
      </c>
      <c r="J1174" s="2">
        <f>ABS(Data[[#This Row],[Betrag]])</f>
        <v>70</v>
      </c>
      <c r="K1174" s="66" t="str">
        <f>IF(Data[[#This Row],[Betrag]]&lt;0,"A","E")</f>
        <v>A</v>
      </c>
    </row>
    <row r="1175" spans="1:11" x14ac:dyDescent="0.25">
      <c r="A1175" s="1">
        <v>43178</v>
      </c>
      <c r="B1175" s="66" t="s">
        <v>45</v>
      </c>
      <c r="C1175" s="66" t="s">
        <v>46</v>
      </c>
      <c r="D1175" t="s">
        <v>47</v>
      </c>
      <c r="E1175">
        <v>1000</v>
      </c>
      <c r="F1175" s="66" t="s">
        <v>7</v>
      </c>
      <c r="G1175" s="66" t="s">
        <v>9</v>
      </c>
      <c r="H1175" s="66" t="str">
        <f>TEXT(Data[[#This Row],[Buchung]],"MMM")</f>
        <v>Mrz</v>
      </c>
      <c r="I1175" s="67">
        <f>YEAR(Data[[#This Row],[Buchung]])</f>
        <v>2018</v>
      </c>
      <c r="J1175" s="2">
        <f>ABS(Data[[#This Row],[Betrag]])</f>
        <v>1000</v>
      </c>
      <c r="K1175" s="66" t="str">
        <f>IF(Data[[#This Row],[Betrag]]&lt;0,"A","E")</f>
        <v>E</v>
      </c>
    </row>
    <row r="1176" spans="1:11" x14ac:dyDescent="0.25">
      <c r="A1176" s="1">
        <v>43179</v>
      </c>
      <c r="B1176" s="66" t="s">
        <v>61</v>
      </c>
      <c r="C1176" s="66" t="s">
        <v>49</v>
      </c>
      <c r="D1176" t="s">
        <v>62</v>
      </c>
      <c r="E1176">
        <v>-10</v>
      </c>
      <c r="F1176" s="66" t="s">
        <v>7</v>
      </c>
      <c r="G1176" s="66" t="s">
        <v>8</v>
      </c>
      <c r="H1176" s="66" t="str">
        <f>TEXT(Data[[#This Row],[Buchung]],"MMM")</f>
        <v>Mrz</v>
      </c>
      <c r="I1176" s="67">
        <f>YEAR(Data[[#This Row],[Buchung]])</f>
        <v>2018</v>
      </c>
      <c r="J1176" s="2">
        <f>ABS(Data[[#This Row],[Betrag]])</f>
        <v>10</v>
      </c>
      <c r="K1176" s="66" t="str">
        <f>IF(Data[[#This Row],[Betrag]]&lt;0,"A","E")</f>
        <v>A</v>
      </c>
    </row>
    <row r="1177" spans="1:11" x14ac:dyDescent="0.25">
      <c r="A1177" s="1">
        <v>43180</v>
      </c>
      <c r="B1177" s="66" t="s">
        <v>63</v>
      </c>
      <c r="C1177" s="66" t="s">
        <v>64</v>
      </c>
      <c r="D1177" t="s">
        <v>65</v>
      </c>
      <c r="E1177">
        <v>-60</v>
      </c>
      <c r="F1177" s="66" t="s">
        <v>7</v>
      </c>
      <c r="G1177" s="66" t="s">
        <v>11</v>
      </c>
      <c r="H1177" s="66" t="str">
        <f>TEXT(Data[[#This Row],[Buchung]],"MMM")</f>
        <v>Mrz</v>
      </c>
      <c r="I1177" s="67">
        <f>YEAR(Data[[#This Row],[Buchung]])</f>
        <v>2018</v>
      </c>
      <c r="J1177" s="2">
        <f>ABS(Data[[#This Row],[Betrag]])</f>
        <v>60</v>
      </c>
      <c r="K1177" s="66" t="str">
        <f>IF(Data[[#This Row],[Betrag]]&lt;0,"A","E")</f>
        <v>A</v>
      </c>
    </row>
    <row r="1178" spans="1:11" x14ac:dyDescent="0.25">
      <c r="A1178" s="1">
        <v>43181</v>
      </c>
      <c r="B1178" s="66" t="s">
        <v>54</v>
      </c>
      <c r="C1178" s="66" t="s">
        <v>55</v>
      </c>
      <c r="D1178" t="s">
        <v>66</v>
      </c>
      <c r="E1178">
        <v>-80</v>
      </c>
      <c r="F1178" s="66" t="s">
        <v>7</v>
      </c>
      <c r="G1178" s="66" t="s">
        <v>57</v>
      </c>
      <c r="H1178" s="66" t="str">
        <f>TEXT(Data[[#This Row],[Buchung]],"MMM")</f>
        <v>Mrz</v>
      </c>
      <c r="I1178" s="67">
        <f>YEAR(Data[[#This Row],[Buchung]])</f>
        <v>2018</v>
      </c>
      <c r="J1178" s="2">
        <f>ABS(Data[[#This Row],[Betrag]])</f>
        <v>80</v>
      </c>
      <c r="K1178" s="66" t="str">
        <f>IF(Data[[#This Row],[Betrag]]&lt;0,"A","E")</f>
        <v>A</v>
      </c>
    </row>
    <row r="1179" spans="1:11" x14ac:dyDescent="0.25">
      <c r="A1179" s="1">
        <v>43182</v>
      </c>
      <c r="B1179" s="66" t="s">
        <v>67</v>
      </c>
      <c r="C1179" s="66" t="s">
        <v>59</v>
      </c>
      <c r="D1179" t="s">
        <v>68</v>
      </c>
      <c r="E1179">
        <v>-30</v>
      </c>
      <c r="F1179" s="66" t="s">
        <v>7</v>
      </c>
      <c r="G1179" s="66" t="s">
        <v>10</v>
      </c>
      <c r="H1179" s="66" t="str">
        <f>TEXT(Data[[#This Row],[Buchung]],"MMM")</f>
        <v>Mrz</v>
      </c>
      <c r="I1179" s="67">
        <f>YEAR(Data[[#This Row],[Buchung]])</f>
        <v>2018</v>
      </c>
      <c r="J1179" s="2">
        <f>ABS(Data[[#This Row],[Betrag]])</f>
        <v>30</v>
      </c>
      <c r="K1179" s="66" t="str">
        <f>IF(Data[[#This Row],[Betrag]]&lt;0,"A","E")</f>
        <v>A</v>
      </c>
    </row>
    <row r="1180" spans="1:11" x14ac:dyDescent="0.25">
      <c r="A1180" s="1">
        <v>43183</v>
      </c>
      <c r="B1180" s="66" t="s">
        <v>45</v>
      </c>
      <c r="C1180" s="66" t="s">
        <v>46</v>
      </c>
      <c r="D1180" t="s">
        <v>47</v>
      </c>
      <c r="E1180">
        <v>1000</v>
      </c>
      <c r="F1180" s="66" t="s">
        <v>7</v>
      </c>
      <c r="G1180" s="66" t="s">
        <v>9</v>
      </c>
      <c r="H1180" s="66" t="str">
        <f>TEXT(Data[[#This Row],[Buchung]],"MMM")</f>
        <v>Mrz</v>
      </c>
      <c r="I1180" s="67">
        <f>YEAR(Data[[#This Row],[Buchung]])</f>
        <v>2018</v>
      </c>
      <c r="J1180" s="2">
        <f>ABS(Data[[#This Row],[Betrag]])</f>
        <v>1000</v>
      </c>
      <c r="K1180" s="66" t="str">
        <f>IF(Data[[#This Row],[Betrag]]&lt;0,"A","E")</f>
        <v>E</v>
      </c>
    </row>
    <row r="1181" spans="1:11" x14ac:dyDescent="0.25">
      <c r="A1181" s="1">
        <v>43184</v>
      </c>
      <c r="B1181" s="66" t="s">
        <v>48</v>
      </c>
      <c r="C1181" s="66" t="s">
        <v>49</v>
      </c>
      <c r="D1181" t="s">
        <v>50</v>
      </c>
      <c r="E1181">
        <v>-15</v>
      </c>
      <c r="F1181" s="66" t="s">
        <v>7</v>
      </c>
      <c r="G1181" s="66" t="s">
        <v>8</v>
      </c>
      <c r="H1181" s="66" t="str">
        <f>TEXT(Data[[#This Row],[Buchung]],"MMM")</f>
        <v>Mrz</v>
      </c>
      <c r="I1181" s="67">
        <f>YEAR(Data[[#This Row],[Buchung]])</f>
        <v>2018</v>
      </c>
      <c r="J1181" s="2">
        <f>ABS(Data[[#This Row],[Betrag]])</f>
        <v>15</v>
      </c>
      <c r="K1181" s="66" t="str">
        <f>IF(Data[[#This Row],[Betrag]]&lt;0,"A","E")</f>
        <v>A</v>
      </c>
    </row>
    <row r="1182" spans="1:11" x14ac:dyDescent="0.25">
      <c r="A1182" s="1">
        <v>43185</v>
      </c>
      <c r="B1182" s="66" t="s">
        <v>51</v>
      </c>
      <c r="C1182" s="66" t="s">
        <v>52</v>
      </c>
      <c r="D1182" t="s">
        <v>53</v>
      </c>
      <c r="E1182">
        <v>-350</v>
      </c>
      <c r="F1182" s="66" t="s">
        <v>7</v>
      </c>
      <c r="G1182" s="66" t="s">
        <v>11</v>
      </c>
      <c r="H1182" s="66" t="str">
        <f>TEXT(Data[[#This Row],[Buchung]],"MMM")</f>
        <v>Mrz</v>
      </c>
      <c r="I1182" s="67">
        <f>YEAR(Data[[#This Row],[Buchung]])</f>
        <v>2018</v>
      </c>
      <c r="J1182" s="2">
        <f>ABS(Data[[#This Row],[Betrag]])</f>
        <v>350</v>
      </c>
      <c r="K1182" s="66" t="str">
        <f>IF(Data[[#This Row],[Betrag]]&lt;0,"A","E")</f>
        <v>A</v>
      </c>
    </row>
    <row r="1183" spans="1:11" x14ac:dyDescent="0.25">
      <c r="A1183" s="1">
        <v>43186</v>
      </c>
      <c r="B1183" s="66" t="s">
        <v>54</v>
      </c>
      <c r="C1183" s="66" t="s">
        <v>55</v>
      </c>
      <c r="D1183" t="s">
        <v>56</v>
      </c>
      <c r="E1183">
        <v>-120</v>
      </c>
      <c r="F1183" s="66" t="s">
        <v>7</v>
      </c>
      <c r="G1183" s="66" t="s">
        <v>57</v>
      </c>
      <c r="H1183" s="66" t="str">
        <f>TEXT(Data[[#This Row],[Buchung]],"MMM")</f>
        <v>Mrz</v>
      </c>
      <c r="I1183" s="67">
        <f>YEAR(Data[[#This Row],[Buchung]])</f>
        <v>2018</v>
      </c>
      <c r="J1183" s="2">
        <f>ABS(Data[[#This Row],[Betrag]])</f>
        <v>120</v>
      </c>
      <c r="K1183" s="66" t="str">
        <f>IF(Data[[#This Row],[Betrag]]&lt;0,"A","E")</f>
        <v>A</v>
      </c>
    </row>
    <row r="1184" spans="1:11" x14ac:dyDescent="0.25">
      <c r="A1184" s="1">
        <v>43187</v>
      </c>
      <c r="B1184" s="66" t="s">
        <v>58</v>
      </c>
      <c r="C1184" s="66" t="s">
        <v>59</v>
      </c>
      <c r="D1184" t="s">
        <v>60</v>
      </c>
      <c r="E1184">
        <v>-80</v>
      </c>
      <c r="F1184" s="66" t="s">
        <v>7</v>
      </c>
      <c r="G1184" s="66" t="s">
        <v>10</v>
      </c>
      <c r="H1184" s="66" t="str">
        <f>TEXT(Data[[#This Row],[Buchung]],"MMM")</f>
        <v>Mrz</v>
      </c>
      <c r="I1184" s="67">
        <f>YEAR(Data[[#This Row],[Buchung]])</f>
        <v>2018</v>
      </c>
      <c r="J1184" s="2">
        <f>ABS(Data[[#This Row],[Betrag]])</f>
        <v>80</v>
      </c>
      <c r="K1184" s="66" t="str">
        <f>IF(Data[[#This Row],[Betrag]]&lt;0,"A","E")</f>
        <v>A</v>
      </c>
    </row>
    <row r="1185" spans="1:11" x14ac:dyDescent="0.25">
      <c r="A1185" s="1">
        <v>43188</v>
      </c>
      <c r="B1185" s="66" t="s">
        <v>45</v>
      </c>
      <c r="C1185" s="66" t="s">
        <v>46</v>
      </c>
      <c r="D1185" t="s">
        <v>47</v>
      </c>
      <c r="E1185">
        <v>1000</v>
      </c>
      <c r="F1185" s="66" t="s">
        <v>7</v>
      </c>
      <c r="G1185" s="66" t="s">
        <v>9</v>
      </c>
      <c r="H1185" s="66" t="str">
        <f>TEXT(Data[[#This Row],[Buchung]],"MMM")</f>
        <v>Mrz</v>
      </c>
      <c r="I1185" s="67">
        <f>YEAR(Data[[#This Row],[Buchung]])</f>
        <v>2018</v>
      </c>
      <c r="J1185" s="2">
        <f>ABS(Data[[#This Row],[Betrag]])</f>
        <v>1000</v>
      </c>
      <c r="K1185" s="66" t="str">
        <f>IF(Data[[#This Row],[Betrag]]&lt;0,"A","E")</f>
        <v>E</v>
      </c>
    </row>
    <row r="1186" spans="1:11" x14ac:dyDescent="0.25">
      <c r="A1186" s="1">
        <v>43189</v>
      </c>
      <c r="B1186" s="66" t="s">
        <v>61</v>
      </c>
      <c r="C1186" s="66" t="s">
        <v>49</v>
      </c>
      <c r="D1186" t="s">
        <v>62</v>
      </c>
      <c r="E1186">
        <v>-10</v>
      </c>
      <c r="F1186" s="66" t="s">
        <v>7</v>
      </c>
      <c r="G1186" s="66" t="s">
        <v>8</v>
      </c>
      <c r="H1186" s="66" t="str">
        <f>TEXT(Data[[#This Row],[Buchung]],"MMM")</f>
        <v>Mrz</v>
      </c>
      <c r="I1186" s="67">
        <f>YEAR(Data[[#This Row],[Buchung]])</f>
        <v>2018</v>
      </c>
      <c r="J1186" s="2">
        <f>ABS(Data[[#This Row],[Betrag]])</f>
        <v>10</v>
      </c>
      <c r="K1186" s="66" t="str">
        <f>IF(Data[[#This Row],[Betrag]]&lt;0,"A","E")</f>
        <v>A</v>
      </c>
    </row>
    <row r="1187" spans="1:11" x14ac:dyDescent="0.25">
      <c r="A1187" s="1">
        <v>43190</v>
      </c>
      <c r="B1187" s="66" t="s">
        <v>63</v>
      </c>
      <c r="C1187" s="66" t="s">
        <v>64</v>
      </c>
      <c r="D1187" t="s">
        <v>65</v>
      </c>
      <c r="E1187">
        <v>-65</v>
      </c>
      <c r="F1187" s="66" t="s">
        <v>7</v>
      </c>
      <c r="G1187" s="66" t="s">
        <v>11</v>
      </c>
      <c r="H1187" s="66" t="str">
        <f>TEXT(Data[[#This Row],[Buchung]],"MMM")</f>
        <v>Mrz</v>
      </c>
      <c r="I1187" s="67">
        <f>YEAR(Data[[#This Row],[Buchung]])</f>
        <v>2018</v>
      </c>
      <c r="J1187" s="2">
        <f>ABS(Data[[#This Row],[Betrag]])</f>
        <v>65</v>
      </c>
      <c r="K1187" s="66" t="str">
        <f>IF(Data[[#This Row],[Betrag]]&lt;0,"A","E")</f>
        <v>A</v>
      </c>
    </row>
    <row r="1188" spans="1:11" x14ac:dyDescent="0.25">
      <c r="A1188" s="1">
        <v>43191</v>
      </c>
      <c r="B1188" s="66" t="s">
        <v>54</v>
      </c>
      <c r="C1188" s="66" t="s">
        <v>55</v>
      </c>
      <c r="D1188" t="s">
        <v>66</v>
      </c>
      <c r="E1188">
        <v>-80</v>
      </c>
      <c r="F1188" s="66" t="s">
        <v>7</v>
      </c>
      <c r="G1188" s="66" t="s">
        <v>57</v>
      </c>
      <c r="H1188" s="66" t="str">
        <f>TEXT(Data[[#This Row],[Buchung]],"MMM")</f>
        <v>Apr</v>
      </c>
      <c r="I1188" s="67">
        <f>YEAR(Data[[#This Row],[Buchung]])</f>
        <v>2018</v>
      </c>
      <c r="J1188" s="2">
        <f>ABS(Data[[#This Row],[Betrag]])</f>
        <v>80</v>
      </c>
      <c r="K1188" s="66" t="str">
        <f>IF(Data[[#This Row],[Betrag]]&lt;0,"A","E")</f>
        <v>A</v>
      </c>
    </row>
    <row r="1189" spans="1:11" x14ac:dyDescent="0.25">
      <c r="A1189" s="1">
        <v>43192</v>
      </c>
      <c r="B1189" s="66" t="s">
        <v>67</v>
      </c>
      <c r="C1189" s="66" t="s">
        <v>59</v>
      </c>
      <c r="D1189" t="s">
        <v>68</v>
      </c>
      <c r="E1189">
        <v>-35</v>
      </c>
      <c r="F1189" s="66" t="s">
        <v>7</v>
      </c>
      <c r="G1189" s="66" t="s">
        <v>10</v>
      </c>
      <c r="H1189" s="66" t="str">
        <f>TEXT(Data[[#This Row],[Buchung]],"MMM")</f>
        <v>Apr</v>
      </c>
      <c r="I1189" s="67">
        <f>YEAR(Data[[#This Row],[Buchung]])</f>
        <v>2018</v>
      </c>
      <c r="J1189" s="2">
        <f>ABS(Data[[#This Row],[Betrag]])</f>
        <v>35</v>
      </c>
      <c r="K1189" s="66" t="str">
        <f>IF(Data[[#This Row],[Betrag]]&lt;0,"A","E")</f>
        <v>A</v>
      </c>
    </row>
    <row r="1190" spans="1:11" x14ac:dyDescent="0.25">
      <c r="A1190" s="1">
        <v>43193</v>
      </c>
      <c r="B1190" s="66" t="s">
        <v>45</v>
      </c>
      <c r="C1190" s="66" t="s">
        <v>46</v>
      </c>
      <c r="D1190" t="s">
        <v>47</v>
      </c>
      <c r="E1190">
        <v>1000</v>
      </c>
      <c r="F1190" s="66" t="s">
        <v>7</v>
      </c>
      <c r="G1190" s="66" t="s">
        <v>9</v>
      </c>
      <c r="H1190" s="66" t="str">
        <f>TEXT(Data[[#This Row],[Buchung]],"MMM")</f>
        <v>Apr</v>
      </c>
      <c r="I1190" s="67">
        <f>YEAR(Data[[#This Row],[Buchung]])</f>
        <v>2018</v>
      </c>
      <c r="J1190" s="2">
        <f>ABS(Data[[#This Row],[Betrag]])</f>
        <v>1000</v>
      </c>
      <c r="K1190" s="66" t="str">
        <f>IF(Data[[#This Row],[Betrag]]&lt;0,"A","E")</f>
        <v>E</v>
      </c>
    </row>
    <row r="1191" spans="1:11" x14ac:dyDescent="0.25">
      <c r="A1191" s="1">
        <v>43194</v>
      </c>
      <c r="B1191" s="66" t="s">
        <v>45</v>
      </c>
      <c r="C1191" s="66" t="s">
        <v>46</v>
      </c>
      <c r="D1191" t="s">
        <v>47</v>
      </c>
      <c r="E1191">
        <v>1000</v>
      </c>
      <c r="F1191" s="66" t="s">
        <v>7</v>
      </c>
      <c r="G1191" s="66" t="s">
        <v>9</v>
      </c>
      <c r="H1191" s="66" t="str">
        <f>TEXT(Data[[#This Row],[Buchung]],"MMM")</f>
        <v>Apr</v>
      </c>
      <c r="I1191" s="67">
        <f>YEAR(Data[[#This Row],[Buchung]])</f>
        <v>2018</v>
      </c>
      <c r="J1191" s="2">
        <f>ABS(Data[[#This Row],[Betrag]])</f>
        <v>1000</v>
      </c>
      <c r="K1191" s="66" t="str">
        <f>IF(Data[[#This Row],[Betrag]]&lt;0,"A","E")</f>
        <v>E</v>
      </c>
    </row>
    <row r="1192" spans="1:11" x14ac:dyDescent="0.25">
      <c r="A1192" s="1">
        <v>43195</v>
      </c>
      <c r="B1192" s="66" t="s">
        <v>48</v>
      </c>
      <c r="C1192" s="66" t="s">
        <v>49</v>
      </c>
      <c r="D1192" t="s">
        <v>50</v>
      </c>
      <c r="E1192">
        <v>-15</v>
      </c>
      <c r="F1192" s="66" t="s">
        <v>7</v>
      </c>
      <c r="G1192" s="66" t="s">
        <v>8</v>
      </c>
      <c r="H1192" s="66" t="str">
        <f>TEXT(Data[[#This Row],[Buchung]],"MMM")</f>
        <v>Apr</v>
      </c>
      <c r="I1192" s="67">
        <f>YEAR(Data[[#This Row],[Buchung]])</f>
        <v>2018</v>
      </c>
      <c r="J1192" s="2">
        <f>ABS(Data[[#This Row],[Betrag]])</f>
        <v>15</v>
      </c>
      <c r="K1192" s="66" t="str">
        <f>IF(Data[[#This Row],[Betrag]]&lt;0,"A","E")</f>
        <v>A</v>
      </c>
    </row>
    <row r="1193" spans="1:11" x14ac:dyDescent="0.25">
      <c r="A1193" s="1">
        <v>43196</v>
      </c>
      <c r="B1193" s="66" t="s">
        <v>51</v>
      </c>
      <c r="C1193" s="66" t="s">
        <v>52</v>
      </c>
      <c r="D1193" t="s">
        <v>53</v>
      </c>
      <c r="E1193">
        <v>-350</v>
      </c>
      <c r="F1193" s="66" t="s">
        <v>7</v>
      </c>
      <c r="G1193" s="66" t="s">
        <v>11</v>
      </c>
      <c r="H1193" s="66" t="str">
        <f>TEXT(Data[[#This Row],[Buchung]],"MMM")</f>
        <v>Apr</v>
      </c>
      <c r="I1193" s="67">
        <f>YEAR(Data[[#This Row],[Buchung]])</f>
        <v>2018</v>
      </c>
      <c r="J1193" s="2">
        <f>ABS(Data[[#This Row],[Betrag]])</f>
        <v>350</v>
      </c>
      <c r="K1193" s="66" t="str">
        <f>IF(Data[[#This Row],[Betrag]]&lt;0,"A","E")</f>
        <v>A</v>
      </c>
    </row>
    <row r="1194" spans="1:11" x14ac:dyDescent="0.25">
      <c r="A1194" s="1">
        <v>43197</v>
      </c>
      <c r="B1194" s="66" t="s">
        <v>54</v>
      </c>
      <c r="C1194" s="66" t="s">
        <v>55</v>
      </c>
      <c r="D1194" t="s">
        <v>56</v>
      </c>
      <c r="E1194">
        <v>-120</v>
      </c>
      <c r="F1194" s="66" t="s">
        <v>7</v>
      </c>
      <c r="G1194" s="66" t="s">
        <v>57</v>
      </c>
      <c r="H1194" s="66" t="str">
        <f>TEXT(Data[[#This Row],[Buchung]],"MMM")</f>
        <v>Apr</v>
      </c>
      <c r="I1194" s="67">
        <f>YEAR(Data[[#This Row],[Buchung]])</f>
        <v>2018</v>
      </c>
      <c r="J1194" s="2">
        <f>ABS(Data[[#This Row],[Betrag]])</f>
        <v>120</v>
      </c>
      <c r="K1194" s="66" t="str">
        <f>IF(Data[[#This Row],[Betrag]]&lt;0,"A","E")</f>
        <v>A</v>
      </c>
    </row>
    <row r="1195" spans="1:11" x14ac:dyDescent="0.25">
      <c r="A1195" s="1">
        <v>43198</v>
      </c>
      <c r="B1195" s="66" t="s">
        <v>58</v>
      </c>
      <c r="C1195" s="66" t="s">
        <v>59</v>
      </c>
      <c r="D1195" t="s">
        <v>60</v>
      </c>
      <c r="E1195">
        <v>-50</v>
      </c>
      <c r="F1195" s="66" t="s">
        <v>7</v>
      </c>
      <c r="G1195" s="66" t="s">
        <v>10</v>
      </c>
      <c r="H1195" s="66" t="str">
        <f>TEXT(Data[[#This Row],[Buchung]],"MMM")</f>
        <v>Apr</v>
      </c>
      <c r="I1195" s="67">
        <f>YEAR(Data[[#This Row],[Buchung]])</f>
        <v>2018</v>
      </c>
      <c r="J1195" s="2">
        <f>ABS(Data[[#This Row],[Betrag]])</f>
        <v>50</v>
      </c>
      <c r="K1195" s="66" t="str">
        <f>IF(Data[[#This Row],[Betrag]]&lt;0,"A","E")</f>
        <v>A</v>
      </c>
    </row>
    <row r="1196" spans="1:11" x14ac:dyDescent="0.25">
      <c r="A1196" s="1">
        <v>43199</v>
      </c>
      <c r="B1196" s="66" t="s">
        <v>45</v>
      </c>
      <c r="C1196" s="66" t="s">
        <v>46</v>
      </c>
      <c r="D1196" t="s">
        <v>47</v>
      </c>
      <c r="E1196">
        <v>1000</v>
      </c>
      <c r="F1196" s="66" t="s">
        <v>7</v>
      </c>
      <c r="G1196" s="66" t="s">
        <v>9</v>
      </c>
      <c r="H1196" s="66" t="str">
        <f>TEXT(Data[[#This Row],[Buchung]],"MMM")</f>
        <v>Apr</v>
      </c>
      <c r="I1196" s="67">
        <f>YEAR(Data[[#This Row],[Buchung]])</f>
        <v>2018</v>
      </c>
      <c r="J1196" s="2">
        <f>ABS(Data[[#This Row],[Betrag]])</f>
        <v>1000</v>
      </c>
      <c r="K1196" s="66" t="str">
        <f>IF(Data[[#This Row],[Betrag]]&lt;0,"A","E")</f>
        <v>E</v>
      </c>
    </row>
    <row r="1197" spans="1:11" x14ac:dyDescent="0.25">
      <c r="A1197" s="1">
        <v>43200</v>
      </c>
      <c r="B1197" s="66" t="s">
        <v>61</v>
      </c>
      <c r="C1197" s="66" t="s">
        <v>49</v>
      </c>
      <c r="D1197" t="s">
        <v>62</v>
      </c>
      <c r="E1197">
        <v>-10</v>
      </c>
      <c r="F1197" s="66" t="s">
        <v>7</v>
      </c>
      <c r="G1197" s="66" t="s">
        <v>8</v>
      </c>
      <c r="H1197" s="66" t="str">
        <f>TEXT(Data[[#This Row],[Buchung]],"MMM")</f>
        <v>Apr</v>
      </c>
      <c r="I1197" s="67">
        <f>YEAR(Data[[#This Row],[Buchung]])</f>
        <v>2018</v>
      </c>
      <c r="J1197" s="2">
        <f>ABS(Data[[#This Row],[Betrag]])</f>
        <v>10</v>
      </c>
      <c r="K1197" s="66" t="str">
        <f>IF(Data[[#This Row],[Betrag]]&lt;0,"A","E")</f>
        <v>A</v>
      </c>
    </row>
    <row r="1198" spans="1:11" x14ac:dyDescent="0.25">
      <c r="A1198" s="1">
        <v>43201</v>
      </c>
      <c r="B1198" s="66" t="s">
        <v>63</v>
      </c>
      <c r="C1198" s="66" t="s">
        <v>64</v>
      </c>
      <c r="D1198" t="s">
        <v>65</v>
      </c>
      <c r="E1198">
        <v>-60</v>
      </c>
      <c r="F1198" s="66" t="s">
        <v>7</v>
      </c>
      <c r="G1198" s="66" t="s">
        <v>11</v>
      </c>
      <c r="H1198" s="66" t="str">
        <f>TEXT(Data[[#This Row],[Buchung]],"MMM")</f>
        <v>Apr</v>
      </c>
      <c r="I1198" s="67">
        <f>YEAR(Data[[#This Row],[Buchung]])</f>
        <v>2018</v>
      </c>
      <c r="J1198" s="2">
        <f>ABS(Data[[#This Row],[Betrag]])</f>
        <v>60</v>
      </c>
      <c r="K1198" s="66" t="str">
        <f>IF(Data[[#This Row],[Betrag]]&lt;0,"A","E")</f>
        <v>A</v>
      </c>
    </row>
    <row r="1199" spans="1:11" x14ac:dyDescent="0.25">
      <c r="A1199" s="1">
        <v>43202</v>
      </c>
      <c r="B1199" s="66" t="s">
        <v>54</v>
      </c>
      <c r="C1199" s="66" t="s">
        <v>55</v>
      </c>
      <c r="D1199" t="s">
        <v>66</v>
      </c>
      <c r="E1199">
        <v>-80</v>
      </c>
      <c r="F1199" s="66" t="s">
        <v>7</v>
      </c>
      <c r="G1199" s="66" t="s">
        <v>57</v>
      </c>
      <c r="H1199" s="66" t="str">
        <f>TEXT(Data[[#This Row],[Buchung]],"MMM")</f>
        <v>Apr</v>
      </c>
      <c r="I1199" s="67">
        <f>YEAR(Data[[#This Row],[Buchung]])</f>
        <v>2018</v>
      </c>
      <c r="J1199" s="2">
        <f>ABS(Data[[#This Row],[Betrag]])</f>
        <v>80</v>
      </c>
      <c r="K1199" s="66" t="str">
        <f>IF(Data[[#This Row],[Betrag]]&lt;0,"A","E")</f>
        <v>A</v>
      </c>
    </row>
    <row r="1200" spans="1:11" x14ac:dyDescent="0.25">
      <c r="A1200" s="1">
        <v>43203</v>
      </c>
      <c r="B1200" s="66" t="s">
        <v>67</v>
      </c>
      <c r="C1200" s="66" t="s">
        <v>59</v>
      </c>
      <c r="D1200" t="s">
        <v>68</v>
      </c>
      <c r="E1200">
        <v>-20</v>
      </c>
      <c r="F1200" s="66" t="s">
        <v>7</v>
      </c>
      <c r="G1200" s="66" t="s">
        <v>10</v>
      </c>
      <c r="H1200" s="66" t="str">
        <f>TEXT(Data[[#This Row],[Buchung]],"MMM")</f>
        <v>Apr</v>
      </c>
      <c r="I1200" s="67">
        <f>YEAR(Data[[#This Row],[Buchung]])</f>
        <v>2018</v>
      </c>
      <c r="J1200" s="2">
        <f>ABS(Data[[#This Row],[Betrag]])</f>
        <v>20</v>
      </c>
      <c r="K1200" s="66" t="str">
        <f>IF(Data[[#This Row],[Betrag]]&lt;0,"A","E")</f>
        <v>A</v>
      </c>
    </row>
    <row r="1201" spans="1:11" x14ac:dyDescent="0.25">
      <c r="A1201" s="1">
        <v>43204</v>
      </c>
      <c r="B1201" s="66" t="s">
        <v>45</v>
      </c>
      <c r="C1201" s="66" t="s">
        <v>46</v>
      </c>
      <c r="D1201" t="s">
        <v>47</v>
      </c>
      <c r="E1201">
        <v>1000</v>
      </c>
      <c r="F1201" s="66" t="s">
        <v>7</v>
      </c>
      <c r="G1201" s="66" t="s">
        <v>9</v>
      </c>
      <c r="H1201" s="66" t="str">
        <f>TEXT(Data[[#This Row],[Buchung]],"MMM")</f>
        <v>Apr</v>
      </c>
      <c r="I1201" s="67">
        <f>YEAR(Data[[#This Row],[Buchung]])</f>
        <v>2018</v>
      </c>
      <c r="J1201" s="2">
        <f>ABS(Data[[#This Row],[Betrag]])</f>
        <v>1000</v>
      </c>
      <c r="K1201" s="66" t="str">
        <f>IF(Data[[#This Row],[Betrag]]&lt;0,"A","E")</f>
        <v>E</v>
      </c>
    </row>
    <row r="1202" spans="1:11" x14ac:dyDescent="0.25">
      <c r="A1202" s="1">
        <v>43205</v>
      </c>
      <c r="B1202" s="66" t="s">
        <v>48</v>
      </c>
      <c r="C1202" s="66" t="s">
        <v>49</v>
      </c>
      <c r="D1202" t="s">
        <v>50</v>
      </c>
      <c r="E1202">
        <v>-15</v>
      </c>
      <c r="F1202" s="66" t="s">
        <v>7</v>
      </c>
      <c r="G1202" s="66" t="s">
        <v>8</v>
      </c>
      <c r="H1202" s="66" t="str">
        <f>TEXT(Data[[#This Row],[Buchung]],"MMM")</f>
        <v>Apr</v>
      </c>
      <c r="I1202" s="67">
        <f>YEAR(Data[[#This Row],[Buchung]])</f>
        <v>2018</v>
      </c>
      <c r="J1202" s="2">
        <f>ABS(Data[[#This Row],[Betrag]])</f>
        <v>15</v>
      </c>
      <c r="K1202" s="66" t="str">
        <f>IF(Data[[#This Row],[Betrag]]&lt;0,"A","E")</f>
        <v>A</v>
      </c>
    </row>
    <row r="1203" spans="1:11" x14ac:dyDescent="0.25">
      <c r="A1203" s="1">
        <v>43206</v>
      </c>
      <c r="B1203" s="66" t="s">
        <v>51</v>
      </c>
      <c r="C1203" s="66" t="s">
        <v>52</v>
      </c>
      <c r="D1203" t="s">
        <v>53</v>
      </c>
      <c r="E1203">
        <v>-350</v>
      </c>
      <c r="F1203" s="66" t="s">
        <v>7</v>
      </c>
      <c r="G1203" s="66" t="s">
        <v>11</v>
      </c>
      <c r="H1203" s="66" t="str">
        <f>TEXT(Data[[#This Row],[Buchung]],"MMM")</f>
        <v>Apr</v>
      </c>
      <c r="I1203" s="67">
        <f>YEAR(Data[[#This Row],[Buchung]])</f>
        <v>2018</v>
      </c>
      <c r="J1203" s="2">
        <f>ABS(Data[[#This Row],[Betrag]])</f>
        <v>350</v>
      </c>
      <c r="K1203" s="66" t="str">
        <f>IF(Data[[#This Row],[Betrag]]&lt;0,"A","E")</f>
        <v>A</v>
      </c>
    </row>
    <row r="1204" spans="1:11" x14ac:dyDescent="0.25">
      <c r="A1204" s="1">
        <v>43207</v>
      </c>
      <c r="B1204" s="66" t="s">
        <v>54</v>
      </c>
      <c r="C1204" s="66" t="s">
        <v>55</v>
      </c>
      <c r="D1204" t="s">
        <v>56</v>
      </c>
      <c r="E1204">
        <v>-120</v>
      </c>
      <c r="F1204" s="66" t="s">
        <v>7</v>
      </c>
      <c r="G1204" s="66" t="s">
        <v>57</v>
      </c>
      <c r="H1204" s="66" t="str">
        <f>TEXT(Data[[#This Row],[Buchung]],"MMM")</f>
        <v>Apr</v>
      </c>
      <c r="I1204" s="67">
        <f>YEAR(Data[[#This Row],[Buchung]])</f>
        <v>2018</v>
      </c>
      <c r="J1204" s="2">
        <f>ABS(Data[[#This Row],[Betrag]])</f>
        <v>120</v>
      </c>
      <c r="K1204" s="66" t="str">
        <f>IF(Data[[#This Row],[Betrag]]&lt;0,"A","E")</f>
        <v>A</v>
      </c>
    </row>
    <row r="1205" spans="1:11" x14ac:dyDescent="0.25">
      <c r="A1205" s="1">
        <v>43208</v>
      </c>
      <c r="B1205" s="66" t="s">
        <v>58</v>
      </c>
      <c r="C1205" s="66" t="s">
        <v>59</v>
      </c>
      <c r="D1205" t="s">
        <v>60</v>
      </c>
      <c r="E1205">
        <v>-60</v>
      </c>
      <c r="F1205" s="66" t="s">
        <v>7</v>
      </c>
      <c r="G1205" s="66" t="s">
        <v>10</v>
      </c>
      <c r="H1205" s="66" t="str">
        <f>TEXT(Data[[#This Row],[Buchung]],"MMM")</f>
        <v>Apr</v>
      </c>
      <c r="I1205" s="67">
        <f>YEAR(Data[[#This Row],[Buchung]])</f>
        <v>2018</v>
      </c>
      <c r="J1205" s="2">
        <f>ABS(Data[[#This Row],[Betrag]])</f>
        <v>60</v>
      </c>
      <c r="K1205" s="66" t="str">
        <f>IF(Data[[#This Row],[Betrag]]&lt;0,"A","E")</f>
        <v>A</v>
      </c>
    </row>
    <row r="1206" spans="1:11" x14ac:dyDescent="0.25">
      <c r="A1206" s="1">
        <v>43209</v>
      </c>
      <c r="B1206" s="66" t="s">
        <v>45</v>
      </c>
      <c r="C1206" s="66" t="s">
        <v>46</v>
      </c>
      <c r="D1206" t="s">
        <v>47</v>
      </c>
      <c r="E1206">
        <v>1000</v>
      </c>
      <c r="F1206" s="66" t="s">
        <v>7</v>
      </c>
      <c r="G1206" s="66" t="s">
        <v>9</v>
      </c>
      <c r="H1206" s="66" t="str">
        <f>TEXT(Data[[#This Row],[Buchung]],"MMM")</f>
        <v>Apr</v>
      </c>
      <c r="I1206" s="67">
        <f>YEAR(Data[[#This Row],[Buchung]])</f>
        <v>2018</v>
      </c>
      <c r="J1206" s="2">
        <f>ABS(Data[[#This Row],[Betrag]])</f>
        <v>1000</v>
      </c>
      <c r="K1206" s="66" t="str">
        <f>IF(Data[[#This Row],[Betrag]]&lt;0,"A","E")</f>
        <v>E</v>
      </c>
    </row>
    <row r="1207" spans="1:11" x14ac:dyDescent="0.25">
      <c r="A1207" s="1">
        <v>43210</v>
      </c>
      <c r="B1207" s="66" t="s">
        <v>61</v>
      </c>
      <c r="C1207" s="66" t="s">
        <v>49</v>
      </c>
      <c r="D1207" t="s">
        <v>62</v>
      </c>
      <c r="E1207">
        <v>-10</v>
      </c>
      <c r="F1207" s="66" t="s">
        <v>7</v>
      </c>
      <c r="G1207" s="66" t="s">
        <v>8</v>
      </c>
      <c r="H1207" s="66" t="str">
        <f>TEXT(Data[[#This Row],[Buchung]],"MMM")</f>
        <v>Apr</v>
      </c>
      <c r="I1207" s="67">
        <f>YEAR(Data[[#This Row],[Buchung]])</f>
        <v>2018</v>
      </c>
      <c r="J1207" s="2">
        <f>ABS(Data[[#This Row],[Betrag]])</f>
        <v>10</v>
      </c>
      <c r="K1207" s="66" t="str">
        <f>IF(Data[[#This Row],[Betrag]]&lt;0,"A","E")</f>
        <v>A</v>
      </c>
    </row>
    <row r="1208" spans="1:11" x14ac:dyDescent="0.25">
      <c r="A1208" s="1">
        <v>43211</v>
      </c>
      <c r="B1208" s="66" t="s">
        <v>63</v>
      </c>
      <c r="C1208" s="66" t="s">
        <v>64</v>
      </c>
      <c r="D1208" t="s">
        <v>65</v>
      </c>
      <c r="E1208">
        <v>-70</v>
      </c>
      <c r="F1208" s="66" t="s">
        <v>7</v>
      </c>
      <c r="G1208" s="66" t="s">
        <v>11</v>
      </c>
      <c r="H1208" s="66" t="str">
        <f>TEXT(Data[[#This Row],[Buchung]],"MMM")</f>
        <v>Apr</v>
      </c>
      <c r="I1208" s="67">
        <f>YEAR(Data[[#This Row],[Buchung]])</f>
        <v>2018</v>
      </c>
      <c r="J1208" s="2">
        <f>ABS(Data[[#This Row],[Betrag]])</f>
        <v>70</v>
      </c>
      <c r="K1208" s="66" t="str">
        <f>IF(Data[[#This Row],[Betrag]]&lt;0,"A","E")</f>
        <v>A</v>
      </c>
    </row>
    <row r="1209" spans="1:11" x14ac:dyDescent="0.25">
      <c r="A1209" s="1">
        <v>43212</v>
      </c>
      <c r="B1209" s="66" t="s">
        <v>54</v>
      </c>
      <c r="C1209" s="66" t="s">
        <v>55</v>
      </c>
      <c r="D1209" t="s">
        <v>66</v>
      </c>
      <c r="E1209">
        <v>-80</v>
      </c>
      <c r="F1209" s="66" t="s">
        <v>7</v>
      </c>
      <c r="G1209" s="66" t="s">
        <v>57</v>
      </c>
      <c r="H1209" s="66" t="str">
        <f>TEXT(Data[[#This Row],[Buchung]],"MMM")</f>
        <v>Apr</v>
      </c>
      <c r="I1209" s="67">
        <f>YEAR(Data[[#This Row],[Buchung]])</f>
        <v>2018</v>
      </c>
      <c r="J1209" s="2">
        <f>ABS(Data[[#This Row],[Betrag]])</f>
        <v>80</v>
      </c>
      <c r="K1209" s="66" t="str">
        <f>IF(Data[[#This Row],[Betrag]]&lt;0,"A","E")</f>
        <v>A</v>
      </c>
    </row>
    <row r="1210" spans="1:11" x14ac:dyDescent="0.25">
      <c r="A1210" s="1">
        <v>43213</v>
      </c>
      <c r="B1210" s="66" t="s">
        <v>67</v>
      </c>
      <c r="C1210" s="66" t="s">
        <v>59</v>
      </c>
      <c r="D1210" t="s">
        <v>68</v>
      </c>
      <c r="E1210">
        <v>-25</v>
      </c>
      <c r="F1210" s="66" t="s">
        <v>7</v>
      </c>
      <c r="G1210" s="66" t="s">
        <v>10</v>
      </c>
      <c r="H1210" s="66" t="str">
        <f>TEXT(Data[[#This Row],[Buchung]],"MMM")</f>
        <v>Apr</v>
      </c>
      <c r="I1210" s="67">
        <f>YEAR(Data[[#This Row],[Buchung]])</f>
        <v>2018</v>
      </c>
      <c r="J1210" s="2">
        <f>ABS(Data[[#This Row],[Betrag]])</f>
        <v>25</v>
      </c>
      <c r="K1210" s="66" t="str">
        <f>IF(Data[[#This Row],[Betrag]]&lt;0,"A","E")</f>
        <v>A</v>
      </c>
    </row>
    <row r="1211" spans="1:11" x14ac:dyDescent="0.25">
      <c r="A1211" s="1">
        <v>43214</v>
      </c>
      <c r="B1211" s="66" t="s">
        <v>45</v>
      </c>
      <c r="C1211" s="66" t="s">
        <v>46</v>
      </c>
      <c r="D1211" t="s">
        <v>47</v>
      </c>
      <c r="E1211">
        <v>1000</v>
      </c>
      <c r="F1211" s="66" t="s">
        <v>7</v>
      </c>
      <c r="G1211" s="66" t="s">
        <v>9</v>
      </c>
      <c r="H1211" s="66" t="str">
        <f>TEXT(Data[[#This Row],[Buchung]],"MMM")</f>
        <v>Apr</v>
      </c>
      <c r="I1211" s="67">
        <f>YEAR(Data[[#This Row],[Buchung]])</f>
        <v>2018</v>
      </c>
      <c r="J1211" s="2">
        <f>ABS(Data[[#This Row],[Betrag]])</f>
        <v>1000</v>
      </c>
      <c r="K1211" s="66" t="str">
        <f>IF(Data[[#This Row],[Betrag]]&lt;0,"A","E")</f>
        <v>E</v>
      </c>
    </row>
    <row r="1212" spans="1:11" x14ac:dyDescent="0.25">
      <c r="A1212" s="1">
        <v>43215</v>
      </c>
      <c r="B1212" s="66" t="s">
        <v>48</v>
      </c>
      <c r="C1212" s="66" t="s">
        <v>49</v>
      </c>
      <c r="D1212" t="s">
        <v>50</v>
      </c>
      <c r="E1212">
        <v>-15</v>
      </c>
      <c r="F1212" s="66" t="s">
        <v>7</v>
      </c>
      <c r="G1212" s="66" t="s">
        <v>8</v>
      </c>
      <c r="H1212" s="66" t="str">
        <f>TEXT(Data[[#This Row],[Buchung]],"MMM")</f>
        <v>Apr</v>
      </c>
      <c r="I1212" s="67">
        <f>YEAR(Data[[#This Row],[Buchung]])</f>
        <v>2018</v>
      </c>
      <c r="J1212" s="2">
        <f>ABS(Data[[#This Row],[Betrag]])</f>
        <v>15</v>
      </c>
      <c r="K1212" s="66" t="str">
        <f>IF(Data[[#This Row],[Betrag]]&lt;0,"A","E")</f>
        <v>A</v>
      </c>
    </row>
    <row r="1213" spans="1:11" x14ac:dyDescent="0.25">
      <c r="A1213" s="1">
        <v>43216</v>
      </c>
      <c r="B1213" s="66" t="s">
        <v>51</v>
      </c>
      <c r="C1213" s="66" t="s">
        <v>52</v>
      </c>
      <c r="D1213" t="s">
        <v>53</v>
      </c>
      <c r="E1213">
        <v>-350</v>
      </c>
      <c r="F1213" s="66" t="s">
        <v>7</v>
      </c>
      <c r="G1213" s="66" t="s">
        <v>11</v>
      </c>
      <c r="H1213" s="66" t="str">
        <f>TEXT(Data[[#This Row],[Buchung]],"MMM")</f>
        <v>Apr</v>
      </c>
      <c r="I1213" s="67">
        <f>YEAR(Data[[#This Row],[Buchung]])</f>
        <v>2018</v>
      </c>
      <c r="J1213" s="2">
        <f>ABS(Data[[#This Row],[Betrag]])</f>
        <v>350</v>
      </c>
      <c r="K1213" s="66" t="str">
        <f>IF(Data[[#This Row],[Betrag]]&lt;0,"A","E")</f>
        <v>A</v>
      </c>
    </row>
    <row r="1214" spans="1:11" x14ac:dyDescent="0.25">
      <c r="A1214" s="1">
        <v>43217</v>
      </c>
      <c r="B1214" s="66" t="s">
        <v>54</v>
      </c>
      <c r="C1214" s="66" t="s">
        <v>55</v>
      </c>
      <c r="D1214" t="s">
        <v>56</v>
      </c>
      <c r="E1214">
        <v>-120</v>
      </c>
      <c r="F1214" s="66" t="s">
        <v>7</v>
      </c>
      <c r="G1214" s="66" t="s">
        <v>57</v>
      </c>
      <c r="H1214" s="66" t="str">
        <f>TEXT(Data[[#This Row],[Buchung]],"MMM")</f>
        <v>Apr</v>
      </c>
      <c r="I1214" s="67">
        <f>YEAR(Data[[#This Row],[Buchung]])</f>
        <v>2018</v>
      </c>
      <c r="J1214" s="2">
        <f>ABS(Data[[#This Row],[Betrag]])</f>
        <v>120</v>
      </c>
      <c r="K1214" s="66" t="str">
        <f>IF(Data[[#This Row],[Betrag]]&lt;0,"A","E")</f>
        <v>A</v>
      </c>
    </row>
    <row r="1215" spans="1:11" x14ac:dyDescent="0.25">
      <c r="A1215" s="1">
        <v>43218</v>
      </c>
      <c r="B1215" s="66" t="s">
        <v>58</v>
      </c>
      <c r="C1215" s="66" t="s">
        <v>59</v>
      </c>
      <c r="D1215" t="s">
        <v>60</v>
      </c>
      <c r="E1215">
        <v>-70</v>
      </c>
      <c r="F1215" s="66" t="s">
        <v>7</v>
      </c>
      <c r="G1215" s="66" t="s">
        <v>10</v>
      </c>
      <c r="H1215" s="66" t="str">
        <f>TEXT(Data[[#This Row],[Buchung]],"MMM")</f>
        <v>Apr</v>
      </c>
      <c r="I1215" s="67">
        <f>YEAR(Data[[#This Row],[Buchung]])</f>
        <v>2018</v>
      </c>
      <c r="J1215" s="2">
        <f>ABS(Data[[#This Row],[Betrag]])</f>
        <v>70</v>
      </c>
      <c r="K1215" s="66" t="str">
        <f>IF(Data[[#This Row],[Betrag]]&lt;0,"A","E")</f>
        <v>A</v>
      </c>
    </row>
    <row r="1216" spans="1:11" x14ac:dyDescent="0.25">
      <c r="A1216" s="1">
        <v>43219</v>
      </c>
      <c r="B1216" s="66" t="s">
        <v>45</v>
      </c>
      <c r="C1216" s="66" t="s">
        <v>46</v>
      </c>
      <c r="D1216" t="s">
        <v>47</v>
      </c>
      <c r="E1216">
        <v>1000</v>
      </c>
      <c r="F1216" s="66" t="s">
        <v>7</v>
      </c>
      <c r="G1216" s="66" t="s">
        <v>9</v>
      </c>
      <c r="H1216" s="66" t="str">
        <f>TEXT(Data[[#This Row],[Buchung]],"MMM")</f>
        <v>Apr</v>
      </c>
      <c r="I1216" s="67">
        <f>YEAR(Data[[#This Row],[Buchung]])</f>
        <v>2018</v>
      </c>
      <c r="J1216" s="2">
        <f>ABS(Data[[#This Row],[Betrag]])</f>
        <v>1000</v>
      </c>
      <c r="K1216" s="66" t="str">
        <f>IF(Data[[#This Row],[Betrag]]&lt;0,"A","E")</f>
        <v>E</v>
      </c>
    </row>
    <row r="1217" spans="1:11" x14ac:dyDescent="0.25">
      <c r="A1217" s="1">
        <v>43220</v>
      </c>
      <c r="B1217" s="66" t="s">
        <v>61</v>
      </c>
      <c r="C1217" s="66" t="s">
        <v>49</v>
      </c>
      <c r="D1217" t="s">
        <v>62</v>
      </c>
      <c r="E1217">
        <v>-10</v>
      </c>
      <c r="F1217" s="66" t="s">
        <v>7</v>
      </c>
      <c r="G1217" s="66" t="s">
        <v>8</v>
      </c>
      <c r="H1217" s="66" t="str">
        <f>TEXT(Data[[#This Row],[Buchung]],"MMM")</f>
        <v>Apr</v>
      </c>
      <c r="I1217" s="67">
        <f>YEAR(Data[[#This Row],[Buchung]])</f>
        <v>2018</v>
      </c>
      <c r="J1217" s="2">
        <f>ABS(Data[[#This Row],[Betrag]])</f>
        <v>10</v>
      </c>
      <c r="K1217" s="66" t="str">
        <f>IF(Data[[#This Row],[Betrag]]&lt;0,"A","E")</f>
        <v>A</v>
      </c>
    </row>
    <row r="1218" spans="1:11" x14ac:dyDescent="0.25">
      <c r="A1218" s="1">
        <v>43221</v>
      </c>
      <c r="B1218" s="66" t="s">
        <v>63</v>
      </c>
      <c r="C1218" s="66" t="s">
        <v>64</v>
      </c>
      <c r="D1218" t="s">
        <v>65</v>
      </c>
      <c r="E1218">
        <v>-60</v>
      </c>
      <c r="F1218" s="66" t="s">
        <v>7</v>
      </c>
      <c r="G1218" s="66" t="s">
        <v>11</v>
      </c>
      <c r="H1218" s="66" t="str">
        <f>TEXT(Data[[#This Row],[Buchung]],"MMM")</f>
        <v>Mai</v>
      </c>
      <c r="I1218" s="67">
        <f>YEAR(Data[[#This Row],[Buchung]])</f>
        <v>2018</v>
      </c>
      <c r="J1218" s="2">
        <f>ABS(Data[[#This Row],[Betrag]])</f>
        <v>60</v>
      </c>
      <c r="K1218" s="66" t="str">
        <f>IF(Data[[#This Row],[Betrag]]&lt;0,"A","E")</f>
        <v>A</v>
      </c>
    </row>
    <row r="1219" spans="1:11" x14ac:dyDescent="0.25">
      <c r="A1219" s="1">
        <v>43222</v>
      </c>
      <c r="B1219" s="66" t="s">
        <v>54</v>
      </c>
      <c r="C1219" s="66" t="s">
        <v>55</v>
      </c>
      <c r="D1219" t="s">
        <v>66</v>
      </c>
      <c r="E1219">
        <v>-80</v>
      </c>
      <c r="F1219" s="66" t="s">
        <v>7</v>
      </c>
      <c r="G1219" s="66" t="s">
        <v>57</v>
      </c>
      <c r="H1219" s="66" t="str">
        <f>TEXT(Data[[#This Row],[Buchung]],"MMM")</f>
        <v>Mai</v>
      </c>
      <c r="I1219" s="67">
        <f>YEAR(Data[[#This Row],[Buchung]])</f>
        <v>2018</v>
      </c>
      <c r="J1219" s="2">
        <f>ABS(Data[[#This Row],[Betrag]])</f>
        <v>80</v>
      </c>
      <c r="K1219" s="66" t="str">
        <f>IF(Data[[#This Row],[Betrag]]&lt;0,"A","E")</f>
        <v>A</v>
      </c>
    </row>
    <row r="1220" spans="1:11" x14ac:dyDescent="0.25">
      <c r="A1220" s="1">
        <v>43223</v>
      </c>
      <c r="B1220" s="66" t="s">
        <v>67</v>
      </c>
      <c r="C1220" s="66" t="s">
        <v>59</v>
      </c>
      <c r="D1220" t="s">
        <v>68</v>
      </c>
      <c r="E1220">
        <v>-30</v>
      </c>
      <c r="F1220" s="66" t="s">
        <v>7</v>
      </c>
      <c r="G1220" s="66" t="s">
        <v>10</v>
      </c>
      <c r="H1220" s="66" t="str">
        <f>TEXT(Data[[#This Row],[Buchung]],"MMM")</f>
        <v>Mai</v>
      </c>
      <c r="I1220" s="67">
        <f>YEAR(Data[[#This Row],[Buchung]])</f>
        <v>2018</v>
      </c>
      <c r="J1220" s="2">
        <f>ABS(Data[[#This Row],[Betrag]])</f>
        <v>30</v>
      </c>
      <c r="K1220" s="66" t="str">
        <f>IF(Data[[#This Row],[Betrag]]&lt;0,"A","E")</f>
        <v>A</v>
      </c>
    </row>
    <row r="1221" spans="1:11" x14ac:dyDescent="0.25">
      <c r="A1221" s="1">
        <v>43224</v>
      </c>
      <c r="B1221" s="66" t="s">
        <v>45</v>
      </c>
      <c r="C1221" s="66" t="s">
        <v>46</v>
      </c>
      <c r="D1221" t="s">
        <v>47</v>
      </c>
      <c r="E1221">
        <v>1000</v>
      </c>
      <c r="F1221" s="66" t="s">
        <v>7</v>
      </c>
      <c r="G1221" s="66" t="s">
        <v>9</v>
      </c>
      <c r="H1221" s="66" t="str">
        <f>TEXT(Data[[#This Row],[Buchung]],"MMM")</f>
        <v>Mai</v>
      </c>
      <c r="I1221" s="67">
        <f>YEAR(Data[[#This Row],[Buchung]])</f>
        <v>2018</v>
      </c>
      <c r="J1221" s="2">
        <f>ABS(Data[[#This Row],[Betrag]])</f>
        <v>1000</v>
      </c>
      <c r="K1221" s="66" t="str">
        <f>IF(Data[[#This Row],[Betrag]]&lt;0,"A","E")</f>
        <v>E</v>
      </c>
    </row>
    <row r="1222" spans="1:11" x14ac:dyDescent="0.25">
      <c r="A1222" s="1">
        <v>43225</v>
      </c>
      <c r="B1222" s="66" t="s">
        <v>48</v>
      </c>
      <c r="C1222" s="66" t="s">
        <v>49</v>
      </c>
      <c r="D1222" t="s">
        <v>50</v>
      </c>
      <c r="E1222">
        <v>-15</v>
      </c>
      <c r="F1222" s="66" t="s">
        <v>7</v>
      </c>
      <c r="G1222" s="66" t="s">
        <v>8</v>
      </c>
      <c r="H1222" s="66" t="str">
        <f>TEXT(Data[[#This Row],[Buchung]],"MMM")</f>
        <v>Mai</v>
      </c>
      <c r="I1222" s="67">
        <f>YEAR(Data[[#This Row],[Buchung]])</f>
        <v>2018</v>
      </c>
      <c r="J1222" s="2">
        <f>ABS(Data[[#This Row],[Betrag]])</f>
        <v>15</v>
      </c>
      <c r="K1222" s="66" t="str">
        <f>IF(Data[[#This Row],[Betrag]]&lt;0,"A","E")</f>
        <v>A</v>
      </c>
    </row>
    <row r="1223" spans="1:11" x14ac:dyDescent="0.25">
      <c r="A1223" s="1">
        <v>43226</v>
      </c>
      <c r="B1223" s="66" t="s">
        <v>51</v>
      </c>
      <c r="C1223" s="66" t="s">
        <v>52</v>
      </c>
      <c r="D1223" t="s">
        <v>53</v>
      </c>
      <c r="E1223">
        <v>-350</v>
      </c>
      <c r="F1223" s="66" t="s">
        <v>7</v>
      </c>
      <c r="G1223" s="66" t="s">
        <v>11</v>
      </c>
      <c r="H1223" s="66" t="str">
        <f>TEXT(Data[[#This Row],[Buchung]],"MMM")</f>
        <v>Mai</v>
      </c>
      <c r="I1223" s="67">
        <f>YEAR(Data[[#This Row],[Buchung]])</f>
        <v>2018</v>
      </c>
      <c r="J1223" s="2">
        <f>ABS(Data[[#This Row],[Betrag]])</f>
        <v>350</v>
      </c>
      <c r="K1223" s="66" t="str">
        <f>IF(Data[[#This Row],[Betrag]]&lt;0,"A","E")</f>
        <v>A</v>
      </c>
    </row>
    <row r="1224" spans="1:11" x14ac:dyDescent="0.25">
      <c r="A1224" s="1">
        <v>43227</v>
      </c>
      <c r="B1224" s="66" t="s">
        <v>54</v>
      </c>
      <c r="C1224" s="66" t="s">
        <v>55</v>
      </c>
      <c r="D1224" t="s">
        <v>56</v>
      </c>
      <c r="E1224">
        <v>-120</v>
      </c>
      <c r="F1224" s="66" t="s">
        <v>7</v>
      </c>
      <c r="G1224" s="66" t="s">
        <v>57</v>
      </c>
      <c r="H1224" s="66" t="str">
        <f>TEXT(Data[[#This Row],[Buchung]],"MMM")</f>
        <v>Mai</v>
      </c>
      <c r="I1224" s="67">
        <f>YEAR(Data[[#This Row],[Buchung]])</f>
        <v>2018</v>
      </c>
      <c r="J1224" s="2">
        <f>ABS(Data[[#This Row],[Betrag]])</f>
        <v>120</v>
      </c>
      <c r="K1224" s="66" t="str">
        <f>IF(Data[[#This Row],[Betrag]]&lt;0,"A","E")</f>
        <v>A</v>
      </c>
    </row>
    <row r="1225" spans="1:11" x14ac:dyDescent="0.25">
      <c r="A1225" s="1">
        <v>43228</v>
      </c>
      <c r="B1225" s="66" t="s">
        <v>58</v>
      </c>
      <c r="C1225" s="66" t="s">
        <v>59</v>
      </c>
      <c r="D1225" t="s">
        <v>60</v>
      </c>
      <c r="E1225">
        <v>-80</v>
      </c>
      <c r="F1225" s="66" t="s">
        <v>7</v>
      </c>
      <c r="G1225" s="66" t="s">
        <v>10</v>
      </c>
      <c r="H1225" s="66" t="str">
        <f>TEXT(Data[[#This Row],[Buchung]],"MMM")</f>
        <v>Mai</v>
      </c>
      <c r="I1225" s="67">
        <f>YEAR(Data[[#This Row],[Buchung]])</f>
        <v>2018</v>
      </c>
      <c r="J1225" s="2">
        <f>ABS(Data[[#This Row],[Betrag]])</f>
        <v>80</v>
      </c>
      <c r="K1225" s="66" t="str">
        <f>IF(Data[[#This Row],[Betrag]]&lt;0,"A","E")</f>
        <v>A</v>
      </c>
    </row>
    <row r="1226" spans="1:11" x14ac:dyDescent="0.25">
      <c r="A1226" s="1">
        <v>43229</v>
      </c>
      <c r="B1226" s="66" t="s">
        <v>45</v>
      </c>
      <c r="C1226" s="66" t="s">
        <v>46</v>
      </c>
      <c r="D1226" t="s">
        <v>47</v>
      </c>
      <c r="E1226">
        <v>1000</v>
      </c>
      <c r="F1226" s="66" t="s">
        <v>7</v>
      </c>
      <c r="G1226" s="66" t="s">
        <v>9</v>
      </c>
      <c r="H1226" s="66" t="str">
        <f>TEXT(Data[[#This Row],[Buchung]],"MMM")</f>
        <v>Mai</v>
      </c>
      <c r="I1226" s="67">
        <f>YEAR(Data[[#This Row],[Buchung]])</f>
        <v>2018</v>
      </c>
      <c r="J1226" s="2">
        <f>ABS(Data[[#This Row],[Betrag]])</f>
        <v>1000</v>
      </c>
      <c r="K1226" s="66" t="str">
        <f>IF(Data[[#This Row],[Betrag]]&lt;0,"A","E")</f>
        <v>E</v>
      </c>
    </row>
    <row r="1227" spans="1:11" x14ac:dyDescent="0.25">
      <c r="A1227" s="1">
        <v>43230</v>
      </c>
      <c r="B1227" s="66" t="s">
        <v>61</v>
      </c>
      <c r="C1227" s="66" t="s">
        <v>49</v>
      </c>
      <c r="D1227" t="s">
        <v>62</v>
      </c>
      <c r="E1227">
        <v>-10</v>
      </c>
      <c r="F1227" s="66" t="s">
        <v>7</v>
      </c>
      <c r="G1227" s="66" t="s">
        <v>8</v>
      </c>
      <c r="H1227" s="66" t="str">
        <f>TEXT(Data[[#This Row],[Buchung]],"MMM")</f>
        <v>Mai</v>
      </c>
      <c r="I1227" s="67">
        <f>YEAR(Data[[#This Row],[Buchung]])</f>
        <v>2018</v>
      </c>
      <c r="J1227" s="2">
        <f>ABS(Data[[#This Row],[Betrag]])</f>
        <v>10</v>
      </c>
      <c r="K1227" s="66" t="str">
        <f>IF(Data[[#This Row],[Betrag]]&lt;0,"A","E")</f>
        <v>A</v>
      </c>
    </row>
    <row r="1228" spans="1:11" x14ac:dyDescent="0.25">
      <c r="A1228" s="1">
        <v>43231</v>
      </c>
      <c r="B1228" s="66" t="s">
        <v>63</v>
      </c>
      <c r="C1228" s="66" t="s">
        <v>64</v>
      </c>
      <c r="D1228" t="s">
        <v>65</v>
      </c>
      <c r="E1228">
        <v>-65</v>
      </c>
      <c r="F1228" s="66" t="s">
        <v>7</v>
      </c>
      <c r="G1228" s="66" t="s">
        <v>11</v>
      </c>
      <c r="H1228" s="66" t="str">
        <f>TEXT(Data[[#This Row],[Buchung]],"MMM")</f>
        <v>Mai</v>
      </c>
      <c r="I1228" s="67">
        <f>YEAR(Data[[#This Row],[Buchung]])</f>
        <v>2018</v>
      </c>
      <c r="J1228" s="2">
        <f>ABS(Data[[#This Row],[Betrag]])</f>
        <v>65</v>
      </c>
      <c r="K1228" s="66" t="str">
        <f>IF(Data[[#This Row],[Betrag]]&lt;0,"A","E")</f>
        <v>A</v>
      </c>
    </row>
    <row r="1229" spans="1:11" x14ac:dyDescent="0.25">
      <c r="A1229" s="1">
        <v>43232</v>
      </c>
      <c r="B1229" s="66" t="s">
        <v>54</v>
      </c>
      <c r="C1229" s="66" t="s">
        <v>55</v>
      </c>
      <c r="D1229" t="s">
        <v>66</v>
      </c>
      <c r="E1229">
        <v>-80</v>
      </c>
      <c r="F1229" s="66" t="s">
        <v>7</v>
      </c>
      <c r="G1229" s="66" t="s">
        <v>57</v>
      </c>
      <c r="H1229" s="66" t="str">
        <f>TEXT(Data[[#This Row],[Buchung]],"MMM")</f>
        <v>Mai</v>
      </c>
      <c r="I1229" s="67">
        <f>YEAR(Data[[#This Row],[Buchung]])</f>
        <v>2018</v>
      </c>
      <c r="J1229" s="2">
        <f>ABS(Data[[#This Row],[Betrag]])</f>
        <v>80</v>
      </c>
      <c r="K1229" s="66" t="str">
        <f>IF(Data[[#This Row],[Betrag]]&lt;0,"A","E")</f>
        <v>A</v>
      </c>
    </row>
    <row r="1230" spans="1:11" x14ac:dyDescent="0.25">
      <c r="A1230" s="1">
        <v>43233</v>
      </c>
      <c r="B1230" s="66" t="s">
        <v>67</v>
      </c>
      <c r="C1230" s="66" t="s">
        <v>59</v>
      </c>
      <c r="D1230" t="s">
        <v>68</v>
      </c>
      <c r="E1230">
        <v>-35</v>
      </c>
      <c r="F1230" s="66" t="s">
        <v>7</v>
      </c>
      <c r="G1230" s="66" t="s">
        <v>10</v>
      </c>
      <c r="H1230" s="66" t="str">
        <f>TEXT(Data[[#This Row],[Buchung]],"MMM")</f>
        <v>Mai</v>
      </c>
      <c r="I1230" s="67">
        <f>YEAR(Data[[#This Row],[Buchung]])</f>
        <v>2018</v>
      </c>
      <c r="J1230" s="2">
        <f>ABS(Data[[#This Row],[Betrag]])</f>
        <v>35</v>
      </c>
      <c r="K1230" s="66" t="str">
        <f>IF(Data[[#This Row],[Betrag]]&lt;0,"A","E")</f>
        <v>A</v>
      </c>
    </row>
    <row r="1231" spans="1:11" x14ac:dyDescent="0.25">
      <c r="A1231" s="1">
        <v>43234</v>
      </c>
      <c r="B1231" s="66" t="s">
        <v>45</v>
      </c>
      <c r="C1231" s="66" t="s">
        <v>46</v>
      </c>
      <c r="D1231" t="s">
        <v>47</v>
      </c>
      <c r="E1231">
        <v>1000</v>
      </c>
      <c r="F1231" s="66" t="s">
        <v>7</v>
      </c>
      <c r="G1231" s="66" t="s">
        <v>9</v>
      </c>
      <c r="H1231" s="66" t="str">
        <f>TEXT(Data[[#This Row],[Buchung]],"MMM")</f>
        <v>Mai</v>
      </c>
      <c r="I1231" s="67">
        <f>YEAR(Data[[#This Row],[Buchung]])</f>
        <v>2018</v>
      </c>
      <c r="J1231" s="2">
        <f>ABS(Data[[#This Row],[Betrag]])</f>
        <v>1000</v>
      </c>
      <c r="K1231" s="66" t="str">
        <f>IF(Data[[#This Row],[Betrag]]&lt;0,"A","E")</f>
        <v>E</v>
      </c>
    </row>
    <row r="1232" spans="1:11" x14ac:dyDescent="0.25">
      <c r="A1232" s="1">
        <v>43235</v>
      </c>
      <c r="B1232" s="66" t="s">
        <v>45</v>
      </c>
      <c r="C1232" s="66" t="s">
        <v>46</v>
      </c>
      <c r="D1232" t="s">
        <v>47</v>
      </c>
      <c r="E1232">
        <v>1000</v>
      </c>
      <c r="F1232" s="66" t="s">
        <v>7</v>
      </c>
      <c r="G1232" s="66" t="s">
        <v>9</v>
      </c>
      <c r="H1232" s="66" t="str">
        <f>TEXT(Data[[#This Row],[Buchung]],"MMM")</f>
        <v>Mai</v>
      </c>
      <c r="I1232" s="67">
        <f>YEAR(Data[[#This Row],[Buchung]])</f>
        <v>2018</v>
      </c>
      <c r="J1232" s="2">
        <f>ABS(Data[[#This Row],[Betrag]])</f>
        <v>1000</v>
      </c>
      <c r="K1232" s="66" t="str">
        <f>IF(Data[[#This Row],[Betrag]]&lt;0,"A","E")</f>
        <v>E</v>
      </c>
    </row>
    <row r="1233" spans="1:11" x14ac:dyDescent="0.25">
      <c r="A1233" s="1">
        <v>43236</v>
      </c>
      <c r="B1233" s="66" t="s">
        <v>48</v>
      </c>
      <c r="C1233" s="66" t="s">
        <v>49</v>
      </c>
      <c r="D1233" t="s">
        <v>50</v>
      </c>
      <c r="E1233">
        <v>-15</v>
      </c>
      <c r="F1233" s="66" t="s">
        <v>7</v>
      </c>
      <c r="G1233" s="66" t="s">
        <v>8</v>
      </c>
      <c r="H1233" s="66" t="str">
        <f>TEXT(Data[[#This Row],[Buchung]],"MMM")</f>
        <v>Mai</v>
      </c>
      <c r="I1233" s="67">
        <f>YEAR(Data[[#This Row],[Buchung]])</f>
        <v>2018</v>
      </c>
      <c r="J1233" s="2">
        <f>ABS(Data[[#This Row],[Betrag]])</f>
        <v>15</v>
      </c>
      <c r="K1233" s="66" t="str">
        <f>IF(Data[[#This Row],[Betrag]]&lt;0,"A","E")</f>
        <v>A</v>
      </c>
    </row>
    <row r="1234" spans="1:11" x14ac:dyDescent="0.25">
      <c r="A1234" s="1">
        <v>43237</v>
      </c>
      <c r="B1234" s="66" t="s">
        <v>51</v>
      </c>
      <c r="C1234" s="66" t="s">
        <v>52</v>
      </c>
      <c r="D1234" t="s">
        <v>53</v>
      </c>
      <c r="E1234">
        <v>-350</v>
      </c>
      <c r="F1234" s="66" t="s">
        <v>7</v>
      </c>
      <c r="G1234" s="66" t="s">
        <v>11</v>
      </c>
      <c r="H1234" s="66" t="str">
        <f>TEXT(Data[[#This Row],[Buchung]],"MMM")</f>
        <v>Mai</v>
      </c>
      <c r="I1234" s="67">
        <f>YEAR(Data[[#This Row],[Buchung]])</f>
        <v>2018</v>
      </c>
      <c r="J1234" s="2">
        <f>ABS(Data[[#This Row],[Betrag]])</f>
        <v>350</v>
      </c>
      <c r="K1234" s="66" t="str">
        <f>IF(Data[[#This Row],[Betrag]]&lt;0,"A","E")</f>
        <v>A</v>
      </c>
    </row>
    <row r="1235" spans="1:11" x14ac:dyDescent="0.25">
      <c r="A1235" s="1">
        <v>43238</v>
      </c>
      <c r="B1235" s="66" t="s">
        <v>54</v>
      </c>
      <c r="C1235" s="66" t="s">
        <v>55</v>
      </c>
      <c r="D1235" t="s">
        <v>56</v>
      </c>
      <c r="E1235">
        <v>-120</v>
      </c>
      <c r="F1235" s="66" t="s">
        <v>7</v>
      </c>
      <c r="G1235" s="66" t="s">
        <v>57</v>
      </c>
      <c r="H1235" s="66" t="str">
        <f>TEXT(Data[[#This Row],[Buchung]],"MMM")</f>
        <v>Mai</v>
      </c>
      <c r="I1235" s="67">
        <f>YEAR(Data[[#This Row],[Buchung]])</f>
        <v>2018</v>
      </c>
      <c r="J1235" s="2">
        <f>ABS(Data[[#This Row],[Betrag]])</f>
        <v>120</v>
      </c>
      <c r="K1235" s="66" t="str">
        <f>IF(Data[[#This Row],[Betrag]]&lt;0,"A","E")</f>
        <v>A</v>
      </c>
    </row>
    <row r="1236" spans="1:11" x14ac:dyDescent="0.25">
      <c r="A1236" s="1">
        <v>43239</v>
      </c>
      <c r="B1236" s="66" t="s">
        <v>58</v>
      </c>
      <c r="C1236" s="66" t="s">
        <v>59</v>
      </c>
      <c r="D1236" t="s">
        <v>60</v>
      </c>
      <c r="E1236">
        <v>-50</v>
      </c>
      <c r="F1236" s="66" t="s">
        <v>7</v>
      </c>
      <c r="G1236" s="66" t="s">
        <v>10</v>
      </c>
      <c r="H1236" s="66" t="str">
        <f>TEXT(Data[[#This Row],[Buchung]],"MMM")</f>
        <v>Mai</v>
      </c>
      <c r="I1236" s="67">
        <f>YEAR(Data[[#This Row],[Buchung]])</f>
        <v>2018</v>
      </c>
      <c r="J1236" s="2">
        <f>ABS(Data[[#This Row],[Betrag]])</f>
        <v>50</v>
      </c>
      <c r="K1236" s="66" t="str">
        <f>IF(Data[[#This Row],[Betrag]]&lt;0,"A","E")</f>
        <v>A</v>
      </c>
    </row>
    <row r="1237" spans="1:11" x14ac:dyDescent="0.25">
      <c r="A1237" s="1">
        <v>43240</v>
      </c>
      <c r="B1237" s="66" t="s">
        <v>45</v>
      </c>
      <c r="C1237" s="66" t="s">
        <v>46</v>
      </c>
      <c r="D1237" t="s">
        <v>47</v>
      </c>
      <c r="E1237">
        <v>1000</v>
      </c>
      <c r="F1237" s="66" t="s">
        <v>7</v>
      </c>
      <c r="G1237" s="66" t="s">
        <v>9</v>
      </c>
      <c r="H1237" s="66" t="str">
        <f>TEXT(Data[[#This Row],[Buchung]],"MMM")</f>
        <v>Mai</v>
      </c>
      <c r="I1237" s="67">
        <f>YEAR(Data[[#This Row],[Buchung]])</f>
        <v>2018</v>
      </c>
      <c r="J1237" s="2">
        <f>ABS(Data[[#This Row],[Betrag]])</f>
        <v>1000</v>
      </c>
      <c r="K1237" s="66" t="str">
        <f>IF(Data[[#This Row],[Betrag]]&lt;0,"A","E")</f>
        <v>E</v>
      </c>
    </row>
    <row r="1238" spans="1:11" x14ac:dyDescent="0.25">
      <c r="A1238" s="1">
        <v>43241</v>
      </c>
      <c r="B1238" s="66" t="s">
        <v>61</v>
      </c>
      <c r="C1238" s="66" t="s">
        <v>49</v>
      </c>
      <c r="D1238" t="s">
        <v>62</v>
      </c>
      <c r="E1238">
        <v>-10</v>
      </c>
      <c r="F1238" s="66" t="s">
        <v>7</v>
      </c>
      <c r="G1238" s="66" t="s">
        <v>8</v>
      </c>
      <c r="H1238" s="66" t="str">
        <f>TEXT(Data[[#This Row],[Buchung]],"MMM")</f>
        <v>Mai</v>
      </c>
      <c r="I1238" s="67">
        <f>YEAR(Data[[#This Row],[Buchung]])</f>
        <v>2018</v>
      </c>
      <c r="J1238" s="2">
        <f>ABS(Data[[#This Row],[Betrag]])</f>
        <v>10</v>
      </c>
      <c r="K1238" s="66" t="str">
        <f>IF(Data[[#This Row],[Betrag]]&lt;0,"A","E")</f>
        <v>A</v>
      </c>
    </row>
    <row r="1239" spans="1:11" x14ac:dyDescent="0.25">
      <c r="A1239" s="1">
        <v>43242</v>
      </c>
      <c r="B1239" s="66" t="s">
        <v>63</v>
      </c>
      <c r="C1239" s="66" t="s">
        <v>64</v>
      </c>
      <c r="D1239" t="s">
        <v>65</v>
      </c>
      <c r="E1239">
        <v>-60</v>
      </c>
      <c r="F1239" s="66" t="s">
        <v>7</v>
      </c>
      <c r="G1239" s="66" t="s">
        <v>11</v>
      </c>
      <c r="H1239" s="66" t="str">
        <f>TEXT(Data[[#This Row],[Buchung]],"MMM")</f>
        <v>Mai</v>
      </c>
      <c r="I1239" s="67">
        <f>YEAR(Data[[#This Row],[Buchung]])</f>
        <v>2018</v>
      </c>
      <c r="J1239" s="2">
        <f>ABS(Data[[#This Row],[Betrag]])</f>
        <v>60</v>
      </c>
      <c r="K1239" s="66" t="str">
        <f>IF(Data[[#This Row],[Betrag]]&lt;0,"A","E")</f>
        <v>A</v>
      </c>
    </row>
    <row r="1240" spans="1:11" x14ac:dyDescent="0.25">
      <c r="A1240" s="1">
        <v>43243</v>
      </c>
      <c r="B1240" s="66" t="s">
        <v>54</v>
      </c>
      <c r="C1240" s="66" t="s">
        <v>55</v>
      </c>
      <c r="D1240" t="s">
        <v>66</v>
      </c>
      <c r="E1240">
        <v>-80</v>
      </c>
      <c r="F1240" s="66" t="s">
        <v>7</v>
      </c>
      <c r="G1240" s="66" t="s">
        <v>57</v>
      </c>
      <c r="H1240" s="66" t="str">
        <f>TEXT(Data[[#This Row],[Buchung]],"MMM")</f>
        <v>Mai</v>
      </c>
      <c r="I1240" s="67">
        <f>YEAR(Data[[#This Row],[Buchung]])</f>
        <v>2018</v>
      </c>
      <c r="J1240" s="2">
        <f>ABS(Data[[#This Row],[Betrag]])</f>
        <v>80</v>
      </c>
      <c r="K1240" s="66" t="str">
        <f>IF(Data[[#This Row],[Betrag]]&lt;0,"A","E")</f>
        <v>A</v>
      </c>
    </row>
    <row r="1241" spans="1:11" x14ac:dyDescent="0.25">
      <c r="A1241" s="1">
        <v>43244</v>
      </c>
      <c r="B1241" s="66" t="s">
        <v>67</v>
      </c>
      <c r="C1241" s="66" t="s">
        <v>59</v>
      </c>
      <c r="D1241" t="s">
        <v>68</v>
      </c>
      <c r="E1241">
        <v>-20</v>
      </c>
      <c r="F1241" s="66" t="s">
        <v>7</v>
      </c>
      <c r="G1241" s="66" t="s">
        <v>10</v>
      </c>
      <c r="H1241" s="66" t="str">
        <f>TEXT(Data[[#This Row],[Buchung]],"MMM")</f>
        <v>Mai</v>
      </c>
      <c r="I1241" s="67">
        <f>YEAR(Data[[#This Row],[Buchung]])</f>
        <v>2018</v>
      </c>
      <c r="J1241" s="2">
        <f>ABS(Data[[#This Row],[Betrag]])</f>
        <v>20</v>
      </c>
      <c r="K1241" s="66" t="str">
        <f>IF(Data[[#This Row],[Betrag]]&lt;0,"A","E")</f>
        <v>A</v>
      </c>
    </row>
    <row r="1242" spans="1:11" x14ac:dyDescent="0.25">
      <c r="A1242" s="1">
        <v>43245</v>
      </c>
      <c r="B1242" s="66" t="s">
        <v>45</v>
      </c>
      <c r="C1242" s="66" t="s">
        <v>46</v>
      </c>
      <c r="D1242" t="s">
        <v>47</v>
      </c>
      <c r="E1242">
        <v>1000</v>
      </c>
      <c r="F1242" s="66" t="s">
        <v>7</v>
      </c>
      <c r="G1242" s="66" t="s">
        <v>9</v>
      </c>
      <c r="H1242" s="66" t="str">
        <f>TEXT(Data[[#This Row],[Buchung]],"MMM")</f>
        <v>Mai</v>
      </c>
      <c r="I1242" s="67">
        <f>YEAR(Data[[#This Row],[Buchung]])</f>
        <v>2018</v>
      </c>
      <c r="J1242" s="2">
        <f>ABS(Data[[#This Row],[Betrag]])</f>
        <v>1000</v>
      </c>
      <c r="K1242" s="66" t="str">
        <f>IF(Data[[#This Row],[Betrag]]&lt;0,"A","E")</f>
        <v>E</v>
      </c>
    </row>
    <row r="1243" spans="1:11" x14ac:dyDescent="0.25">
      <c r="A1243" s="1">
        <v>43246</v>
      </c>
      <c r="B1243" s="66" t="s">
        <v>48</v>
      </c>
      <c r="C1243" s="66" t="s">
        <v>49</v>
      </c>
      <c r="D1243" t="s">
        <v>50</v>
      </c>
      <c r="E1243">
        <v>-15</v>
      </c>
      <c r="F1243" s="66" t="s">
        <v>7</v>
      </c>
      <c r="G1243" s="66" t="s">
        <v>8</v>
      </c>
      <c r="H1243" s="66" t="str">
        <f>TEXT(Data[[#This Row],[Buchung]],"MMM")</f>
        <v>Mai</v>
      </c>
      <c r="I1243" s="67">
        <f>YEAR(Data[[#This Row],[Buchung]])</f>
        <v>2018</v>
      </c>
      <c r="J1243" s="2">
        <f>ABS(Data[[#This Row],[Betrag]])</f>
        <v>15</v>
      </c>
      <c r="K1243" s="66" t="str">
        <f>IF(Data[[#This Row],[Betrag]]&lt;0,"A","E")</f>
        <v>A</v>
      </c>
    </row>
    <row r="1244" spans="1:11" x14ac:dyDescent="0.25">
      <c r="A1244" s="1">
        <v>43247</v>
      </c>
      <c r="B1244" s="66" t="s">
        <v>51</v>
      </c>
      <c r="C1244" s="66" t="s">
        <v>52</v>
      </c>
      <c r="D1244" t="s">
        <v>53</v>
      </c>
      <c r="E1244">
        <v>-350</v>
      </c>
      <c r="F1244" s="66" t="s">
        <v>7</v>
      </c>
      <c r="G1244" s="66" t="s">
        <v>11</v>
      </c>
      <c r="H1244" s="66" t="str">
        <f>TEXT(Data[[#This Row],[Buchung]],"MMM")</f>
        <v>Mai</v>
      </c>
      <c r="I1244" s="67">
        <f>YEAR(Data[[#This Row],[Buchung]])</f>
        <v>2018</v>
      </c>
      <c r="J1244" s="2">
        <f>ABS(Data[[#This Row],[Betrag]])</f>
        <v>350</v>
      </c>
      <c r="K1244" s="66" t="str">
        <f>IF(Data[[#This Row],[Betrag]]&lt;0,"A","E")</f>
        <v>A</v>
      </c>
    </row>
    <row r="1245" spans="1:11" x14ac:dyDescent="0.25">
      <c r="A1245" s="1">
        <v>43248</v>
      </c>
      <c r="B1245" s="66" t="s">
        <v>54</v>
      </c>
      <c r="C1245" s="66" t="s">
        <v>55</v>
      </c>
      <c r="D1245" t="s">
        <v>56</v>
      </c>
      <c r="E1245">
        <v>-120</v>
      </c>
      <c r="F1245" s="66" t="s">
        <v>7</v>
      </c>
      <c r="G1245" s="66" t="s">
        <v>57</v>
      </c>
      <c r="H1245" s="66" t="str">
        <f>TEXT(Data[[#This Row],[Buchung]],"MMM")</f>
        <v>Mai</v>
      </c>
      <c r="I1245" s="67">
        <f>YEAR(Data[[#This Row],[Buchung]])</f>
        <v>2018</v>
      </c>
      <c r="J1245" s="2">
        <f>ABS(Data[[#This Row],[Betrag]])</f>
        <v>120</v>
      </c>
      <c r="K1245" s="66" t="str">
        <f>IF(Data[[#This Row],[Betrag]]&lt;0,"A","E")</f>
        <v>A</v>
      </c>
    </row>
    <row r="1246" spans="1:11" x14ac:dyDescent="0.25">
      <c r="A1246" s="1">
        <v>43249</v>
      </c>
      <c r="B1246" s="66" t="s">
        <v>58</v>
      </c>
      <c r="C1246" s="66" t="s">
        <v>59</v>
      </c>
      <c r="D1246" t="s">
        <v>60</v>
      </c>
      <c r="E1246">
        <v>-60</v>
      </c>
      <c r="F1246" s="66" t="s">
        <v>7</v>
      </c>
      <c r="G1246" s="66" t="s">
        <v>10</v>
      </c>
      <c r="H1246" s="66" t="str">
        <f>TEXT(Data[[#This Row],[Buchung]],"MMM")</f>
        <v>Mai</v>
      </c>
      <c r="I1246" s="67">
        <f>YEAR(Data[[#This Row],[Buchung]])</f>
        <v>2018</v>
      </c>
      <c r="J1246" s="2">
        <f>ABS(Data[[#This Row],[Betrag]])</f>
        <v>60</v>
      </c>
      <c r="K1246" s="66" t="str">
        <f>IF(Data[[#This Row],[Betrag]]&lt;0,"A","E")</f>
        <v>A</v>
      </c>
    </row>
    <row r="1247" spans="1:11" x14ac:dyDescent="0.25">
      <c r="A1247" s="1">
        <v>43250</v>
      </c>
      <c r="B1247" s="66" t="s">
        <v>45</v>
      </c>
      <c r="C1247" s="66" t="s">
        <v>46</v>
      </c>
      <c r="D1247" t="s">
        <v>47</v>
      </c>
      <c r="E1247">
        <v>1000</v>
      </c>
      <c r="F1247" s="66" t="s">
        <v>7</v>
      </c>
      <c r="G1247" s="66" t="s">
        <v>9</v>
      </c>
      <c r="H1247" s="66" t="str">
        <f>TEXT(Data[[#This Row],[Buchung]],"MMM")</f>
        <v>Mai</v>
      </c>
      <c r="I1247" s="67">
        <f>YEAR(Data[[#This Row],[Buchung]])</f>
        <v>2018</v>
      </c>
      <c r="J1247" s="2">
        <f>ABS(Data[[#This Row],[Betrag]])</f>
        <v>1000</v>
      </c>
      <c r="K1247" s="66" t="str">
        <f>IF(Data[[#This Row],[Betrag]]&lt;0,"A","E")</f>
        <v>E</v>
      </c>
    </row>
    <row r="1248" spans="1:11" x14ac:dyDescent="0.25">
      <c r="A1248" s="1">
        <v>43251</v>
      </c>
      <c r="B1248" s="66" t="s">
        <v>61</v>
      </c>
      <c r="C1248" s="66" t="s">
        <v>49</v>
      </c>
      <c r="D1248" t="s">
        <v>62</v>
      </c>
      <c r="E1248">
        <v>-10</v>
      </c>
      <c r="F1248" s="66" t="s">
        <v>7</v>
      </c>
      <c r="G1248" s="66" t="s">
        <v>8</v>
      </c>
      <c r="H1248" s="66" t="str">
        <f>TEXT(Data[[#This Row],[Buchung]],"MMM")</f>
        <v>Mai</v>
      </c>
      <c r="I1248" s="67">
        <f>YEAR(Data[[#This Row],[Buchung]])</f>
        <v>2018</v>
      </c>
      <c r="J1248" s="2">
        <f>ABS(Data[[#This Row],[Betrag]])</f>
        <v>10</v>
      </c>
      <c r="K1248" s="66" t="str">
        <f>IF(Data[[#This Row],[Betrag]]&lt;0,"A","E")</f>
        <v>A</v>
      </c>
    </row>
    <row r="1249" spans="1:11" x14ac:dyDescent="0.25">
      <c r="A1249" s="1">
        <v>43252</v>
      </c>
      <c r="B1249" s="66" t="s">
        <v>63</v>
      </c>
      <c r="C1249" s="66" t="s">
        <v>64</v>
      </c>
      <c r="D1249" t="s">
        <v>65</v>
      </c>
      <c r="E1249">
        <v>-70</v>
      </c>
      <c r="F1249" s="66" t="s">
        <v>7</v>
      </c>
      <c r="G1249" s="66" t="s">
        <v>11</v>
      </c>
      <c r="H1249" s="66" t="str">
        <f>TEXT(Data[[#This Row],[Buchung]],"MMM")</f>
        <v>Jun</v>
      </c>
      <c r="I1249" s="67">
        <f>YEAR(Data[[#This Row],[Buchung]])</f>
        <v>2018</v>
      </c>
      <c r="J1249" s="2">
        <f>ABS(Data[[#This Row],[Betrag]])</f>
        <v>70</v>
      </c>
      <c r="K1249" s="66" t="str">
        <f>IF(Data[[#This Row],[Betrag]]&lt;0,"A","E")</f>
        <v>A</v>
      </c>
    </row>
    <row r="1250" spans="1:11" x14ac:dyDescent="0.25">
      <c r="A1250" s="1">
        <v>43253</v>
      </c>
      <c r="B1250" s="66" t="s">
        <v>54</v>
      </c>
      <c r="C1250" s="66" t="s">
        <v>55</v>
      </c>
      <c r="D1250" t="s">
        <v>66</v>
      </c>
      <c r="E1250">
        <v>-80</v>
      </c>
      <c r="F1250" s="66" t="s">
        <v>7</v>
      </c>
      <c r="G1250" s="66" t="s">
        <v>57</v>
      </c>
      <c r="H1250" s="66" t="str">
        <f>TEXT(Data[[#This Row],[Buchung]],"MMM")</f>
        <v>Jun</v>
      </c>
      <c r="I1250" s="67">
        <f>YEAR(Data[[#This Row],[Buchung]])</f>
        <v>2018</v>
      </c>
      <c r="J1250" s="2">
        <f>ABS(Data[[#This Row],[Betrag]])</f>
        <v>80</v>
      </c>
      <c r="K1250" s="66" t="str">
        <f>IF(Data[[#This Row],[Betrag]]&lt;0,"A","E")</f>
        <v>A</v>
      </c>
    </row>
    <row r="1251" spans="1:11" x14ac:dyDescent="0.25">
      <c r="A1251" s="1">
        <v>43254</v>
      </c>
      <c r="B1251" s="66" t="s">
        <v>67</v>
      </c>
      <c r="C1251" s="66" t="s">
        <v>59</v>
      </c>
      <c r="D1251" t="s">
        <v>68</v>
      </c>
      <c r="E1251">
        <v>-25</v>
      </c>
      <c r="F1251" s="66" t="s">
        <v>7</v>
      </c>
      <c r="G1251" s="66" t="s">
        <v>10</v>
      </c>
      <c r="H1251" s="66" t="str">
        <f>TEXT(Data[[#This Row],[Buchung]],"MMM")</f>
        <v>Jun</v>
      </c>
      <c r="I1251" s="67">
        <f>YEAR(Data[[#This Row],[Buchung]])</f>
        <v>2018</v>
      </c>
      <c r="J1251" s="2">
        <f>ABS(Data[[#This Row],[Betrag]])</f>
        <v>25</v>
      </c>
      <c r="K1251" s="66" t="str">
        <f>IF(Data[[#This Row],[Betrag]]&lt;0,"A","E")</f>
        <v>A</v>
      </c>
    </row>
    <row r="1252" spans="1:11" x14ac:dyDescent="0.25">
      <c r="A1252" s="1">
        <v>43255</v>
      </c>
      <c r="B1252" s="66" t="s">
        <v>45</v>
      </c>
      <c r="C1252" s="66" t="s">
        <v>46</v>
      </c>
      <c r="D1252" t="s">
        <v>47</v>
      </c>
      <c r="E1252">
        <v>1000</v>
      </c>
      <c r="F1252" s="66" t="s">
        <v>7</v>
      </c>
      <c r="G1252" s="66" t="s">
        <v>9</v>
      </c>
      <c r="H1252" s="66" t="str">
        <f>TEXT(Data[[#This Row],[Buchung]],"MMM")</f>
        <v>Jun</v>
      </c>
      <c r="I1252" s="67">
        <f>YEAR(Data[[#This Row],[Buchung]])</f>
        <v>2018</v>
      </c>
      <c r="J1252" s="2">
        <f>ABS(Data[[#This Row],[Betrag]])</f>
        <v>1000</v>
      </c>
      <c r="K1252" s="66" t="str">
        <f>IF(Data[[#This Row],[Betrag]]&lt;0,"A","E")</f>
        <v>E</v>
      </c>
    </row>
    <row r="1253" spans="1:11" x14ac:dyDescent="0.25">
      <c r="A1253" s="1">
        <v>43256</v>
      </c>
      <c r="B1253" s="66" t="s">
        <v>48</v>
      </c>
      <c r="C1253" s="66" t="s">
        <v>49</v>
      </c>
      <c r="D1253" t="s">
        <v>50</v>
      </c>
      <c r="E1253">
        <v>-15</v>
      </c>
      <c r="F1253" s="66" t="s">
        <v>7</v>
      </c>
      <c r="G1253" s="66" t="s">
        <v>8</v>
      </c>
      <c r="H1253" s="66" t="str">
        <f>TEXT(Data[[#This Row],[Buchung]],"MMM")</f>
        <v>Jun</v>
      </c>
      <c r="I1253" s="67">
        <f>YEAR(Data[[#This Row],[Buchung]])</f>
        <v>2018</v>
      </c>
      <c r="J1253" s="2">
        <f>ABS(Data[[#This Row],[Betrag]])</f>
        <v>15</v>
      </c>
      <c r="K1253" s="66" t="str">
        <f>IF(Data[[#This Row],[Betrag]]&lt;0,"A","E")</f>
        <v>A</v>
      </c>
    </row>
    <row r="1254" spans="1:11" x14ac:dyDescent="0.25">
      <c r="A1254" s="1">
        <v>43257</v>
      </c>
      <c r="B1254" s="66" t="s">
        <v>51</v>
      </c>
      <c r="C1254" s="66" t="s">
        <v>52</v>
      </c>
      <c r="D1254" t="s">
        <v>53</v>
      </c>
      <c r="E1254">
        <v>-350</v>
      </c>
      <c r="F1254" s="66" t="s">
        <v>7</v>
      </c>
      <c r="G1254" s="66" t="s">
        <v>11</v>
      </c>
      <c r="H1254" s="66" t="str">
        <f>TEXT(Data[[#This Row],[Buchung]],"MMM")</f>
        <v>Jun</v>
      </c>
      <c r="I1254" s="67">
        <f>YEAR(Data[[#This Row],[Buchung]])</f>
        <v>2018</v>
      </c>
      <c r="J1254" s="2">
        <f>ABS(Data[[#This Row],[Betrag]])</f>
        <v>350</v>
      </c>
      <c r="K1254" s="66" t="str">
        <f>IF(Data[[#This Row],[Betrag]]&lt;0,"A","E")</f>
        <v>A</v>
      </c>
    </row>
    <row r="1255" spans="1:11" x14ac:dyDescent="0.25">
      <c r="A1255" s="1">
        <v>43258</v>
      </c>
      <c r="B1255" s="66" t="s">
        <v>54</v>
      </c>
      <c r="C1255" s="66" t="s">
        <v>55</v>
      </c>
      <c r="D1255" t="s">
        <v>56</v>
      </c>
      <c r="E1255">
        <v>-120</v>
      </c>
      <c r="F1255" s="66" t="s">
        <v>7</v>
      </c>
      <c r="G1255" s="66" t="s">
        <v>57</v>
      </c>
      <c r="H1255" s="66" t="str">
        <f>TEXT(Data[[#This Row],[Buchung]],"MMM")</f>
        <v>Jun</v>
      </c>
      <c r="I1255" s="67">
        <f>YEAR(Data[[#This Row],[Buchung]])</f>
        <v>2018</v>
      </c>
      <c r="J1255" s="2">
        <f>ABS(Data[[#This Row],[Betrag]])</f>
        <v>120</v>
      </c>
      <c r="K1255" s="66" t="str">
        <f>IF(Data[[#This Row],[Betrag]]&lt;0,"A","E")</f>
        <v>A</v>
      </c>
    </row>
    <row r="1256" spans="1:11" x14ac:dyDescent="0.25">
      <c r="A1256" s="1">
        <v>43259</v>
      </c>
      <c r="B1256" s="66" t="s">
        <v>58</v>
      </c>
      <c r="C1256" s="66" t="s">
        <v>59</v>
      </c>
      <c r="D1256" t="s">
        <v>60</v>
      </c>
      <c r="E1256">
        <v>-70</v>
      </c>
      <c r="F1256" s="66" t="s">
        <v>7</v>
      </c>
      <c r="G1256" s="66" t="s">
        <v>10</v>
      </c>
      <c r="H1256" s="66" t="str">
        <f>TEXT(Data[[#This Row],[Buchung]],"MMM")</f>
        <v>Jun</v>
      </c>
      <c r="I1256" s="67">
        <f>YEAR(Data[[#This Row],[Buchung]])</f>
        <v>2018</v>
      </c>
      <c r="J1256" s="2">
        <f>ABS(Data[[#This Row],[Betrag]])</f>
        <v>70</v>
      </c>
      <c r="K1256" s="66" t="str">
        <f>IF(Data[[#This Row],[Betrag]]&lt;0,"A","E")</f>
        <v>A</v>
      </c>
    </row>
    <row r="1257" spans="1:11" x14ac:dyDescent="0.25">
      <c r="A1257" s="1">
        <v>43260</v>
      </c>
      <c r="B1257" s="66" t="s">
        <v>45</v>
      </c>
      <c r="C1257" s="66" t="s">
        <v>46</v>
      </c>
      <c r="D1257" t="s">
        <v>47</v>
      </c>
      <c r="E1257">
        <v>1000</v>
      </c>
      <c r="F1257" s="66" t="s">
        <v>7</v>
      </c>
      <c r="G1257" s="66" t="s">
        <v>9</v>
      </c>
      <c r="H1257" s="66" t="str">
        <f>TEXT(Data[[#This Row],[Buchung]],"MMM")</f>
        <v>Jun</v>
      </c>
      <c r="I1257" s="67">
        <f>YEAR(Data[[#This Row],[Buchung]])</f>
        <v>2018</v>
      </c>
      <c r="J1257" s="2">
        <f>ABS(Data[[#This Row],[Betrag]])</f>
        <v>1000</v>
      </c>
      <c r="K1257" s="66" t="str">
        <f>IF(Data[[#This Row],[Betrag]]&lt;0,"A","E")</f>
        <v>E</v>
      </c>
    </row>
    <row r="1258" spans="1:11" x14ac:dyDescent="0.25">
      <c r="A1258" s="1">
        <v>43261</v>
      </c>
      <c r="B1258" s="66" t="s">
        <v>61</v>
      </c>
      <c r="C1258" s="66" t="s">
        <v>49</v>
      </c>
      <c r="D1258" t="s">
        <v>62</v>
      </c>
      <c r="E1258">
        <v>-10</v>
      </c>
      <c r="F1258" s="66" t="s">
        <v>7</v>
      </c>
      <c r="G1258" s="66" t="s">
        <v>8</v>
      </c>
      <c r="H1258" s="66" t="str">
        <f>TEXT(Data[[#This Row],[Buchung]],"MMM")</f>
        <v>Jun</v>
      </c>
      <c r="I1258" s="67">
        <f>YEAR(Data[[#This Row],[Buchung]])</f>
        <v>2018</v>
      </c>
      <c r="J1258" s="2">
        <f>ABS(Data[[#This Row],[Betrag]])</f>
        <v>10</v>
      </c>
      <c r="K1258" s="66" t="str">
        <f>IF(Data[[#This Row],[Betrag]]&lt;0,"A","E")</f>
        <v>A</v>
      </c>
    </row>
    <row r="1259" spans="1:11" x14ac:dyDescent="0.25">
      <c r="A1259" s="1">
        <v>43262</v>
      </c>
      <c r="B1259" s="66" t="s">
        <v>63</v>
      </c>
      <c r="C1259" s="66" t="s">
        <v>64</v>
      </c>
      <c r="D1259" t="s">
        <v>65</v>
      </c>
      <c r="E1259">
        <v>-60</v>
      </c>
      <c r="F1259" s="66" t="s">
        <v>7</v>
      </c>
      <c r="G1259" s="66" t="s">
        <v>11</v>
      </c>
      <c r="H1259" s="66" t="str">
        <f>TEXT(Data[[#This Row],[Buchung]],"MMM")</f>
        <v>Jun</v>
      </c>
      <c r="I1259" s="67">
        <f>YEAR(Data[[#This Row],[Buchung]])</f>
        <v>2018</v>
      </c>
      <c r="J1259" s="2">
        <f>ABS(Data[[#This Row],[Betrag]])</f>
        <v>60</v>
      </c>
      <c r="K1259" s="66" t="str">
        <f>IF(Data[[#This Row],[Betrag]]&lt;0,"A","E")</f>
        <v>A</v>
      </c>
    </row>
    <row r="1260" spans="1:11" x14ac:dyDescent="0.25">
      <c r="A1260" s="1">
        <v>43263</v>
      </c>
      <c r="B1260" s="66" t="s">
        <v>54</v>
      </c>
      <c r="C1260" s="66" t="s">
        <v>55</v>
      </c>
      <c r="D1260" t="s">
        <v>66</v>
      </c>
      <c r="E1260">
        <v>-80</v>
      </c>
      <c r="F1260" s="66" t="s">
        <v>7</v>
      </c>
      <c r="G1260" s="66" t="s">
        <v>57</v>
      </c>
      <c r="H1260" s="66" t="str">
        <f>TEXT(Data[[#This Row],[Buchung]],"MMM")</f>
        <v>Jun</v>
      </c>
      <c r="I1260" s="67">
        <f>YEAR(Data[[#This Row],[Buchung]])</f>
        <v>2018</v>
      </c>
      <c r="J1260" s="2">
        <f>ABS(Data[[#This Row],[Betrag]])</f>
        <v>80</v>
      </c>
      <c r="K1260" s="66" t="str">
        <f>IF(Data[[#This Row],[Betrag]]&lt;0,"A","E")</f>
        <v>A</v>
      </c>
    </row>
    <row r="1261" spans="1:11" x14ac:dyDescent="0.25">
      <c r="A1261" s="1">
        <v>43264</v>
      </c>
      <c r="B1261" s="66" t="s">
        <v>67</v>
      </c>
      <c r="C1261" s="66" t="s">
        <v>59</v>
      </c>
      <c r="D1261" t="s">
        <v>68</v>
      </c>
      <c r="E1261">
        <v>-30</v>
      </c>
      <c r="F1261" s="66" t="s">
        <v>7</v>
      </c>
      <c r="G1261" s="66" t="s">
        <v>10</v>
      </c>
      <c r="H1261" s="66" t="str">
        <f>TEXT(Data[[#This Row],[Buchung]],"MMM")</f>
        <v>Jun</v>
      </c>
      <c r="I1261" s="67">
        <f>YEAR(Data[[#This Row],[Buchung]])</f>
        <v>2018</v>
      </c>
      <c r="J1261" s="2">
        <f>ABS(Data[[#This Row],[Betrag]])</f>
        <v>30</v>
      </c>
      <c r="K1261" s="66" t="str">
        <f>IF(Data[[#This Row],[Betrag]]&lt;0,"A","E")</f>
        <v>A</v>
      </c>
    </row>
    <row r="1262" spans="1:11" x14ac:dyDescent="0.25">
      <c r="A1262" s="1">
        <v>43265</v>
      </c>
      <c r="B1262" s="66" t="s">
        <v>45</v>
      </c>
      <c r="C1262" s="66" t="s">
        <v>46</v>
      </c>
      <c r="D1262" t="s">
        <v>47</v>
      </c>
      <c r="E1262">
        <v>1000</v>
      </c>
      <c r="F1262" s="66" t="s">
        <v>7</v>
      </c>
      <c r="G1262" s="66" t="s">
        <v>9</v>
      </c>
      <c r="H1262" s="66" t="str">
        <f>TEXT(Data[[#This Row],[Buchung]],"MMM")</f>
        <v>Jun</v>
      </c>
      <c r="I1262" s="67">
        <f>YEAR(Data[[#This Row],[Buchung]])</f>
        <v>2018</v>
      </c>
      <c r="J1262" s="2">
        <f>ABS(Data[[#This Row],[Betrag]])</f>
        <v>1000</v>
      </c>
      <c r="K1262" s="66" t="str">
        <f>IF(Data[[#This Row],[Betrag]]&lt;0,"A","E")</f>
        <v>E</v>
      </c>
    </row>
    <row r="1263" spans="1:11" x14ac:dyDescent="0.25">
      <c r="A1263" s="1">
        <v>43266</v>
      </c>
      <c r="B1263" s="66" t="s">
        <v>48</v>
      </c>
      <c r="C1263" s="66" t="s">
        <v>49</v>
      </c>
      <c r="D1263" t="s">
        <v>50</v>
      </c>
      <c r="E1263">
        <v>-15</v>
      </c>
      <c r="F1263" s="66" t="s">
        <v>7</v>
      </c>
      <c r="G1263" s="66" t="s">
        <v>8</v>
      </c>
      <c r="H1263" s="66" t="str">
        <f>TEXT(Data[[#This Row],[Buchung]],"MMM")</f>
        <v>Jun</v>
      </c>
      <c r="I1263" s="67">
        <f>YEAR(Data[[#This Row],[Buchung]])</f>
        <v>2018</v>
      </c>
      <c r="J1263" s="2">
        <f>ABS(Data[[#This Row],[Betrag]])</f>
        <v>15</v>
      </c>
      <c r="K1263" s="66" t="str">
        <f>IF(Data[[#This Row],[Betrag]]&lt;0,"A","E")</f>
        <v>A</v>
      </c>
    </row>
    <row r="1264" spans="1:11" x14ac:dyDescent="0.25">
      <c r="A1264" s="1">
        <v>43267</v>
      </c>
      <c r="B1264" s="66" t="s">
        <v>51</v>
      </c>
      <c r="C1264" s="66" t="s">
        <v>52</v>
      </c>
      <c r="D1264" t="s">
        <v>53</v>
      </c>
      <c r="E1264">
        <v>-350</v>
      </c>
      <c r="F1264" s="66" t="s">
        <v>7</v>
      </c>
      <c r="G1264" s="66" t="s">
        <v>11</v>
      </c>
      <c r="H1264" s="66" t="str">
        <f>TEXT(Data[[#This Row],[Buchung]],"MMM")</f>
        <v>Jun</v>
      </c>
      <c r="I1264" s="67">
        <f>YEAR(Data[[#This Row],[Buchung]])</f>
        <v>2018</v>
      </c>
      <c r="J1264" s="2">
        <f>ABS(Data[[#This Row],[Betrag]])</f>
        <v>350</v>
      </c>
      <c r="K1264" s="66" t="str">
        <f>IF(Data[[#This Row],[Betrag]]&lt;0,"A","E")</f>
        <v>A</v>
      </c>
    </row>
    <row r="1265" spans="1:11" x14ac:dyDescent="0.25">
      <c r="A1265" s="1">
        <v>43268</v>
      </c>
      <c r="B1265" s="66" t="s">
        <v>54</v>
      </c>
      <c r="C1265" s="66" t="s">
        <v>55</v>
      </c>
      <c r="D1265" t="s">
        <v>56</v>
      </c>
      <c r="E1265">
        <v>-120</v>
      </c>
      <c r="F1265" s="66" t="s">
        <v>7</v>
      </c>
      <c r="G1265" s="66" t="s">
        <v>57</v>
      </c>
      <c r="H1265" s="66" t="str">
        <f>TEXT(Data[[#This Row],[Buchung]],"MMM")</f>
        <v>Jun</v>
      </c>
      <c r="I1265" s="67">
        <f>YEAR(Data[[#This Row],[Buchung]])</f>
        <v>2018</v>
      </c>
      <c r="J1265" s="2">
        <f>ABS(Data[[#This Row],[Betrag]])</f>
        <v>120</v>
      </c>
      <c r="K1265" s="66" t="str">
        <f>IF(Data[[#This Row],[Betrag]]&lt;0,"A","E")</f>
        <v>A</v>
      </c>
    </row>
    <row r="1266" spans="1:11" x14ac:dyDescent="0.25">
      <c r="A1266" s="1">
        <v>43269</v>
      </c>
      <c r="B1266" s="66" t="s">
        <v>58</v>
      </c>
      <c r="C1266" s="66" t="s">
        <v>59</v>
      </c>
      <c r="D1266" t="s">
        <v>60</v>
      </c>
      <c r="E1266">
        <v>-80</v>
      </c>
      <c r="F1266" s="66" t="s">
        <v>7</v>
      </c>
      <c r="G1266" s="66" t="s">
        <v>10</v>
      </c>
      <c r="H1266" s="66" t="str">
        <f>TEXT(Data[[#This Row],[Buchung]],"MMM")</f>
        <v>Jun</v>
      </c>
      <c r="I1266" s="67">
        <f>YEAR(Data[[#This Row],[Buchung]])</f>
        <v>2018</v>
      </c>
      <c r="J1266" s="2">
        <f>ABS(Data[[#This Row],[Betrag]])</f>
        <v>80</v>
      </c>
      <c r="K1266" s="66" t="str">
        <f>IF(Data[[#This Row],[Betrag]]&lt;0,"A","E")</f>
        <v>A</v>
      </c>
    </row>
    <row r="1267" spans="1:11" x14ac:dyDescent="0.25">
      <c r="A1267" s="1">
        <v>43270</v>
      </c>
      <c r="B1267" s="66" t="s">
        <v>45</v>
      </c>
      <c r="C1267" s="66" t="s">
        <v>46</v>
      </c>
      <c r="D1267" t="s">
        <v>47</v>
      </c>
      <c r="E1267">
        <v>1000</v>
      </c>
      <c r="F1267" s="66" t="s">
        <v>7</v>
      </c>
      <c r="G1267" s="66" t="s">
        <v>9</v>
      </c>
      <c r="H1267" s="66" t="str">
        <f>TEXT(Data[[#This Row],[Buchung]],"MMM")</f>
        <v>Jun</v>
      </c>
      <c r="I1267" s="67">
        <f>YEAR(Data[[#This Row],[Buchung]])</f>
        <v>2018</v>
      </c>
      <c r="J1267" s="2">
        <f>ABS(Data[[#This Row],[Betrag]])</f>
        <v>1000</v>
      </c>
      <c r="K1267" s="66" t="str">
        <f>IF(Data[[#This Row],[Betrag]]&lt;0,"A","E")</f>
        <v>E</v>
      </c>
    </row>
    <row r="1268" spans="1:11" x14ac:dyDescent="0.25">
      <c r="A1268" s="1">
        <v>43271</v>
      </c>
      <c r="B1268" s="66" t="s">
        <v>61</v>
      </c>
      <c r="C1268" s="66" t="s">
        <v>49</v>
      </c>
      <c r="D1268" t="s">
        <v>62</v>
      </c>
      <c r="E1268">
        <v>-10</v>
      </c>
      <c r="F1268" s="66" t="s">
        <v>7</v>
      </c>
      <c r="G1268" s="66" t="s">
        <v>8</v>
      </c>
      <c r="H1268" s="66" t="str">
        <f>TEXT(Data[[#This Row],[Buchung]],"MMM")</f>
        <v>Jun</v>
      </c>
      <c r="I1268" s="67">
        <f>YEAR(Data[[#This Row],[Buchung]])</f>
        <v>2018</v>
      </c>
      <c r="J1268" s="2">
        <f>ABS(Data[[#This Row],[Betrag]])</f>
        <v>10</v>
      </c>
      <c r="K1268" s="66" t="str">
        <f>IF(Data[[#This Row],[Betrag]]&lt;0,"A","E")</f>
        <v>A</v>
      </c>
    </row>
    <row r="1269" spans="1:11" x14ac:dyDescent="0.25">
      <c r="A1269" s="1">
        <v>43272</v>
      </c>
      <c r="B1269" s="66" t="s">
        <v>63</v>
      </c>
      <c r="C1269" s="66" t="s">
        <v>64</v>
      </c>
      <c r="D1269" t="s">
        <v>65</v>
      </c>
      <c r="E1269">
        <v>-65</v>
      </c>
      <c r="F1269" s="66" t="s">
        <v>7</v>
      </c>
      <c r="G1269" s="66" t="s">
        <v>11</v>
      </c>
      <c r="H1269" s="66" t="str">
        <f>TEXT(Data[[#This Row],[Buchung]],"MMM")</f>
        <v>Jun</v>
      </c>
      <c r="I1269" s="67">
        <f>YEAR(Data[[#This Row],[Buchung]])</f>
        <v>2018</v>
      </c>
      <c r="J1269" s="2">
        <f>ABS(Data[[#This Row],[Betrag]])</f>
        <v>65</v>
      </c>
      <c r="K1269" s="66" t="str">
        <f>IF(Data[[#This Row],[Betrag]]&lt;0,"A","E")</f>
        <v>A</v>
      </c>
    </row>
    <row r="1270" spans="1:11" x14ac:dyDescent="0.25">
      <c r="A1270" s="1">
        <v>43273</v>
      </c>
      <c r="B1270" s="66" t="s">
        <v>54</v>
      </c>
      <c r="C1270" s="66" t="s">
        <v>55</v>
      </c>
      <c r="D1270" t="s">
        <v>66</v>
      </c>
      <c r="E1270">
        <v>-80</v>
      </c>
      <c r="F1270" s="66" t="s">
        <v>7</v>
      </c>
      <c r="G1270" s="66" t="s">
        <v>57</v>
      </c>
      <c r="H1270" s="66" t="str">
        <f>TEXT(Data[[#This Row],[Buchung]],"MMM")</f>
        <v>Jun</v>
      </c>
      <c r="I1270" s="67">
        <f>YEAR(Data[[#This Row],[Buchung]])</f>
        <v>2018</v>
      </c>
      <c r="J1270" s="2">
        <f>ABS(Data[[#This Row],[Betrag]])</f>
        <v>80</v>
      </c>
      <c r="K1270" s="66" t="str">
        <f>IF(Data[[#This Row],[Betrag]]&lt;0,"A","E")</f>
        <v>A</v>
      </c>
    </row>
    <row r="1271" spans="1:11" x14ac:dyDescent="0.25">
      <c r="A1271" s="1">
        <v>43274</v>
      </c>
      <c r="B1271" s="66" t="s">
        <v>67</v>
      </c>
      <c r="C1271" s="66" t="s">
        <v>59</v>
      </c>
      <c r="D1271" t="s">
        <v>68</v>
      </c>
      <c r="E1271">
        <v>-35</v>
      </c>
      <c r="F1271" s="66" t="s">
        <v>7</v>
      </c>
      <c r="G1271" s="66" t="s">
        <v>10</v>
      </c>
      <c r="H1271" s="66" t="str">
        <f>TEXT(Data[[#This Row],[Buchung]],"MMM")</f>
        <v>Jun</v>
      </c>
      <c r="I1271" s="67">
        <f>YEAR(Data[[#This Row],[Buchung]])</f>
        <v>2018</v>
      </c>
      <c r="J1271" s="2">
        <f>ABS(Data[[#This Row],[Betrag]])</f>
        <v>35</v>
      </c>
      <c r="K1271" s="66" t="str">
        <f>IF(Data[[#This Row],[Betrag]]&lt;0,"A","E")</f>
        <v>A</v>
      </c>
    </row>
    <row r="1272" spans="1:11" x14ac:dyDescent="0.25">
      <c r="A1272" s="1">
        <v>43275</v>
      </c>
      <c r="B1272" s="66" t="s">
        <v>45</v>
      </c>
      <c r="C1272" s="66" t="s">
        <v>46</v>
      </c>
      <c r="D1272" t="s">
        <v>47</v>
      </c>
      <c r="E1272">
        <v>1000</v>
      </c>
      <c r="F1272" s="66" t="s">
        <v>7</v>
      </c>
      <c r="G1272" s="66" t="s">
        <v>9</v>
      </c>
      <c r="H1272" s="66" t="str">
        <f>TEXT(Data[[#This Row],[Buchung]],"MMM")</f>
        <v>Jun</v>
      </c>
      <c r="I1272" s="67">
        <f>YEAR(Data[[#This Row],[Buchung]])</f>
        <v>2018</v>
      </c>
      <c r="J1272" s="2">
        <f>ABS(Data[[#This Row],[Betrag]])</f>
        <v>1000</v>
      </c>
      <c r="K1272" s="66" t="str">
        <f>IF(Data[[#This Row],[Betrag]]&lt;0,"A","E")</f>
        <v>E</v>
      </c>
    </row>
    <row r="1273" spans="1:11" x14ac:dyDescent="0.25">
      <c r="A1273" s="1">
        <v>43276</v>
      </c>
      <c r="B1273" s="66" t="s">
        <v>45</v>
      </c>
      <c r="C1273" s="66" t="s">
        <v>46</v>
      </c>
      <c r="D1273" t="s">
        <v>47</v>
      </c>
      <c r="E1273">
        <v>1000</v>
      </c>
      <c r="F1273" s="66" t="s">
        <v>7</v>
      </c>
      <c r="G1273" s="66" t="s">
        <v>9</v>
      </c>
      <c r="H1273" s="66" t="str">
        <f>TEXT(Data[[#This Row],[Buchung]],"MMM")</f>
        <v>Jun</v>
      </c>
      <c r="I1273" s="67">
        <f>YEAR(Data[[#This Row],[Buchung]])</f>
        <v>2018</v>
      </c>
      <c r="J1273" s="2">
        <f>ABS(Data[[#This Row],[Betrag]])</f>
        <v>1000</v>
      </c>
      <c r="K1273" s="66" t="str">
        <f>IF(Data[[#This Row],[Betrag]]&lt;0,"A","E")</f>
        <v>E</v>
      </c>
    </row>
    <row r="1274" spans="1:11" x14ac:dyDescent="0.25">
      <c r="A1274" s="1">
        <v>43277</v>
      </c>
      <c r="B1274" s="66" t="s">
        <v>48</v>
      </c>
      <c r="C1274" s="66" t="s">
        <v>49</v>
      </c>
      <c r="D1274" t="s">
        <v>50</v>
      </c>
      <c r="E1274">
        <v>-15</v>
      </c>
      <c r="F1274" s="66" t="s">
        <v>7</v>
      </c>
      <c r="G1274" s="66" t="s">
        <v>8</v>
      </c>
      <c r="H1274" s="66" t="str">
        <f>TEXT(Data[[#This Row],[Buchung]],"MMM")</f>
        <v>Jun</v>
      </c>
      <c r="I1274" s="67">
        <f>YEAR(Data[[#This Row],[Buchung]])</f>
        <v>2018</v>
      </c>
      <c r="J1274" s="2">
        <f>ABS(Data[[#This Row],[Betrag]])</f>
        <v>15</v>
      </c>
      <c r="K1274" s="66" t="str">
        <f>IF(Data[[#This Row],[Betrag]]&lt;0,"A","E")</f>
        <v>A</v>
      </c>
    </row>
    <row r="1275" spans="1:11" x14ac:dyDescent="0.25">
      <c r="A1275" s="1">
        <v>43278</v>
      </c>
      <c r="B1275" s="66" t="s">
        <v>51</v>
      </c>
      <c r="C1275" s="66" t="s">
        <v>52</v>
      </c>
      <c r="D1275" t="s">
        <v>53</v>
      </c>
      <c r="E1275">
        <v>-350</v>
      </c>
      <c r="F1275" s="66" t="s">
        <v>7</v>
      </c>
      <c r="G1275" s="66" t="s">
        <v>11</v>
      </c>
      <c r="H1275" s="66" t="str">
        <f>TEXT(Data[[#This Row],[Buchung]],"MMM")</f>
        <v>Jun</v>
      </c>
      <c r="I1275" s="67">
        <f>YEAR(Data[[#This Row],[Buchung]])</f>
        <v>2018</v>
      </c>
      <c r="J1275" s="2">
        <f>ABS(Data[[#This Row],[Betrag]])</f>
        <v>350</v>
      </c>
      <c r="K1275" s="66" t="str">
        <f>IF(Data[[#This Row],[Betrag]]&lt;0,"A","E")</f>
        <v>A</v>
      </c>
    </row>
    <row r="1276" spans="1:11" x14ac:dyDescent="0.25">
      <c r="A1276" s="1">
        <v>43279</v>
      </c>
      <c r="B1276" s="66" t="s">
        <v>54</v>
      </c>
      <c r="C1276" s="66" t="s">
        <v>55</v>
      </c>
      <c r="D1276" t="s">
        <v>56</v>
      </c>
      <c r="E1276">
        <v>-120</v>
      </c>
      <c r="F1276" s="66" t="s">
        <v>7</v>
      </c>
      <c r="G1276" s="66" t="s">
        <v>57</v>
      </c>
      <c r="H1276" s="66" t="str">
        <f>TEXT(Data[[#This Row],[Buchung]],"MMM")</f>
        <v>Jun</v>
      </c>
      <c r="I1276" s="67">
        <f>YEAR(Data[[#This Row],[Buchung]])</f>
        <v>2018</v>
      </c>
      <c r="J1276" s="2">
        <f>ABS(Data[[#This Row],[Betrag]])</f>
        <v>120</v>
      </c>
      <c r="K1276" s="66" t="str">
        <f>IF(Data[[#This Row],[Betrag]]&lt;0,"A","E")</f>
        <v>A</v>
      </c>
    </row>
    <row r="1277" spans="1:11" x14ac:dyDescent="0.25">
      <c r="A1277" s="1">
        <v>43280</v>
      </c>
      <c r="B1277" s="66" t="s">
        <v>58</v>
      </c>
      <c r="C1277" s="66" t="s">
        <v>59</v>
      </c>
      <c r="D1277" t="s">
        <v>60</v>
      </c>
      <c r="E1277">
        <v>-50</v>
      </c>
      <c r="F1277" s="66" t="s">
        <v>7</v>
      </c>
      <c r="G1277" s="66" t="s">
        <v>10</v>
      </c>
      <c r="H1277" s="66" t="str">
        <f>TEXT(Data[[#This Row],[Buchung]],"MMM")</f>
        <v>Jun</v>
      </c>
      <c r="I1277" s="67">
        <f>YEAR(Data[[#This Row],[Buchung]])</f>
        <v>2018</v>
      </c>
      <c r="J1277" s="2">
        <f>ABS(Data[[#This Row],[Betrag]])</f>
        <v>50</v>
      </c>
      <c r="K1277" s="66" t="str">
        <f>IF(Data[[#This Row],[Betrag]]&lt;0,"A","E")</f>
        <v>A</v>
      </c>
    </row>
    <row r="1278" spans="1:11" x14ac:dyDescent="0.25">
      <c r="A1278" s="1">
        <v>43281</v>
      </c>
      <c r="B1278" s="66" t="s">
        <v>45</v>
      </c>
      <c r="C1278" s="66" t="s">
        <v>46</v>
      </c>
      <c r="D1278" t="s">
        <v>47</v>
      </c>
      <c r="E1278">
        <v>1000</v>
      </c>
      <c r="F1278" s="66" t="s">
        <v>7</v>
      </c>
      <c r="G1278" s="66" t="s">
        <v>9</v>
      </c>
      <c r="H1278" s="66" t="str">
        <f>TEXT(Data[[#This Row],[Buchung]],"MMM")</f>
        <v>Jun</v>
      </c>
      <c r="I1278" s="67">
        <f>YEAR(Data[[#This Row],[Buchung]])</f>
        <v>2018</v>
      </c>
      <c r="J1278" s="2">
        <f>ABS(Data[[#This Row],[Betrag]])</f>
        <v>1000</v>
      </c>
      <c r="K1278" s="66" t="str">
        <f>IF(Data[[#This Row],[Betrag]]&lt;0,"A","E")</f>
        <v>E</v>
      </c>
    </row>
    <row r="1279" spans="1:11" x14ac:dyDescent="0.25">
      <c r="A1279" s="1">
        <v>43282</v>
      </c>
      <c r="B1279" s="66" t="s">
        <v>61</v>
      </c>
      <c r="C1279" s="66" t="s">
        <v>49</v>
      </c>
      <c r="D1279" t="s">
        <v>62</v>
      </c>
      <c r="E1279">
        <v>-10</v>
      </c>
      <c r="F1279" s="66" t="s">
        <v>7</v>
      </c>
      <c r="G1279" s="66" t="s">
        <v>8</v>
      </c>
      <c r="H1279" s="66" t="str">
        <f>TEXT(Data[[#This Row],[Buchung]],"MMM")</f>
        <v>Jul</v>
      </c>
      <c r="I1279" s="67">
        <f>YEAR(Data[[#This Row],[Buchung]])</f>
        <v>2018</v>
      </c>
      <c r="J1279" s="2">
        <f>ABS(Data[[#This Row],[Betrag]])</f>
        <v>10</v>
      </c>
      <c r="K1279" s="66" t="str">
        <f>IF(Data[[#This Row],[Betrag]]&lt;0,"A","E")</f>
        <v>A</v>
      </c>
    </row>
    <row r="1280" spans="1:11" x14ac:dyDescent="0.25">
      <c r="A1280" s="1">
        <v>43283</v>
      </c>
      <c r="B1280" s="66" t="s">
        <v>63</v>
      </c>
      <c r="C1280" s="66" t="s">
        <v>64</v>
      </c>
      <c r="D1280" t="s">
        <v>65</v>
      </c>
      <c r="E1280">
        <v>-60</v>
      </c>
      <c r="F1280" s="66" t="s">
        <v>7</v>
      </c>
      <c r="G1280" s="66" t="s">
        <v>11</v>
      </c>
      <c r="H1280" s="66" t="str">
        <f>TEXT(Data[[#This Row],[Buchung]],"MMM")</f>
        <v>Jul</v>
      </c>
      <c r="I1280" s="67">
        <f>YEAR(Data[[#This Row],[Buchung]])</f>
        <v>2018</v>
      </c>
      <c r="J1280" s="2">
        <f>ABS(Data[[#This Row],[Betrag]])</f>
        <v>60</v>
      </c>
      <c r="K1280" s="66" t="str">
        <f>IF(Data[[#This Row],[Betrag]]&lt;0,"A","E")</f>
        <v>A</v>
      </c>
    </row>
    <row r="1281" spans="1:11" x14ac:dyDescent="0.25">
      <c r="A1281" s="1">
        <v>43284</v>
      </c>
      <c r="B1281" s="66" t="s">
        <v>54</v>
      </c>
      <c r="C1281" s="66" t="s">
        <v>55</v>
      </c>
      <c r="D1281" t="s">
        <v>66</v>
      </c>
      <c r="E1281">
        <v>-80</v>
      </c>
      <c r="F1281" s="66" t="s">
        <v>7</v>
      </c>
      <c r="G1281" s="66" t="s">
        <v>57</v>
      </c>
      <c r="H1281" s="66" t="str">
        <f>TEXT(Data[[#This Row],[Buchung]],"MMM")</f>
        <v>Jul</v>
      </c>
      <c r="I1281" s="67">
        <f>YEAR(Data[[#This Row],[Buchung]])</f>
        <v>2018</v>
      </c>
      <c r="J1281" s="2">
        <f>ABS(Data[[#This Row],[Betrag]])</f>
        <v>80</v>
      </c>
      <c r="K1281" s="66" t="str">
        <f>IF(Data[[#This Row],[Betrag]]&lt;0,"A","E")</f>
        <v>A</v>
      </c>
    </row>
    <row r="1282" spans="1:11" x14ac:dyDescent="0.25">
      <c r="A1282" s="1">
        <v>43285</v>
      </c>
      <c r="B1282" s="66" t="s">
        <v>67</v>
      </c>
      <c r="C1282" s="66" t="s">
        <v>59</v>
      </c>
      <c r="D1282" t="s">
        <v>68</v>
      </c>
      <c r="E1282">
        <v>-20</v>
      </c>
      <c r="F1282" s="66" t="s">
        <v>7</v>
      </c>
      <c r="G1282" s="66" t="s">
        <v>10</v>
      </c>
      <c r="H1282" s="66" t="str">
        <f>TEXT(Data[[#This Row],[Buchung]],"MMM")</f>
        <v>Jul</v>
      </c>
      <c r="I1282" s="67">
        <f>YEAR(Data[[#This Row],[Buchung]])</f>
        <v>2018</v>
      </c>
      <c r="J1282" s="2">
        <f>ABS(Data[[#This Row],[Betrag]])</f>
        <v>20</v>
      </c>
      <c r="K1282" s="66" t="str">
        <f>IF(Data[[#This Row],[Betrag]]&lt;0,"A","E")</f>
        <v>A</v>
      </c>
    </row>
    <row r="1283" spans="1:11" x14ac:dyDescent="0.25">
      <c r="A1283" s="1">
        <v>43286</v>
      </c>
      <c r="B1283" s="66" t="s">
        <v>45</v>
      </c>
      <c r="C1283" s="66" t="s">
        <v>46</v>
      </c>
      <c r="D1283" t="s">
        <v>47</v>
      </c>
      <c r="E1283">
        <v>1000</v>
      </c>
      <c r="F1283" s="66" t="s">
        <v>7</v>
      </c>
      <c r="G1283" s="66" t="s">
        <v>9</v>
      </c>
      <c r="H1283" s="66" t="str">
        <f>TEXT(Data[[#This Row],[Buchung]],"MMM")</f>
        <v>Jul</v>
      </c>
      <c r="I1283" s="67">
        <f>YEAR(Data[[#This Row],[Buchung]])</f>
        <v>2018</v>
      </c>
      <c r="J1283" s="2">
        <f>ABS(Data[[#This Row],[Betrag]])</f>
        <v>1000</v>
      </c>
      <c r="K1283" s="66" t="str">
        <f>IF(Data[[#This Row],[Betrag]]&lt;0,"A","E")</f>
        <v>E</v>
      </c>
    </row>
    <row r="1284" spans="1:11" x14ac:dyDescent="0.25">
      <c r="A1284" s="1">
        <v>43287</v>
      </c>
      <c r="B1284" s="66" t="s">
        <v>48</v>
      </c>
      <c r="C1284" s="66" t="s">
        <v>49</v>
      </c>
      <c r="D1284" t="s">
        <v>50</v>
      </c>
      <c r="E1284">
        <v>-15</v>
      </c>
      <c r="F1284" s="66" t="s">
        <v>7</v>
      </c>
      <c r="G1284" s="66" t="s">
        <v>8</v>
      </c>
      <c r="H1284" s="66" t="str">
        <f>TEXT(Data[[#This Row],[Buchung]],"MMM")</f>
        <v>Jul</v>
      </c>
      <c r="I1284" s="67">
        <f>YEAR(Data[[#This Row],[Buchung]])</f>
        <v>2018</v>
      </c>
      <c r="J1284" s="2">
        <f>ABS(Data[[#This Row],[Betrag]])</f>
        <v>15</v>
      </c>
      <c r="K1284" s="66" t="str">
        <f>IF(Data[[#This Row],[Betrag]]&lt;0,"A","E")</f>
        <v>A</v>
      </c>
    </row>
    <row r="1285" spans="1:11" x14ac:dyDescent="0.25">
      <c r="A1285" s="1">
        <v>43288</v>
      </c>
      <c r="B1285" s="66" t="s">
        <v>51</v>
      </c>
      <c r="C1285" s="66" t="s">
        <v>52</v>
      </c>
      <c r="D1285" t="s">
        <v>53</v>
      </c>
      <c r="E1285">
        <v>-350</v>
      </c>
      <c r="F1285" s="66" t="s">
        <v>7</v>
      </c>
      <c r="G1285" s="66" t="s">
        <v>11</v>
      </c>
      <c r="H1285" s="66" t="str">
        <f>TEXT(Data[[#This Row],[Buchung]],"MMM")</f>
        <v>Jul</v>
      </c>
      <c r="I1285" s="67">
        <f>YEAR(Data[[#This Row],[Buchung]])</f>
        <v>2018</v>
      </c>
      <c r="J1285" s="2">
        <f>ABS(Data[[#This Row],[Betrag]])</f>
        <v>350</v>
      </c>
      <c r="K1285" s="66" t="str">
        <f>IF(Data[[#This Row],[Betrag]]&lt;0,"A","E")</f>
        <v>A</v>
      </c>
    </row>
    <row r="1286" spans="1:11" x14ac:dyDescent="0.25">
      <c r="A1286" s="1">
        <v>43289</v>
      </c>
      <c r="B1286" s="66" t="s">
        <v>54</v>
      </c>
      <c r="C1286" s="66" t="s">
        <v>55</v>
      </c>
      <c r="D1286" t="s">
        <v>56</v>
      </c>
      <c r="E1286">
        <v>-120</v>
      </c>
      <c r="F1286" s="66" t="s">
        <v>7</v>
      </c>
      <c r="G1286" s="66" t="s">
        <v>57</v>
      </c>
      <c r="H1286" s="66" t="str">
        <f>TEXT(Data[[#This Row],[Buchung]],"MMM")</f>
        <v>Jul</v>
      </c>
      <c r="I1286" s="67">
        <f>YEAR(Data[[#This Row],[Buchung]])</f>
        <v>2018</v>
      </c>
      <c r="J1286" s="2">
        <f>ABS(Data[[#This Row],[Betrag]])</f>
        <v>120</v>
      </c>
      <c r="K1286" s="66" t="str">
        <f>IF(Data[[#This Row],[Betrag]]&lt;0,"A","E")</f>
        <v>A</v>
      </c>
    </row>
    <row r="1287" spans="1:11" x14ac:dyDescent="0.25">
      <c r="A1287" s="1">
        <v>43290</v>
      </c>
      <c r="B1287" s="66" t="s">
        <v>58</v>
      </c>
      <c r="C1287" s="66" t="s">
        <v>59</v>
      </c>
      <c r="D1287" t="s">
        <v>60</v>
      </c>
      <c r="E1287">
        <v>-60</v>
      </c>
      <c r="F1287" s="66" t="s">
        <v>7</v>
      </c>
      <c r="G1287" s="66" t="s">
        <v>10</v>
      </c>
      <c r="H1287" s="66" t="str">
        <f>TEXT(Data[[#This Row],[Buchung]],"MMM")</f>
        <v>Jul</v>
      </c>
      <c r="I1287" s="67">
        <f>YEAR(Data[[#This Row],[Buchung]])</f>
        <v>2018</v>
      </c>
      <c r="J1287" s="2">
        <f>ABS(Data[[#This Row],[Betrag]])</f>
        <v>60</v>
      </c>
      <c r="K1287" s="66" t="str">
        <f>IF(Data[[#This Row],[Betrag]]&lt;0,"A","E")</f>
        <v>A</v>
      </c>
    </row>
    <row r="1288" spans="1:11" x14ac:dyDescent="0.25">
      <c r="A1288" s="1">
        <v>43291</v>
      </c>
      <c r="B1288" s="66" t="s">
        <v>45</v>
      </c>
      <c r="C1288" s="66" t="s">
        <v>46</v>
      </c>
      <c r="D1288" t="s">
        <v>47</v>
      </c>
      <c r="E1288">
        <v>1000</v>
      </c>
      <c r="F1288" s="66" t="s">
        <v>7</v>
      </c>
      <c r="G1288" s="66" t="s">
        <v>9</v>
      </c>
      <c r="H1288" s="66" t="str">
        <f>TEXT(Data[[#This Row],[Buchung]],"MMM")</f>
        <v>Jul</v>
      </c>
      <c r="I1288" s="67">
        <f>YEAR(Data[[#This Row],[Buchung]])</f>
        <v>2018</v>
      </c>
      <c r="J1288" s="2">
        <f>ABS(Data[[#This Row],[Betrag]])</f>
        <v>1000</v>
      </c>
      <c r="K1288" s="66" t="str">
        <f>IF(Data[[#This Row],[Betrag]]&lt;0,"A","E")</f>
        <v>E</v>
      </c>
    </row>
    <row r="1289" spans="1:11" x14ac:dyDescent="0.25">
      <c r="A1289" s="1">
        <v>43292</v>
      </c>
      <c r="B1289" s="66" t="s">
        <v>61</v>
      </c>
      <c r="C1289" s="66" t="s">
        <v>49</v>
      </c>
      <c r="D1289" t="s">
        <v>62</v>
      </c>
      <c r="E1289">
        <v>-10</v>
      </c>
      <c r="F1289" s="66" t="s">
        <v>7</v>
      </c>
      <c r="G1289" s="66" t="s">
        <v>8</v>
      </c>
      <c r="H1289" s="66" t="str">
        <f>TEXT(Data[[#This Row],[Buchung]],"MMM")</f>
        <v>Jul</v>
      </c>
      <c r="I1289" s="67">
        <f>YEAR(Data[[#This Row],[Buchung]])</f>
        <v>2018</v>
      </c>
      <c r="J1289" s="2">
        <f>ABS(Data[[#This Row],[Betrag]])</f>
        <v>10</v>
      </c>
      <c r="K1289" s="66" t="str">
        <f>IF(Data[[#This Row],[Betrag]]&lt;0,"A","E")</f>
        <v>A</v>
      </c>
    </row>
    <row r="1290" spans="1:11" x14ac:dyDescent="0.25">
      <c r="A1290" s="1">
        <v>43293</v>
      </c>
      <c r="B1290" s="66" t="s">
        <v>63</v>
      </c>
      <c r="C1290" s="66" t="s">
        <v>64</v>
      </c>
      <c r="D1290" t="s">
        <v>65</v>
      </c>
      <c r="E1290">
        <v>-70</v>
      </c>
      <c r="F1290" s="66" t="s">
        <v>7</v>
      </c>
      <c r="G1290" s="66" t="s">
        <v>11</v>
      </c>
      <c r="H1290" s="66" t="str">
        <f>TEXT(Data[[#This Row],[Buchung]],"MMM")</f>
        <v>Jul</v>
      </c>
      <c r="I1290" s="67">
        <f>YEAR(Data[[#This Row],[Buchung]])</f>
        <v>2018</v>
      </c>
      <c r="J1290" s="2">
        <f>ABS(Data[[#This Row],[Betrag]])</f>
        <v>70</v>
      </c>
      <c r="K1290" s="66" t="str">
        <f>IF(Data[[#This Row],[Betrag]]&lt;0,"A","E")</f>
        <v>A</v>
      </c>
    </row>
    <row r="1291" spans="1:11" x14ac:dyDescent="0.25">
      <c r="A1291" s="1">
        <v>43294</v>
      </c>
      <c r="B1291" s="66" t="s">
        <v>54</v>
      </c>
      <c r="C1291" s="66" t="s">
        <v>55</v>
      </c>
      <c r="D1291" t="s">
        <v>66</v>
      </c>
      <c r="E1291">
        <v>-80</v>
      </c>
      <c r="F1291" s="66" t="s">
        <v>7</v>
      </c>
      <c r="G1291" s="66" t="s">
        <v>57</v>
      </c>
      <c r="H1291" s="66" t="str">
        <f>TEXT(Data[[#This Row],[Buchung]],"MMM")</f>
        <v>Jul</v>
      </c>
      <c r="I1291" s="67">
        <f>YEAR(Data[[#This Row],[Buchung]])</f>
        <v>2018</v>
      </c>
      <c r="J1291" s="2">
        <f>ABS(Data[[#This Row],[Betrag]])</f>
        <v>80</v>
      </c>
      <c r="K1291" s="66" t="str">
        <f>IF(Data[[#This Row],[Betrag]]&lt;0,"A","E")</f>
        <v>A</v>
      </c>
    </row>
    <row r="1292" spans="1:11" x14ac:dyDescent="0.25">
      <c r="A1292" s="1">
        <v>43295</v>
      </c>
      <c r="B1292" s="66" t="s">
        <v>67</v>
      </c>
      <c r="C1292" s="66" t="s">
        <v>59</v>
      </c>
      <c r="D1292" t="s">
        <v>68</v>
      </c>
      <c r="E1292">
        <v>-25</v>
      </c>
      <c r="F1292" s="66" t="s">
        <v>7</v>
      </c>
      <c r="G1292" s="66" t="s">
        <v>10</v>
      </c>
      <c r="H1292" s="66" t="str">
        <f>TEXT(Data[[#This Row],[Buchung]],"MMM")</f>
        <v>Jul</v>
      </c>
      <c r="I1292" s="67">
        <f>YEAR(Data[[#This Row],[Buchung]])</f>
        <v>2018</v>
      </c>
      <c r="J1292" s="2">
        <f>ABS(Data[[#This Row],[Betrag]])</f>
        <v>25</v>
      </c>
      <c r="K1292" s="66" t="str">
        <f>IF(Data[[#This Row],[Betrag]]&lt;0,"A","E")</f>
        <v>A</v>
      </c>
    </row>
    <row r="1293" spans="1:11" x14ac:dyDescent="0.25">
      <c r="A1293" s="1">
        <v>43296</v>
      </c>
      <c r="B1293" s="66" t="s">
        <v>45</v>
      </c>
      <c r="C1293" s="66" t="s">
        <v>46</v>
      </c>
      <c r="D1293" t="s">
        <v>47</v>
      </c>
      <c r="E1293">
        <v>1000</v>
      </c>
      <c r="F1293" s="66" t="s">
        <v>7</v>
      </c>
      <c r="G1293" s="66" t="s">
        <v>9</v>
      </c>
      <c r="H1293" s="66" t="str">
        <f>TEXT(Data[[#This Row],[Buchung]],"MMM")</f>
        <v>Jul</v>
      </c>
      <c r="I1293" s="67">
        <f>YEAR(Data[[#This Row],[Buchung]])</f>
        <v>2018</v>
      </c>
      <c r="J1293" s="2">
        <f>ABS(Data[[#This Row],[Betrag]])</f>
        <v>1000</v>
      </c>
      <c r="K1293" s="66" t="str">
        <f>IF(Data[[#This Row],[Betrag]]&lt;0,"A","E")</f>
        <v>E</v>
      </c>
    </row>
    <row r="1294" spans="1:11" x14ac:dyDescent="0.25">
      <c r="A1294" s="1">
        <v>43297</v>
      </c>
      <c r="B1294" s="66" t="s">
        <v>48</v>
      </c>
      <c r="C1294" s="66" t="s">
        <v>49</v>
      </c>
      <c r="D1294" t="s">
        <v>50</v>
      </c>
      <c r="E1294">
        <v>-15</v>
      </c>
      <c r="F1294" s="66" t="s">
        <v>7</v>
      </c>
      <c r="G1294" s="66" t="s">
        <v>8</v>
      </c>
      <c r="H1294" s="66" t="str">
        <f>TEXT(Data[[#This Row],[Buchung]],"MMM")</f>
        <v>Jul</v>
      </c>
      <c r="I1294" s="67">
        <f>YEAR(Data[[#This Row],[Buchung]])</f>
        <v>2018</v>
      </c>
      <c r="J1294" s="2">
        <f>ABS(Data[[#This Row],[Betrag]])</f>
        <v>15</v>
      </c>
      <c r="K1294" s="66" t="str">
        <f>IF(Data[[#This Row],[Betrag]]&lt;0,"A","E")</f>
        <v>A</v>
      </c>
    </row>
    <row r="1295" spans="1:11" x14ac:dyDescent="0.25">
      <c r="A1295" s="1">
        <v>43298</v>
      </c>
      <c r="B1295" s="66" t="s">
        <v>51</v>
      </c>
      <c r="C1295" s="66" t="s">
        <v>52</v>
      </c>
      <c r="D1295" t="s">
        <v>53</v>
      </c>
      <c r="E1295">
        <v>-350</v>
      </c>
      <c r="F1295" s="66" t="s">
        <v>7</v>
      </c>
      <c r="G1295" s="66" t="s">
        <v>11</v>
      </c>
      <c r="H1295" s="66" t="str">
        <f>TEXT(Data[[#This Row],[Buchung]],"MMM")</f>
        <v>Jul</v>
      </c>
      <c r="I1295" s="67">
        <f>YEAR(Data[[#This Row],[Buchung]])</f>
        <v>2018</v>
      </c>
      <c r="J1295" s="2">
        <f>ABS(Data[[#This Row],[Betrag]])</f>
        <v>350</v>
      </c>
      <c r="K1295" s="66" t="str">
        <f>IF(Data[[#This Row],[Betrag]]&lt;0,"A","E")</f>
        <v>A</v>
      </c>
    </row>
    <row r="1296" spans="1:11" x14ac:dyDescent="0.25">
      <c r="A1296" s="1">
        <v>43299</v>
      </c>
      <c r="B1296" s="66" t="s">
        <v>54</v>
      </c>
      <c r="C1296" s="66" t="s">
        <v>55</v>
      </c>
      <c r="D1296" t="s">
        <v>56</v>
      </c>
      <c r="E1296">
        <v>-120</v>
      </c>
      <c r="F1296" s="66" t="s">
        <v>7</v>
      </c>
      <c r="G1296" s="66" t="s">
        <v>57</v>
      </c>
      <c r="H1296" s="66" t="str">
        <f>TEXT(Data[[#This Row],[Buchung]],"MMM")</f>
        <v>Jul</v>
      </c>
      <c r="I1296" s="67">
        <f>YEAR(Data[[#This Row],[Buchung]])</f>
        <v>2018</v>
      </c>
      <c r="J1296" s="2">
        <f>ABS(Data[[#This Row],[Betrag]])</f>
        <v>120</v>
      </c>
      <c r="K1296" s="66" t="str">
        <f>IF(Data[[#This Row],[Betrag]]&lt;0,"A","E")</f>
        <v>A</v>
      </c>
    </row>
    <row r="1297" spans="1:11" x14ac:dyDescent="0.25">
      <c r="A1297" s="1">
        <v>43300</v>
      </c>
      <c r="B1297" s="66" t="s">
        <v>58</v>
      </c>
      <c r="C1297" s="66" t="s">
        <v>59</v>
      </c>
      <c r="D1297" t="s">
        <v>60</v>
      </c>
      <c r="E1297">
        <v>-70</v>
      </c>
      <c r="F1297" s="66" t="s">
        <v>7</v>
      </c>
      <c r="G1297" s="66" t="s">
        <v>10</v>
      </c>
      <c r="H1297" s="66" t="str">
        <f>TEXT(Data[[#This Row],[Buchung]],"MMM")</f>
        <v>Jul</v>
      </c>
      <c r="I1297" s="67">
        <f>YEAR(Data[[#This Row],[Buchung]])</f>
        <v>2018</v>
      </c>
      <c r="J1297" s="2">
        <f>ABS(Data[[#This Row],[Betrag]])</f>
        <v>70</v>
      </c>
      <c r="K1297" s="66" t="str">
        <f>IF(Data[[#This Row],[Betrag]]&lt;0,"A","E")</f>
        <v>A</v>
      </c>
    </row>
    <row r="1298" spans="1:11" x14ac:dyDescent="0.25">
      <c r="A1298" s="1">
        <v>43301</v>
      </c>
      <c r="B1298" s="66" t="s">
        <v>45</v>
      </c>
      <c r="C1298" s="66" t="s">
        <v>46</v>
      </c>
      <c r="D1298" t="s">
        <v>47</v>
      </c>
      <c r="E1298">
        <v>1000</v>
      </c>
      <c r="F1298" s="66" t="s">
        <v>7</v>
      </c>
      <c r="G1298" s="66" t="s">
        <v>9</v>
      </c>
      <c r="H1298" s="66" t="str">
        <f>TEXT(Data[[#This Row],[Buchung]],"MMM")</f>
        <v>Jul</v>
      </c>
      <c r="I1298" s="67">
        <f>YEAR(Data[[#This Row],[Buchung]])</f>
        <v>2018</v>
      </c>
      <c r="J1298" s="2">
        <f>ABS(Data[[#This Row],[Betrag]])</f>
        <v>1000</v>
      </c>
      <c r="K1298" s="66" t="str">
        <f>IF(Data[[#This Row],[Betrag]]&lt;0,"A","E")</f>
        <v>E</v>
      </c>
    </row>
    <row r="1299" spans="1:11" x14ac:dyDescent="0.25">
      <c r="A1299" s="1">
        <v>43302</v>
      </c>
      <c r="B1299" s="66" t="s">
        <v>61</v>
      </c>
      <c r="C1299" s="66" t="s">
        <v>49</v>
      </c>
      <c r="D1299" t="s">
        <v>62</v>
      </c>
      <c r="E1299">
        <v>-10</v>
      </c>
      <c r="F1299" s="66" t="s">
        <v>7</v>
      </c>
      <c r="G1299" s="66" t="s">
        <v>8</v>
      </c>
      <c r="H1299" s="66" t="str">
        <f>TEXT(Data[[#This Row],[Buchung]],"MMM")</f>
        <v>Jul</v>
      </c>
      <c r="I1299" s="67">
        <f>YEAR(Data[[#This Row],[Buchung]])</f>
        <v>2018</v>
      </c>
      <c r="J1299" s="2">
        <f>ABS(Data[[#This Row],[Betrag]])</f>
        <v>10</v>
      </c>
      <c r="K1299" s="66" t="str">
        <f>IF(Data[[#This Row],[Betrag]]&lt;0,"A","E")</f>
        <v>A</v>
      </c>
    </row>
    <row r="1300" spans="1:11" x14ac:dyDescent="0.25">
      <c r="A1300" s="1">
        <v>43303</v>
      </c>
      <c r="B1300" s="66" t="s">
        <v>63</v>
      </c>
      <c r="C1300" s="66" t="s">
        <v>64</v>
      </c>
      <c r="D1300" t="s">
        <v>65</v>
      </c>
      <c r="E1300">
        <v>-60</v>
      </c>
      <c r="F1300" s="66" t="s">
        <v>7</v>
      </c>
      <c r="G1300" s="66" t="s">
        <v>11</v>
      </c>
      <c r="H1300" s="66" t="str">
        <f>TEXT(Data[[#This Row],[Buchung]],"MMM")</f>
        <v>Jul</v>
      </c>
      <c r="I1300" s="67">
        <f>YEAR(Data[[#This Row],[Buchung]])</f>
        <v>2018</v>
      </c>
      <c r="J1300" s="2">
        <f>ABS(Data[[#This Row],[Betrag]])</f>
        <v>60</v>
      </c>
      <c r="K1300" s="66" t="str">
        <f>IF(Data[[#This Row],[Betrag]]&lt;0,"A","E")</f>
        <v>A</v>
      </c>
    </row>
    <row r="1301" spans="1:11" x14ac:dyDescent="0.25">
      <c r="A1301" s="1">
        <v>43304</v>
      </c>
      <c r="B1301" s="66" t="s">
        <v>54</v>
      </c>
      <c r="C1301" s="66" t="s">
        <v>55</v>
      </c>
      <c r="D1301" t="s">
        <v>66</v>
      </c>
      <c r="E1301">
        <v>-80</v>
      </c>
      <c r="F1301" s="66" t="s">
        <v>7</v>
      </c>
      <c r="G1301" s="66" t="s">
        <v>57</v>
      </c>
      <c r="H1301" s="66" t="str">
        <f>TEXT(Data[[#This Row],[Buchung]],"MMM")</f>
        <v>Jul</v>
      </c>
      <c r="I1301" s="67">
        <f>YEAR(Data[[#This Row],[Buchung]])</f>
        <v>2018</v>
      </c>
      <c r="J1301" s="2">
        <f>ABS(Data[[#This Row],[Betrag]])</f>
        <v>80</v>
      </c>
      <c r="K1301" s="66" t="str">
        <f>IF(Data[[#This Row],[Betrag]]&lt;0,"A","E")</f>
        <v>A</v>
      </c>
    </row>
    <row r="1302" spans="1:11" x14ac:dyDescent="0.25">
      <c r="A1302" s="1">
        <v>43305</v>
      </c>
      <c r="B1302" s="66" t="s">
        <v>67</v>
      </c>
      <c r="C1302" s="66" t="s">
        <v>59</v>
      </c>
      <c r="D1302" t="s">
        <v>68</v>
      </c>
      <c r="E1302">
        <v>-30</v>
      </c>
      <c r="F1302" s="66" t="s">
        <v>7</v>
      </c>
      <c r="G1302" s="66" t="s">
        <v>10</v>
      </c>
      <c r="H1302" s="66" t="str">
        <f>TEXT(Data[[#This Row],[Buchung]],"MMM")</f>
        <v>Jul</v>
      </c>
      <c r="I1302" s="67">
        <f>YEAR(Data[[#This Row],[Buchung]])</f>
        <v>2018</v>
      </c>
      <c r="J1302" s="2">
        <f>ABS(Data[[#This Row],[Betrag]])</f>
        <v>30</v>
      </c>
      <c r="K1302" s="66" t="str">
        <f>IF(Data[[#This Row],[Betrag]]&lt;0,"A","E")</f>
        <v>A</v>
      </c>
    </row>
    <row r="1303" spans="1:11" x14ac:dyDescent="0.25">
      <c r="A1303" s="1">
        <v>43306</v>
      </c>
      <c r="B1303" s="66" t="s">
        <v>45</v>
      </c>
      <c r="C1303" s="66" t="s">
        <v>46</v>
      </c>
      <c r="D1303" t="s">
        <v>47</v>
      </c>
      <c r="E1303">
        <v>1000</v>
      </c>
      <c r="F1303" s="66" t="s">
        <v>7</v>
      </c>
      <c r="G1303" s="66" t="s">
        <v>9</v>
      </c>
      <c r="H1303" s="66" t="str">
        <f>TEXT(Data[[#This Row],[Buchung]],"MMM")</f>
        <v>Jul</v>
      </c>
      <c r="I1303" s="67">
        <f>YEAR(Data[[#This Row],[Buchung]])</f>
        <v>2018</v>
      </c>
      <c r="J1303" s="2">
        <f>ABS(Data[[#This Row],[Betrag]])</f>
        <v>1000</v>
      </c>
      <c r="K1303" s="66" t="str">
        <f>IF(Data[[#This Row],[Betrag]]&lt;0,"A","E")</f>
        <v>E</v>
      </c>
    </row>
    <row r="1304" spans="1:11" x14ac:dyDescent="0.25">
      <c r="A1304" s="1">
        <v>43307</v>
      </c>
      <c r="B1304" s="66" t="s">
        <v>48</v>
      </c>
      <c r="C1304" s="66" t="s">
        <v>49</v>
      </c>
      <c r="D1304" t="s">
        <v>50</v>
      </c>
      <c r="E1304">
        <v>-15</v>
      </c>
      <c r="F1304" s="66" t="s">
        <v>7</v>
      </c>
      <c r="G1304" s="66" t="s">
        <v>8</v>
      </c>
      <c r="H1304" s="66" t="str">
        <f>TEXT(Data[[#This Row],[Buchung]],"MMM")</f>
        <v>Jul</v>
      </c>
      <c r="I1304" s="67">
        <f>YEAR(Data[[#This Row],[Buchung]])</f>
        <v>2018</v>
      </c>
      <c r="J1304" s="2">
        <f>ABS(Data[[#This Row],[Betrag]])</f>
        <v>15</v>
      </c>
      <c r="K1304" s="66" t="str">
        <f>IF(Data[[#This Row],[Betrag]]&lt;0,"A","E")</f>
        <v>A</v>
      </c>
    </row>
    <row r="1305" spans="1:11" x14ac:dyDescent="0.25">
      <c r="A1305" s="1">
        <v>43308</v>
      </c>
      <c r="B1305" s="66" t="s">
        <v>51</v>
      </c>
      <c r="C1305" s="66" t="s">
        <v>52</v>
      </c>
      <c r="D1305" t="s">
        <v>53</v>
      </c>
      <c r="E1305">
        <v>-350</v>
      </c>
      <c r="F1305" s="66" t="s">
        <v>7</v>
      </c>
      <c r="G1305" s="66" t="s">
        <v>11</v>
      </c>
      <c r="H1305" s="66" t="str">
        <f>TEXT(Data[[#This Row],[Buchung]],"MMM")</f>
        <v>Jul</v>
      </c>
      <c r="I1305" s="67">
        <f>YEAR(Data[[#This Row],[Buchung]])</f>
        <v>2018</v>
      </c>
      <c r="J1305" s="2">
        <f>ABS(Data[[#This Row],[Betrag]])</f>
        <v>350</v>
      </c>
      <c r="K1305" s="66" t="str">
        <f>IF(Data[[#This Row],[Betrag]]&lt;0,"A","E")</f>
        <v>A</v>
      </c>
    </row>
    <row r="1306" spans="1:11" x14ac:dyDescent="0.25">
      <c r="A1306" s="1">
        <v>43309</v>
      </c>
      <c r="B1306" s="66" t="s">
        <v>54</v>
      </c>
      <c r="C1306" s="66" t="s">
        <v>55</v>
      </c>
      <c r="D1306" t="s">
        <v>56</v>
      </c>
      <c r="E1306">
        <v>-120</v>
      </c>
      <c r="F1306" s="66" t="s">
        <v>7</v>
      </c>
      <c r="G1306" s="66" t="s">
        <v>57</v>
      </c>
      <c r="H1306" s="66" t="str">
        <f>TEXT(Data[[#This Row],[Buchung]],"MMM")</f>
        <v>Jul</v>
      </c>
      <c r="I1306" s="67">
        <f>YEAR(Data[[#This Row],[Buchung]])</f>
        <v>2018</v>
      </c>
      <c r="J1306" s="2">
        <f>ABS(Data[[#This Row],[Betrag]])</f>
        <v>120</v>
      </c>
      <c r="K1306" s="66" t="str">
        <f>IF(Data[[#This Row],[Betrag]]&lt;0,"A","E")</f>
        <v>A</v>
      </c>
    </row>
    <row r="1307" spans="1:11" x14ac:dyDescent="0.25">
      <c r="A1307" s="1">
        <v>43310</v>
      </c>
      <c r="B1307" s="66" t="s">
        <v>58</v>
      </c>
      <c r="C1307" s="66" t="s">
        <v>59</v>
      </c>
      <c r="D1307" t="s">
        <v>60</v>
      </c>
      <c r="E1307">
        <v>-80</v>
      </c>
      <c r="F1307" s="66" t="s">
        <v>7</v>
      </c>
      <c r="G1307" s="66" t="s">
        <v>10</v>
      </c>
      <c r="H1307" s="66" t="str">
        <f>TEXT(Data[[#This Row],[Buchung]],"MMM")</f>
        <v>Jul</v>
      </c>
      <c r="I1307" s="67">
        <f>YEAR(Data[[#This Row],[Buchung]])</f>
        <v>2018</v>
      </c>
      <c r="J1307" s="2">
        <f>ABS(Data[[#This Row],[Betrag]])</f>
        <v>80</v>
      </c>
      <c r="K1307" s="66" t="str">
        <f>IF(Data[[#This Row],[Betrag]]&lt;0,"A","E")</f>
        <v>A</v>
      </c>
    </row>
    <row r="1308" spans="1:11" x14ac:dyDescent="0.25">
      <c r="A1308" s="1">
        <v>43311</v>
      </c>
      <c r="B1308" s="66" t="s">
        <v>45</v>
      </c>
      <c r="C1308" s="66" t="s">
        <v>46</v>
      </c>
      <c r="D1308" t="s">
        <v>47</v>
      </c>
      <c r="E1308">
        <v>1000</v>
      </c>
      <c r="F1308" s="66" t="s">
        <v>7</v>
      </c>
      <c r="G1308" s="66" t="s">
        <v>9</v>
      </c>
      <c r="H1308" s="66" t="str">
        <f>TEXT(Data[[#This Row],[Buchung]],"MMM")</f>
        <v>Jul</v>
      </c>
      <c r="I1308" s="67">
        <f>YEAR(Data[[#This Row],[Buchung]])</f>
        <v>2018</v>
      </c>
      <c r="J1308" s="2">
        <f>ABS(Data[[#This Row],[Betrag]])</f>
        <v>1000</v>
      </c>
      <c r="K1308" s="66" t="str">
        <f>IF(Data[[#This Row],[Betrag]]&lt;0,"A","E")</f>
        <v>E</v>
      </c>
    </row>
    <row r="1309" spans="1:11" x14ac:dyDescent="0.25">
      <c r="A1309" s="1">
        <v>43312</v>
      </c>
      <c r="B1309" s="66" t="s">
        <v>61</v>
      </c>
      <c r="C1309" s="66" t="s">
        <v>49</v>
      </c>
      <c r="D1309" t="s">
        <v>62</v>
      </c>
      <c r="E1309">
        <v>-10</v>
      </c>
      <c r="F1309" s="66" t="s">
        <v>7</v>
      </c>
      <c r="G1309" s="66" t="s">
        <v>8</v>
      </c>
      <c r="H1309" s="66" t="str">
        <f>TEXT(Data[[#This Row],[Buchung]],"MMM")</f>
        <v>Jul</v>
      </c>
      <c r="I1309" s="67">
        <f>YEAR(Data[[#This Row],[Buchung]])</f>
        <v>2018</v>
      </c>
      <c r="J1309" s="2">
        <f>ABS(Data[[#This Row],[Betrag]])</f>
        <v>10</v>
      </c>
      <c r="K1309" s="66" t="str">
        <f>IF(Data[[#This Row],[Betrag]]&lt;0,"A","E")</f>
        <v>A</v>
      </c>
    </row>
    <row r="1310" spans="1:11" x14ac:dyDescent="0.25">
      <c r="A1310" s="1">
        <v>43313</v>
      </c>
      <c r="B1310" s="66" t="s">
        <v>63</v>
      </c>
      <c r="C1310" s="66" t="s">
        <v>64</v>
      </c>
      <c r="D1310" t="s">
        <v>65</v>
      </c>
      <c r="E1310">
        <v>-65</v>
      </c>
      <c r="F1310" s="66" t="s">
        <v>7</v>
      </c>
      <c r="G1310" s="66" t="s">
        <v>11</v>
      </c>
      <c r="H1310" s="66" t="str">
        <f>TEXT(Data[[#This Row],[Buchung]],"MMM")</f>
        <v>Aug</v>
      </c>
      <c r="I1310" s="67">
        <f>YEAR(Data[[#This Row],[Buchung]])</f>
        <v>2018</v>
      </c>
      <c r="J1310" s="2">
        <f>ABS(Data[[#This Row],[Betrag]])</f>
        <v>65</v>
      </c>
      <c r="K1310" s="66" t="str">
        <f>IF(Data[[#This Row],[Betrag]]&lt;0,"A","E")</f>
        <v>A</v>
      </c>
    </row>
    <row r="1311" spans="1:11" x14ac:dyDescent="0.25">
      <c r="A1311" s="1">
        <v>43314</v>
      </c>
      <c r="B1311" s="66" t="s">
        <v>54</v>
      </c>
      <c r="C1311" s="66" t="s">
        <v>55</v>
      </c>
      <c r="D1311" t="s">
        <v>66</v>
      </c>
      <c r="E1311">
        <v>-80</v>
      </c>
      <c r="F1311" s="66" t="s">
        <v>7</v>
      </c>
      <c r="G1311" s="66" t="s">
        <v>57</v>
      </c>
      <c r="H1311" s="66" t="str">
        <f>TEXT(Data[[#This Row],[Buchung]],"MMM")</f>
        <v>Aug</v>
      </c>
      <c r="I1311" s="67">
        <f>YEAR(Data[[#This Row],[Buchung]])</f>
        <v>2018</v>
      </c>
      <c r="J1311" s="2">
        <f>ABS(Data[[#This Row],[Betrag]])</f>
        <v>80</v>
      </c>
      <c r="K1311" s="66" t="str">
        <f>IF(Data[[#This Row],[Betrag]]&lt;0,"A","E")</f>
        <v>A</v>
      </c>
    </row>
    <row r="1312" spans="1:11" x14ac:dyDescent="0.25">
      <c r="A1312" s="1">
        <v>43315</v>
      </c>
      <c r="B1312" s="66" t="s">
        <v>67</v>
      </c>
      <c r="C1312" s="66" t="s">
        <v>59</v>
      </c>
      <c r="D1312" t="s">
        <v>68</v>
      </c>
      <c r="E1312">
        <v>-35</v>
      </c>
      <c r="F1312" s="66" t="s">
        <v>7</v>
      </c>
      <c r="G1312" s="66" t="s">
        <v>10</v>
      </c>
      <c r="H1312" s="66" t="str">
        <f>TEXT(Data[[#This Row],[Buchung]],"MMM")</f>
        <v>Aug</v>
      </c>
      <c r="I1312" s="67">
        <f>YEAR(Data[[#This Row],[Buchung]])</f>
        <v>2018</v>
      </c>
      <c r="J1312" s="2">
        <f>ABS(Data[[#This Row],[Betrag]])</f>
        <v>35</v>
      </c>
      <c r="K1312" s="66" t="str">
        <f>IF(Data[[#This Row],[Betrag]]&lt;0,"A","E")</f>
        <v>A</v>
      </c>
    </row>
    <row r="1313" spans="1:11" x14ac:dyDescent="0.25">
      <c r="A1313" s="1">
        <v>43316</v>
      </c>
      <c r="B1313" s="66" t="s">
        <v>45</v>
      </c>
      <c r="C1313" s="66" t="s">
        <v>46</v>
      </c>
      <c r="D1313" t="s">
        <v>47</v>
      </c>
      <c r="E1313">
        <v>1000</v>
      </c>
      <c r="F1313" s="66" t="s">
        <v>7</v>
      </c>
      <c r="G1313" s="66" t="s">
        <v>9</v>
      </c>
      <c r="H1313" s="66" t="str">
        <f>TEXT(Data[[#This Row],[Buchung]],"MMM")</f>
        <v>Aug</v>
      </c>
      <c r="I1313" s="67">
        <f>YEAR(Data[[#This Row],[Buchung]])</f>
        <v>2018</v>
      </c>
      <c r="J1313" s="2">
        <f>ABS(Data[[#This Row],[Betrag]])</f>
        <v>1000</v>
      </c>
      <c r="K1313" s="66" t="str">
        <f>IF(Data[[#This Row],[Betrag]]&lt;0,"A","E")</f>
        <v>E</v>
      </c>
    </row>
    <row r="1314" spans="1:11" x14ac:dyDescent="0.25">
      <c r="A1314" s="1">
        <v>43317</v>
      </c>
      <c r="B1314" s="66" t="s">
        <v>45</v>
      </c>
      <c r="C1314" s="66" t="s">
        <v>46</v>
      </c>
      <c r="D1314" t="s">
        <v>47</v>
      </c>
      <c r="E1314">
        <v>1000</v>
      </c>
      <c r="F1314" s="66" t="s">
        <v>7</v>
      </c>
      <c r="G1314" s="66" t="s">
        <v>9</v>
      </c>
      <c r="H1314" s="66" t="str">
        <f>TEXT(Data[[#This Row],[Buchung]],"MMM")</f>
        <v>Aug</v>
      </c>
      <c r="I1314" s="67">
        <f>YEAR(Data[[#This Row],[Buchung]])</f>
        <v>2018</v>
      </c>
      <c r="J1314" s="2">
        <f>ABS(Data[[#This Row],[Betrag]])</f>
        <v>1000</v>
      </c>
      <c r="K1314" s="66" t="str">
        <f>IF(Data[[#This Row],[Betrag]]&lt;0,"A","E")</f>
        <v>E</v>
      </c>
    </row>
    <row r="1315" spans="1:11" x14ac:dyDescent="0.25">
      <c r="A1315" s="1">
        <v>43318</v>
      </c>
      <c r="B1315" s="66" t="s">
        <v>48</v>
      </c>
      <c r="C1315" s="66" t="s">
        <v>49</v>
      </c>
      <c r="D1315" t="s">
        <v>50</v>
      </c>
      <c r="E1315">
        <v>-15</v>
      </c>
      <c r="F1315" s="66" t="s">
        <v>7</v>
      </c>
      <c r="G1315" s="66" t="s">
        <v>8</v>
      </c>
      <c r="H1315" s="66" t="str">
        <f>TEXT(Data[[#This Row],[Buchung]],"MMM")</f>
        <v>Aug</v>
      </c>
      <c r="I1315" s="67">
        <f>YEAR(Data[[#This Row],[Buchung]])</f>
        <v>2018</v>
      </c>
      <c r="J1315" s="2">
        <f>ABS(Data[[#This Row],[Betrag]])</f>
        <v>15</v>
      </c>
      <c r="K1315" s="66" t="str">
        <f>IF(Data[[#This Row],[Betrag]]&lt;0,"A","E")</f>
        <v>A</v>
      </c>
    </row>
    <row r="1316" spans="1:11" x14ac:dyDescent="0.25">
      <c r="A1316" s="1">
        <v>43319</v>
      </c>
      <c r="B1316" s="66" t="s">
        <v>51</v>
      </c>
      <c r="C1316" s="66" t="s">
        <v>52</v>
      </c>
      <c r="D1316" t="s">
        <v>53</v>
      </c>
      <c r="E1316">
        <v>-350</v>
      </c>
      <c r="F1316" s="66" t="s">
        <v>7</v>
      </c>
      <c r="G1316" s="66" t="s">
        <v>11</v>
      </c>
      <c r="H1316" s="66" t="str">
        <f>TEXT(Data[[#This Row],[Buchung]],"MMM")</f>
        <v>Aug</v>
      </c>
      <c r="I1316" s="67">
        <f>YEAR(Data[[#This Row],[Buchung]])</f>
        <v>2018</v>
      </c>
      <c r="J1316" s="2">
        <f>ABS(Data[[#This Row],[Betrag]])</f>
        <v>350</v>
      </c>
      <c r="K1316" s="66" t="str">
        <f>IF(Data[[#This Row],[Betrag]]&lt;0,"A","E")</f>
        <v>A</v>
      </c>
    </row>
    <row r="1317" spans="1:11" x14ac:dyDescent="0.25">
      <c r="A1317" s="1">
        <v>43320</v>
      </c>
      <c r="B1317" s="66" t="s">
        <v>54</v>
      </c>
      <c r="C1317" s="66" t="s">
        <v>55</v>
      </c>
      <c r="D1317" t="s">
        <v>56</v>
      </c>
      <c r="E1317">
        <v>-120</v>
      </c>
      <c r="F1317" s="66" t="s">
        <v>7</v>
      </c>
      <c r="G1317" s="66" t="s">
        <v>57</v>
      </c>
      <c r="H1317" s="66" t="str">
        <f>TEXT(Data[[#This Row],[Buchung]],"MMM")</f>
        <v>Aug</v>
      </c>
      <c r="I1317" s="67">
        <f>YEAR(Data[[#This Row],[Buchung]])</f>
        <v>2018</v>
      </c>
      <c r="J1317" s="2">
        <f>ABS(Data[[#This Row],[Betrag]])</f>
        <v>120</v>
      </c>
      <c r="K1317" s="66" t="str">
        <f>IF(Data[[#This Row],[Betrag]]&lt;0,"A","E")</f>
        <v>A</v>
      </c>
    </row>
    <row r="1318" spans="1:11" x14ac:dyDescent="0.25">
      <c r="A1318" s="1">
        <v>43321</v>
      </c>
      <c r="B1318" s="66" t="s">
        <v>58</v>
      </c>
      <c r="C1318" s="66" t="s">
        <v>59</v>
      </c>
      <c r="D1318" t="s">
        <v>60</v>
      </c>
      <c r="E1318">
        <v>-50</v>
      </c>
      <c r="F1318" s="66" t="s">
        <v>7</v>
      </c>
      <c r="G1318" s="66" t="s">
        <v>10</v>
      </c>
      <c r="H1318" s="66" t="str">
        <f>TEXT(Data[[#This Row],[Buchung]],"MMM")</f>
        <v>Aug</v>
      </c>
      <c r="I1318" s="67">
        <f>YEAR(Data[[#This Row],[Buchung]])</f>
        <v>2018</v>
      </c>
      <c r="J1318" s="2">
        <f>ABS(Data[[#This Row],[Betrag]])</f>
        <v>50</v>
      </c>
      <c r="K1318" s="66" t="str">
        <f>IF(Data[[#This Row],[Betrag]]&lt;0,"A","E")</f>
        <v>A</v>
      </c>
    </row>
    <row r="1319" spans="1:11" x14ac:dyDescent="0.25">
      <c r="A1319" s="1">
        <v>43322</v>
      </c>
      <c r="B1319" s="66" t="s">
        <v>45</v>
      </c>
      <c r="C1319" s="66" t="s">
        <v>46</v>
      </c>
      <c r="D1319" t="s">
        <v>47</v>
      </c>
      <c r="E1319">
        <v>1000</v>
      </c>
      <c r="F1319" s="66" t="s">
        <v>7</v>
      </c>
      <c r="G1319" s="66" t="s">
        <v>9</v>
      </c>
      <c r="H1319" s="66" t="str">
        <f>TEXT(Data[[#This Row],[Buchung]],"MMM")</f>
        <v>Aug</v>
      </c>
      <c r="I1319" s="67">
        <f>YEAR(Data[[#This Row],[Buchung]])</f>
        <v>2018</v>
      </c>
      <c r="J1319" s="2">
        <f>ABS(Data[[#This Row],[Betrag]])</f>
        <v>1000</v>
      </c>
      <c r="K1319" s="66" t="str">
        <f>IF(Data[[#This Row],[Betrag]]&lt;0,"A","E")</f>
        <v>E</v>
      </c>
    </row>
    <row r="1320" spans="1:11" x14ac:dyDescent="0.25">
      <c r="A1320" s="1">
        <v>43323</v>
      </c>
      <c r="B1320" s="66" t="s">
        <v>61</v>
      </c>
      <c r="C1320" s="66" t="s">
        <v>49</v>
      </c>
      <c r="D1320" t="s">
        <v>62</v>
      </c>
      <c r="E1320">
        <v>-10</v>
      </c>
      <c r="F1320" s="66" t="s">
        <v>7</v>
      </c>
      <c r="G1320" s="66" t="s">
        <v>8</v>
      </c>
      <c r="H1320" s="66" t="str">
        <f>TEXT(Data[[#This Row],[Buchung]],"MMM")</f>
        <v>Aug</v>
      </c>
      <c r="I1320" s="67">
        <f>YEAR(Data[[#This Row],[Buchung]])</f>
        <v>2018</v>
      </c>
      <c r="J1320" s="2">
        <f>ABS(Data[[#This Row],[Betrag]])</f>
        <v>10</v>
      </c>
      <c r="K1320" s="66" t="str">
        <f>IF(Data[[#This Row],[Betrag]]&lt;0,"A","E")</f>
        <v>A</v>
      </c>
    </row>
    <row r="1321" spans="1:11" x14ac:dyDescent="0.25">
      <c r="A1321" s="1">
        <v>43324</v>
      </c>
      <c r="B1321" s="66" t="s">
        <v>63</v>
      </c>
      <c r="C1321" s="66" t="s">
        <v>64</v>
      </c>
      <c r="D1321" t="s">
        <v>65</v>
      </c>
      <c r="E1321">
        <v>-60</v>
      </c>
      <c r="F1321" s="66" t="s">
        <v>7</v>
      </c>
      <c r="G1321" s="66" t="s">
        <v>11</v>
      </c>
      <c r="H1321" s="66" t="str">
        <f>TEXT(Data[[#This Row],[Buchung]],"MMM")</f>
        <v>Aug</v>
      </c>
      <c r="I1321" s="67">
        <f>YEAR(Data[[#This Row],[Buchung]])</f>
        <v>2018</v>
      </c>
      <c r="J1321" s="2">
        <f>ABS(Data[[#This Row],[Betrag]])</f>
        <v>60</v>
      </c>
      <c r="K1321" s="66" t="str">
        <f>IF(Data[[#This Row],[Betrag]]&lt;0,"A","E")</f>
        <v>A</v>
      </c>
    </row>
    <row r="1322" spans="1:11" x14ac:dyDescent="0.25">
      <c r="A1322" s="1">
        <v>43325</v>
      </c>
      <c r="B1322" s="66" t="s">
        <v>54</v>
      </c>
      <c r="C1322" s="66" t="s">
        <v>55</v>
      </c>
      <c r="D1322" t="s">
        <v>66</v>
      </c>
      <c r="E1322">
        <v>-80</v>
      </c>
      <c r="F1322" s="66" t="s">
        <v>7</v>
      </c>
      <c r="G1322" s="66" t="s">
        <v>57</v>
      </c>
      <c r="H1322" s="66" t="str">
        <f>TEXT(Data[[#This Row],[Buchung]],"MMM")</f>
        <v>Aug</v>
      </c>
      <c r="I1322" s="67">
        <f>YEAR(Data[[#This Row],[Buchung]])</f>
        <v>2018</v>
      </c>
      <c r="J1322" s="2">
        <f>ABS(Data[[#This Row],[Betrag]])</f>
        <v>80</v>
      </c>
      <c r="K1322" s="66" t="str">
        <f>IF(Data[[#This Row],[Betrag]]&lt;0,"A","E")</f>
        <v>A</v>
      </c>
    </row>
    <row r="1323" spans="1:11" x14ac:dyDescent="0.25">
      <c r="A1323" s="1">
        <v>43326</v>
      </c>
      <c r="B1323" s="66" t="s">
        <v>67</v>
      </c>
      <c r="C1323" s="66" t="s">
        <v>59</v>
      </c>
      <c r="D1323" t="s">
        <v>68</v>
      </c>
      <c r="E1323">
        <v>-20</v>
      </c>
      <c r="F1323" s="66" t="s">
        <v>7</v>
      </c>
      <c r="G1323" s="66" t="s">
        <v>10</v>
      </c>
      <c r="H1323" s="66" t="str">
        <f>TEXT(Data[[#This Row],[Buchung]],"MMM")</f>
        <v>Aug</v>
      </c>
      <c r="I1323" s="67">
        <f>YEAR(Data[[#This Row],[Buchung]])</f>
        <v>2018</v>
      </c>
      <c r="J1323" s="2">
        <f>ABS(Data[[#This Row],[Betrag]])</f>
        <v>20</v>
      </c>
      <c r="K1323" s="66" t="str">
        <f>IF(Data[[#This Row],[Betrag]]&lt;0,"A","E")</f>
        <v>A</v>
      </c>
    </row>
    <row r="1324" spans="1:11" x14ac:dyDescent="0.25">
      <c r="A1324" s="1">
        <v>43327</v>
      </c>
      <c r="B1324" s="66" t="s">
        <v>45</v>
      </c>
      <c r="C1324" s="66" t="s">
        <v>46</v>
      </c>
      <c r="D1324" t="s">
        <v>47</v>
      </c>
      <c r="E1324">
        <v>1000</v>
      </c>
      <c r="F1324" s="66" t="s">
        <v>7</v>
      </c>
      <c r="G1324" s="66" t="s">
        <v>9</v>
      </c>
      <c r="H1324" s="66" t="str">
        <f>TEXT(Data[[#This Row],[Buchung]],"MMM")</f>
        <v>Aug</v>
      </c>
      <c r="I1324" s="67">
        <f>YEAR(Data[[#This Row],[Buchung]])</f>
        <v>2018</v>
      </c>
      <c r="J1324" s="2">
        <f>ABS(Data[[#This Row],[Betrag]])</f>
        <v>1000</v>
      </c>
      <c r="K1324" s="66" t="str">
        <f>IF(Data[[#This Row],[Betrag]]&lt;0,"A","E")</f>
        <v>E</v>
      </c>
    </row>
    <row r="1325" spans="1:11" x14ac:dyDescent="0.25">
      <c r="A1325" s="1">
        <v>43328</v>
      </c>
      <c r="B1325" s="66" t="s">
        <v>48</v>
      </c>
      <c r="C1325" s="66" t="s">
        <v>49</v>
      </c>
      <c r="D1325" t="s">
        <v>50</v>
      </c>
      <c r="E1325">
        <v>-15</v>
      </c>
      <c r="F1325" s="66" t="s">
        <v>7</v>
      </c>
      <c r="G1325" s="66" t="s">
        <v>8</v>
      </c>
      <c r="H1325" s="66" t="str">
        <f>TEXT(Data[[#This Row],[Buchung]],"MMM")</f>
        <v>Aug</v>
      </c>
      <c r="I1325" s="67">
        <f>YEAR(Data[[#This Row],[Buchung]])</f>
        <v>2018</v>
      </c>
      <c r="J1325" s="2">
        <f>ABS(Data[[#This Row],[Betrag]])</f>
        <v>15</v>
      </c>
      <c r="K1325" s="66" t="str">
        <f>IF(Data[[#This Row],[Betrag]]&lt;0,"A","E")</f>
        <v>A</v>
      </c>
    </row>
    <row r="1326" spans="1:11" x14ac:dyDescent="0.25">
      <c r="A1326" s="1">
        <v>43329</v>
      </c>
      <c r="B1326" s="66" t="s">
        <v>51</v>
      </c>
      <c r="C1326" s="66" t="s">
        <v>52</v>
      </c>
      <c r="D1326" t="s">
        <v>53</v>
      </c>
      <c r="E1326">
        <v>-350</v>
      </c>
      <c r="F1326" s="66" t="s">
        <v>7</v>
      </c>
      <c r="G1326" s="66" t="s">
        <v>11</v>
      </c>
      <c r="H1326" s="66" t="str">
        <f>TEXT(Data[[#This Row],[Buchung]],"MMM")</f>
        <v>Aug</v>
      </c>
      <c r="I1326" s="67">
        <f>YEAR(Data[[#This Row],[Buchung]])</f>
        <v>2018</v>
      </c>
      <c r="J1326" s="2">
        <f>ABS(Data[[#This Row],[Betrag]])</f>
        <v>350</v>
      </c>
      <c r="K1326" s="66" t="str">
        <f>IF(Data[[#This Row],[Betrag]]&lt;0,"A","E")</f>
        <v>A</v>
      </c>
    </row>
    <row r="1327" spans="1:11" x14ac:dyDescent="0.25">
      <c r="A1327" s="1">
        <v>43330</v>
      </c>
      <c r="B1327" s="66" t="s">
        <v>54</v>
      </c>
      <c r="C1327" s="66" t="s">
        <v>55</v>
      </c>
      <c r="D1327" t="s">
        <v>56</v>
      </c>
      <c r="E1327">
        <v>-120</v>
      </c>
      <c r="F1327" s="66" t="s">
        <v>7</v>
      </c>
      <c r="G1327" s="66" t="s">
        <v>57</v>
      </c>
      <c r="H1327" s="66" t="str">
        <f>TEXT(Data[[#This Row],[Buchung]],"MMM")</f>
        <v>Aug</v>
      </c>
      <c r="I1327" s="67">
        <f>YEAR(Data[[#This Row],[Buchung]])</f>
        <v>2018</v>
      </c>
      <c r="J1327" s="2">
        <f>ABS(Data[[#This Row],[Betrag]])</f>
        <v>120</v>
      </c>
      <c r="K1327" s="66" t="str">
        <f>IF(Data[[#This Row],[Betrag]]&lt;0,"A","E")</f>
        <v>A</v>
      </c>
    </row>
    <row r="1328" spans="1:11" x14ac:dyDescent="0.25">
      <c r="A1328" s="1">
        <v>43331</v>
      </c>
      <c r="B1328" s="66" t="s">
        <v>58</v>
      </c>
      <c r="C1328" s="66" t="s">
        <v>59</v>
      </c>
      <c r="D1328" t="s">
        <v>60</v>
      </c>
      <c r="E1328">
        <v>-60</v>
      </c>
      <c r="F1328" s="66" t="s">
        <v>7</v>
      </c>
      <c r="G1328" s="66" t="s">
        <v>10</v>
      </c>
      <c r="H1328" s="66" t="str">
        <f>TEXT(Data[[#This Row],[Buchung]],"MMM")</f>
        <v>Aug</v>
      </c>
      <c r="I1328" s="67">
        <f>YEAR(Data[[#This Row],[Buchung]])</f>
        <v>2018</v>
      </c>
      <c r="J1328" s="2">
        <f>ABS(Data[[#This Row],[Betrag]])</f>
        <v>60</v>
      </c>
      <c r="K1328" s="66" t="str">
        <f>IF(Data[[#This Row],[Betrag]]&lt;0,"A","E")</f>
        <v>A</v>
      </c>
    </row>
    <row r="1329" spans="1:11" x14ac:dyDescent="0.25">
      <c r="A1329" s="1">
        <v>43332</v>
      </c>
      <c r="B1329" s="66" t="s">
        <v>45</v>
      </c>
      <c r="C1329" s="66" t="s">
        <v>46</v>
      </c>
      <c r="D1329" t="s">
        <v>47</v>
      </c>
      <c r="E1329">
        <v>1000</v>
      </c>
      <c r="F1329" s="66" t="s">
        <v>7</v>
      </c>
      <c r="G1329" s="66" t="s">
        <v>9</v>
      </c>
      <c r="H1329" s="66" t="str">
        <f>TEXT(Data[[#This Row],[Buchung]],"MMM")</f>
        <v>Aug</v>
      </c>
      <c r="I1329" s="67">
        <f>YEAR(Data[[#This Row],[Buchung]])</f>
        <v>2018</v>
      </c>
      <c r="J1329" s="2">
        <f>ABS(Data[[#This Row],[Betrag]])</f>
        <v>1000</v>
      </c>
      <c r="K1329" s="66" t="str">
        <f>IF(Data[[#This Row],[Betrag]]&lt;0,"A","E")</f>
        <v>E</v>
      </c>
    </row>
    <row r="1330" spans="1:11" x14ac:dyDescent="0.25">
      <c r="A1330" s="1">
        <v>43333</v>
      </c>
      <c r="B1330" s="66" t="s">
        <v>61</v>
      </c>
      <c r="C1330" s="66" t="s">
        <v>49</v>
      </c>
      <c r="D1330" t="s">
        <v>62</v>
      </c>
      <c r="E1330">
        <v>-10</v>
      </c>
      <c r="F1330" s="66" t="s">
        <v>7</v>
      </c>
      <c r="G1330" s="66" t="s">
        <v>8</v>
      </c>
      <c r="H1330" s="66" t="str">
        <f>TEXT(Data[[#This Row],[Buchung]],"MMM")</f>
        <v>Aug</v>
      </c>
      <c r="I1330" s="67">
        <f>YEAR(Data[[#This Row],[Buchung]])</f>
        <v>2018</v>
      </c>
      <c r="J1330" s="2">
        <f>ABS(Data[[#This Row],[Betrag]])</f>
        <v>10</v>
      </c>
      <c r="K1330" s="66" t="str">
        <f>IF(Data[[#This Row],[Betrag]]&lt;0,"A","E")</f>
        <v>A</v>
      </c>
    </row>
    <row r="1331" spans="1:11" x14ac:dyDescent="0.25">
      <c r="A1331" s="1">
        <v>43334</v>
      </c>
      <c r="B1331" s="66" t="s">
        <v>63</v>
      </c>
      <c r="C1331" s="66" t="s">
        <v>64</v>
      </c>
      <c r="D1331" t="s">
        <v>65</v>
      </c>
      <c r="E1331">
        <v>-70</v>
      </c>
      <c r="F1331" s="66" t="s">
        <v>7</v>
      </c>
      <c r="G1331" s="66" t="s">
        <v>11</v>
      </c>
      <c r="H1331" s="66" t="str">
        <f>TEXT(Data[[#This Row],[Buchung]],"MMM")</f>
        <v>Aug</v>
      </c>
      <c r="I1331" s="67">
        <f>YEAR(Data[[#This Row],[Buchung]])</f>
        <v>2018</v>
      </c>
      <c r="J1331" s="2">
        <f>ABS(Data[[#This Row],[Betrag]])</f>
        <v>70</v>
      </c>
      <c r="K1331" s="66" t="str">
        <f>IF(Data[[#This Row],[Betrag]]&lt;0,"A","E")</f>
        <v>A</v>
      </c>
    </row>
    <row r="1332" spans="1:11" x14ac:dyDescent="0.25">
      <c r="A1332" s="1">
        <v>43335</v>
      </c>
      <c r="B1332" s="66" t="s">
        <v>54</v>
      </c>
      <c r="C1332" s="66" t="s">
        <v>55</v>
      </c>
      <c r="D1332" t="s">
        <v>66</v>
      </c>
      <c r="E1332">
        <v>-80</v>
      </c>
      <c r="F1332" s="66" t="s">
        <v>7</v>
      </c>
      <c r="G1332" s="66" t="s">
        <v>57</v>
      </c>
      <c r="H1332" s="66" t="str">
        <f>TEXT(Data[[#This Row],[Buchung]],"MMM")</f>
        <v>Aug</v>
      </c>
      <c r="I1332" s="67">
        <f>YEAR(Data[[#This Row],[Buchung]])</f>
        <v>2018</v>
      </c>
      <c r="J1332" s="2">
        <f>ABS(Data[[#This Row],[Betrag]])</f>
        <v>80</v>
      </c>
      <c r="K1332" s="66" t="str">
        <f>IF(Data[[#This Row],[Betrag]]&lt;0,"A","E")</f>
        <v>A</v>
      </c>
    </row>
    <row r="1333" spans="1:11" x14ac:dyDescent="0.25">
      <c r="A1333" s="1">
        <v>43336</v>
      </c>
      <c r="B1333" s="66" t="s">
        <v>67</v>
      </c>
      <c r="C1333" s="66" t="s">
        <v>59</v>
      </c>
      <c r="D1333" t="s">
        <v>68</v>
      </c>
      <c r="E1333">
        <v>-25</v>
      </c>
      <c r="F1333" s="66" t="s">
        <v>7</v>
      </c>
      <c r="G1333" s="66" t="s">
        <v>10</v>
      </c>
      <c r="H1333" s="66" t="str">
        <f>TEXT(Data[[#This Row],[Buchung]],"MMM")</f>
        <v>Aug</v>
      </c>
      <c r="I1333" s="67">
        <f>YEAR(Data[[#This Row],[Buchung]])</f>
        <v>2018</v>
      </c>
      <c r="J1333" s="2">
        <f>ABS(Data[[#This Row],[Betrag]])</f>
        <v>25</v>
      </c>
      <c r="K1333" s="66" t="str">
        <f>IF(Data[[#This Row],[Betrag]]&lt;0,"A","E")</f>
        <v>A</v>
      </c>
    </row>
    <row r="1334" spans="1:11" x14ac:dyDescent="0.25">
      <c r="A1334" s="1">
        <v>43337</v>
      </c>
      <c r="B1334" s="66" t="s">
        <v>45</v>
      </c>
      <c r="C1334" s="66" t="s">
        <v>46</v>
      </c>
      <c r="D1334" t="s">
        <v>47</v>
      </c>
      <c r="E1334">
        <v>1000</v>
      </c>
      <c r="F1334" s="66" t="s">
        <v>7</v>
      </c>
      <c r="G1334" s="66" t="s">
        <v>9</v>
      </c>
      <c r="H1334" s="66" t="str">
        <f>TEXT(Data[[#This Row],[Buchung]],"MMM")</f>
        <v>Aug</v>
      </c>
      <c r="I1334" s="67">
        <f>YEAR(Data[[#This Row],[Buchung]])</f>
        <v>2018</v>
      </c>
      <c r="J1334" s="2">
        <f>ABS(Data[[#This Row],[Betrag]])</f>
        <v>1000</v>
      </c>
      <c r="K1334" s="66" t="str">
        <f>IF(Data[[#This Row],[Betrag]]&lt;0,"A","E")</f>
        <v>E</v>
      </c>
    </row>
    <row r="1335" spans="1:11" x14ac:dyDescent="0.25">
      <c r="A1335" s="1">
        <v>43338</v>
      </c>
      <c r="B1335" s="66" t="s">
        <v>48</v>
      </c>
      <c r="C1335" s="66" t="s">
        <v>49</v>
      </c>
      <c r="D1335" t="s">
        <v>50</v>
      </c>
      <c r="E1335">
        <v>-15</v>
      </c>
      <c r="F1335" s="66" t="s">
        <v>7</v>
      </c>
      <c r="G1335" s="66" t="s">
        <v>8</v>
      </c>
      <c r="H1335" s="66" t="str">
        <f>TEXT(Data[[#This Row],[Buchung]],"MMM")</f>
        <v>Aug</v>
      </c>
      <c r="I1335" s="67">
        <f>YEAR(Data[[#This Row],[Buchung]])</f>
        <v>2018</v>
      </c>
      <c r="J1335" s="2">
        <f>ABS(Data[[#This Row],[Betrag]])</f>
        <v>15</v>
      </c>
      <c r="K1335" s="66" t="str">
        <f>IF(Data[[#This Row],[Betrag]]&lt;0,"A","E")</f>
        <v>A</v>
      </c>
    </row>
    <row r="1336" spans="1:11" x14ac:dyDescent="0.25">
      <c r="A1336" s="1">
        <v>43339</v>
      </c>
      <c r="B1336" s="66" t="s">
        <v>51</v>
      </c>
      <c r="C1336" s="66" t="s">
        <v>52</v>
      </c>
      <c r="D1336" t="s">
        <v>53</v>
      </c>
      <c r="E1336">
        <v>-350</v>
      </c>
      <c r="F1336" s="66" t="s">
        <v>7</v>
      </c>
      <c r="G1336" s="66" t="s">
        <v>11</v>
      </c>
      <c r="H1336" s="66" t="str">
        <f>TEXT(Data[[#This Row],[Buchung]],"MMM")</f>
        <v>Aug</v>
      </c>
      <c r="I1336" s="67">
        <f>YEAR(Data[[#This Row],[Buchung]])</f>
        <v>2018</v>
      </c>
      <c r="J1336" s="2">
        <f>ABS(Data[[#This Row],[Betrag]])</f>
        <v>350</v>
      </c>
      <c r="K1336" s="66" t="str">
        <f>IF(Data[[#This Row],[Betrag]]&lt;0,"A","E")</f>
        <v>A</v>
      </c>
    </row>
    <row r="1337" spans="1:11" x14ac:dyDescent="0.25">
      <c r="A1337" s="1">
        <v>43340</v>
      </c>
      <c r="B1337" s="66" t="s">
        <v>54</v>
      </c>
      <c r="C1337" s="66" t="s">
        <v>55</v>
      </c>
      <c r="D1337" t="s">
        <v>56</v>
      </c>
      <c r="E1337">
        <v>-120</v>
      </c>
      <c r="F1337" s="66" t="s">
        <v>7</v>
      </c>
      <c r="G1337" s="66" t="s">
        <v>57</v>
      </c>
      <c r="H1337" s="66" t="str">
        <f>TEXT(Data[[#This Row],[Buchung]],"MMM")</f>
        <v>Aug</v>
      </c>
      <c r="I1337" s="67">
        <f>YEAR(Data[[#This Row],[Buchung]])</f>
        <v>2018</v>
      </c>
      <c r="J1337" s="2">
        <f>ABS(Data[[#This Row],[Betrag]])</f>
        <v>120</v>
      </c>
      <c r="K1337" s="66" t="str">
        <f>IF(Data[[#This Row],[Betrag]]&lt;0,"A","E")</f>
        <v>A</v>
      </c>
    </row>
    <row r="1338" spans="1:11" x14ac:dyDescent="0.25">
      <c r="A1338" s="1">
        <v>43341</v>
      </c>
      <c r="B1338" s="66" t="s">
        <v>58</v>
      </c>
      <c r="C1338" s="66" t="s">
        <v>59</v>
      </c>
      <c r="D1338" t="s">
        <v>60</v>
      </c>
      <c r="E1338">
        <v>-70</v>
      </c>
      <c r="F1338" s="66" t="s">
        <v>7</v>
      </c>
      <c r="G1338" s="66" t="s">
        <v>10</v>
      </c>
      <c r="H1338" s="66" t="str">
        <f>TEXT(Data[[#This Row],[Buchung]],"MMM")</f>
        <v>Aug</v>
      </c>
      <c r="I1338" s="67">
        <f>YEAR(Data[[#This Row],[Buchung]])</f>
        <v>2018</v>
      </c>
      <c r="J1338" s="2">
        <f>ABS(Data[[#This Row],[Betrag]])</f>
        <v>70</v>
      </c>
      <c r="K1338" s="66" t="str">
        <f>IF(Data[[#This Row],[Betrag]]&lt;0,"A","E")</f>
        <v>A</v>
      </c>
    </row>
    <row r="1339" spans="1:11" x14ac:dyDescent="0.25">
      <c r="A1339" s="1">
        <v>43342</v>
      </c>
      <c r="B1339" s="66" t="s">
        <v>45</v>
      </c>
      <c r="C1339" s="66" t="s">
        <v>46</v>
      </c>
      <c r="D1339" t="s">
        <v>47</v>
      </c>
      <c r="E1339">
        <v>1000</v>
      </c>
      <c r="F1339" s="66" t="s">
        <v>7</v>
      </c>
      <c r="G1339" s="66" t="s">
        <v>9</v>
      </c>
      <c r="H1339" s="66" t="str">
        <f>TEXT(Data[[#This Row],[Buchung]],"MMM")</f>
        <v>Aug</v>
      </c>
      <c r="I1339" s="67">
        <f>YEAR(Data[[#This Row],[Buchung]])</f>
        <v>2018</v>
      </c>
      <c r="J1339" s="2">
        <f>ABS(Data[[#This Row],[Betrag]])</f>
        <v>1000</v>
      </c>
      <c r="K1339" s="66" t="str">
        <f>IF(Data[[#This Row],[Betrag]]&lt;0,"A","E")</f>
        <v>E</v>
      </c>
    </row>
    <row r="1340" spans="1:11" x14ac:dyDescent="0.25">
      <c r="A1340" s="1">
        <v>43343</v>
      </c>
      <c r="B1340" s="66" t="s">
        <v>61</v>
      </c>
      <c r="C1340" s="66" t="s">
        <v>49</v>
      </c>
      <c r="D1340" t="s">
        <v>62</v>
      </c>
      <c r="E1340">
        <v>-10</v>
      </c>
      <c r="F1340" s="66" t="s">
        <v>7</v>
      </c>
      <c r="G1340" s="66" t="s">
        <v>8</v>
      </c>
      <c r="H1340" s="66" t="str">
        <f>TEXT(Data[[#This Row],[Buchung]],"MMM")</f>
        <v>Aug</v>
      </c>
      <c r="I1340" s="67">
        <f>YEAR(Data[[#This Row],[Buchung]])</f>
        <v>2018</v>
      </c>
      <c r="J1340" s="2">
        <f>ABS(Data[[#This Row],[Betrag]])</f>
        <v>10</v>
      </c>
      <c r="K1340" s="66" t="str">
        <f>IF(Data[[#This Row],[Betrag]]&lt;0,"A","E")</f>
        <v>A</v>
      </c>
    </row>
    <row r="1341" spans="1:11" x14ac:dyDescent="0.25">
      <c r="A1341" s="1">
        <v>43344</v>
      </c>
      <c r="B1341" s="66" t="s">
        <v>63</v>
      </c>
      <c r="C1341" s="66" t="s">
        <v>64</v>
      </c>
      <c r="D1341" t="s">
        <v>65</v>
      </c>
      <c r="E1341">
        <v>-60</v>
      </c>
      <c r="F1341" s="66" t="s">
        <v>7</v>
      </c>
      <c r="G1341" s="66" t="s">
        <v>11</v>
      </c>
      <c r="H1341" s="66" t="str">
        <f>TEXT(Data[[#This Row],[Buchung]],"MMM")</f>
        <v>Sep</v>
      </c>
      <c r="I1341" s="67">
        <f>YEAR(Data[[#This Row],[Buchung]])</f>
        <v>2018</v>
      </c>
      <c r="J1341" s="2">
        <f>ABS(Data[[#This Row],[Betrag]])</f>
        <v>60</v>
      </c>
      <c r="K1341" s="66" t="str">
        <f>IF(Data[[#This Row],[Betrag]]&lt;0,"A","E")</f>
        <v>A</v>
      </c>
    </row>
    <row r="1342" spans="1:11" x14ac:dyDescent="0.25">
      <c r="A1342" s="1">
        <v>43345</v>
      </c>
      <c r="B1342" s="66" t="s">
        <v>54</v>
      </c>
      <c r="C1342" s="66" t="s">
        <v>55</v>
      </c>
      <c r="D1342" t="s">
        <v>66</v>
      </c>
      <c r="E1342">
        <v>-80</v>
      </c>
      <c r="F1342" s="66" t="s">
        <v>7</v>
      </c>
      <c r="G1342" s="66" t="s">
        <v>57</v>
      </c>
      <c r="H1342" s="66" t="str">
        <f>TEXT(Data[[#This Row],[Buchung]],"MMM")</f>
        <v>Sep</v>
      </c>
      <c r="I1342" s="67">
        <f>YEAR(Data[[#This Row],[Buchung]])</f>
        <v>2018</v>
      </c>
      <c r="J1342" s="2">
        <f>ABS(Data[[#This Row],[Betrag]])</f>
        <v>80</v>
      </c>
      <c r="K1342" s="66" t="str">
        <f>IF(Data[[#This Row],[Betrag]]&lt;0,"A","E")</f>
        <v>A</v>
      </c>
    </row>
    <row r="1343" spans="1:11" x14ac:dyDescent="0.25">
      <c r="A1343" s="1">
        <v>43346</v>
      </c>
      <c r="B1343" s="66" t="s">
        <v>67</v>
      </c>
      <c r="C1343" s="66" t="s">
        <v>59</v>
      </c>
      <c r="D1343" t="s">
        <v>68</v>
      </c>
      <c r="E1343">
        <v>-30</v>
      </c>
      <c r="F1343" s="66" t="s">
        <v>7</v>
      </c>
      <c r="G1343" s="66" t="s">
        <v>10</v>
      </c>
      <c r="H1343" s="66" t="str">
        <f>TEXT(Data[[#This Row],[Buchung]],"MMM")</f>
        <v>Sep</v>
      </c>
      <c r="I1343" s="67">
        <f>YEAR(Data[[#This Row],[Buchung]])</f>
        <v>2018</v>
      </c>
      <c r="J1343" s="2">
        <f>ABS(Data[[#This Row],[Betrag]])</f>
        <v>30</v>
      </c>
      <c r="K1343" s="66" t="str">
        <f>IF(Data[[#This Row],[Betrag]]&lt;0,"A","E")</f>
        <v>A</v>
      </c>
    </row>
    <row r="1344" spans="1:11" x14ac:dyDescent="0.25">
      <c r="A1344" s="1">
        <v>43347</v>
      </c>
      <c r="B1344" s="66" t="s">
        <v>45</v>
      </c>
      <c r="C1344" s="66" t="s">
        <v>46</v>
      </c>
      <c r="D1344" t="s">
        <v>47</v>
      </c>
      <c r="E1344">
        <v>1000</v>
      </c>
      <c r="F1344" s="66" t="s">
        <v>7</v>
      </c>
      <c r="G1344" s="66" t="s">
        <v>9</v>
      </c>
      <c r="H1344" s="66" t="str">
        <f>TEXT(Data[[#This Row],[Buchung]],"MMM")</f>
        <v>Sep</v>
      </c>
      <c r="I1344" s="67">
        <f>YEAR(Data[[#This Row],[Buchung]])</f>
        <v>2018</v>
      </c>
      <c r="J1344" s="2">
        <f>ABS(Data[[#This Row],[Betrag]])</f>
        <v>1000</v>
      </c>
      <c r="K1344" s="66" t="str">
        <f>IF(Data[[#This Row],[Betrag]]&lt;0,"A","E")</f>
        <v>E</v>
      </c>
    </row>
    <row r="1345" spans="1:11" x14ac:dyDescent="0.25">
      <c r="A1345" s="1">
        <v>43348</v>
      </c>
      <c r="B1345" s="66" t="s">
        <v>48</v>
      </c>
      <c r="C1345" s="66" t="s">
        <v>49</v>
      </c>
      <c r="D1345" t="s">
        <v>50</v>
      </c>
      <c r="E1345">
        <v>-15</v>
      </c>
      <c r="F1345" s="66" t="s">
        <v>7</v>
      </c>
      <c r="G1345" s="66" t="s">
        <v>8</v>
      </c>
      <c r="H1345" s="66" t="str">
        <f>TEXT(Data[[#This Row],[Buchung]],"MMM")</f>
        <v>Sep</v>
      </c>
      <c r="I1345" s="67">
        <f>YEAR(Data[[#This Row],[Buchung]])</f>
        <v>2018</v>
      </c>
      <c r="J1345" s="2">
        <f>ABS(Data[[#This Row],[Betrag]])</f>
        <v>15</v>
      </c>
      <c r="K1345" s="66" t="str">
        <f>IF(Data[[#This Row],[Betrag]]&lt;0,"A","E")</f>
        <v>A</v>
      </c>
    </row>
    <row r="1346" spans="1:11" x14ac:dyDescent="0.25">
      <c r="A1346" s="1">
        <v>43349</v>
      </c>
      <c r="B1346" s="66" t="s">
        <v>51</v>
      </c>
      <c r="C1346" s="66" t="s">
        <v>52</v>
      </c>
      <c r="D1346" t="s">
        <v>53</v>
      </c>
      <c r="E1346">
        <v>-350</v>
      </c>
      <c r="F1346" s="66" t="s">
        <v>7</v>
      </c>
      <c r="G1346" s="66" t="s">
        <v>11</v>
      </c>
      <c r="H1346" s="66" t="str">
        <f>TEXT(Data[[#This Row],[Buchung]],"MMM")</f>
        <v>Sep</v>
      </c>
      <c r="I1346" s="67">
        <f>YEAR(Data[[#This Row],[Buchung]])</f>
        <v>2018</v>
      </c>
      <c r="J1346" s="2">
        <f>ABS(Data[[#This Row],[Betrag]])</f>
        <v>350</v>
      </c>
      <c r="K1346" s="66" t="str">
        <f>IF(Data[[#This Row],[Betrag]]&lt;0,"A","E")</f>
        <v>A</v>
      </c>
    </row>
    <row r="1347" spans="1:11" x14ac:dyDescent="0.25">
      <c r="A1347" s="1">
        <v>43350</v>
      </c>
      <c r="B1347" s="66" t="s">
        <v>54</v>
      </c>
      <c r="C1347" s="66" t="s">
        <v>55</v>
      </c>
      <c r="D1347" t="s">
        <v>56</v>
      </c>
      <c r="E1347">
        <v>-120</v>
      </c>
      <c r="F1347" s="66" t="s">
        <v>7</v>
      </c>
      <c r="G1347" s="66" t="s">
        <v>57</v>
      </c>
      <c r="H1347" s="66" t="str">
        <f>TEXT(Data[[#This Row],[Buchung]],"MMM")</f>
        <v>Sep</v>
      </c>
      <c r="I1347" s="67">
        <f>YEAR(Data[[#This Row],[Buchung]])</f>
        <v>2018</v>
      </c>
      <c r="J1347" s="2">
        <f>ABS(Data[[#This Row],[Betrag]])</f>
        <v>120</v>
      </c>
      <c r="K1347" s="66" t="str">
        <f>IF(Data[[#This Row],[Betrag]]&lt;0,"A","E")</f>
        <v>A</v>
      </c>
    </row>
    <row r="1348" spans="1:11" x14ac:dyDescent="0.25">
      <c r="A1348" s="1">
        <v>43351</v>
      </c>
      <c r="B1348" s="66" t="s">
        <v>58</v>
      </c>
      <c r="C1348" s="66" t="s">
        <v>59</v>
      </c>
      <c r="D1348" t="s">
        <v>60</v>
      </c>
      <c r="E1348">
        <v>-80</v>
      </c>
      <c r="F1348" s="66" t="s">
        <v>7</v>
      </c>
      <c r="G1348" s="66" t="s">
        <v>10</v>
      </c>
      <c r="H1348" s="66" t="str">
        <f>TEXT(Data[[#This Row],[Buchung]],"MMM")</f>
        <v>Sep</v>
      </c>
      <c r="I1348" s="67">
        <f>YEAR(Data[[#This Row],[Buchung]])</f>
        <v>2018</v>
      </c>
      <c r="J1348" s="2">
        <f>ABS(Data[[#This Row],[Betrag]])</f>
        <v>80</v>
      </c>
      <c r="K1348" s="66" t="str">
        <f>IF(Data[[#This Row],[Betrag]]&lt;0,"A","E")</f>
        <v>A</v>
      </c>
    </row>
    <row r="1349" spans="1:11" x14ac:dyDescent="0.25">
      <c r="A1349" s="1">
        <v>43352</v>
      </c>
      <c r="B1349" s="66" t="s">
        <v>45</v>
      </c>
      <c r="C1349" s="66" t="s">
        <v>46</v>
      </c>
      <c r="D1349" t="s">
        <v>47</v>
      </c>
      <c r="E1349">
        <v>1000</v>
      </c>
      <c r="F1349" s="66" t="s">
        <v>7</v>
      </c>
      <c r="G1349" s="66" t="s">
        <v>9</v>
      </c>
      <c r="H1349" s="66" t="str">
        <f>TEXT(Data[[#This Row],[Buchung]],"MMM")</f>
        <v>Sep</v>
      </c>
      <c r="I1349" s="67">
        <f>YEAR(Data[[#This Row],[Buchung]])</f>
        <v>2018</v>
      </c>
      <c r="J1349" s="2">
        <f>ABS(Data[[#This Row],[Betrag]])</f>
        <v>1000</v>
      </c>
      <c r="K1349" s="66" t="str">
        <f>IF(Data[[#This Row],[Betrag]]&lt;0,"A","E")</f>
        <v>E</v>
      </c>
    </row>
    <row r="1350" spans="1:11" x14ac:dyDescent="0.25">
      <c r="A1350" s="1">
        <v>43353</v>
      </c>
      <c r="B1350" s="66" t="s">
        <v>61</v>
      </c>
      <c r="C1350" s="66" t="s">
        <v>49</v>
      </c>
      <c r="D1350" t="s">
        <v>62</v>
      </c>
      <c r="E1350">
        <v>-10</v>
      </c>
      <c r="F1350" s="66" t="s">
        <v>7</v>
      </c>
      <c r="G1350" s="66" t="s">
        <v>8</v>
      </c>
      <c r="H1350" s="66" t="str">
        <f>TEXT(Data[[#This Row],[Buchung]],"MMM")</f>
        <v>Sep</v>
      </c>
      <c r="I1350" s="67">
        <f>YEAR(Data[[#This Row],[Buchung]])</f>
        <v>2018</v>
      </c>
      <c r="J1350" s="2">
        <f>ABS(Data[[#This Row],[Betrag]])</f>
        <v>10</v>
      </c>
      <c r="K1350" s="66" t="str">
        <f>IF(Data[[#This Row],[Betrag]]&lt;0,"A","E")</f>
        <v>A</v>
      </c>
    </row>
    <row r="1351" spans="1:11" x14ac:dyDescent="0.25">
      <c r="A1351" s="1">
        <v>43354</v>
      </c>
      <c r="B1351" s="66" t="s">
        <v>63</v>
      </c>
      <c r="C1351" s="66" t="s">
        <v>64</v>
      </c>
      <c r="D1351" t="s">
        <v>65</v>
      </c>
      <c r="E1351">
        <v>-65</v>
      </c>
      <c r="F1351" s="66" t="s">
        <v>7</v>
      </c>
      <c r="G1351" s="66" t="s">
        <v>11</v>
      </c>
      <c r="H1351" s="66" t="str">
        <f>TEXT(Data[[#This Row],[Buchung]],"MMM")</f>
        <v>Sep</v>
      </c>
      <c r="I1351" s="67">
        <f>YEAR(Data[[#This Row],[Buchung]])</f>
        <v>2018</v>
      </c>
      <c r="J1351" s="2">
        <f>ABS(Data[[#This Row],[Betrag]])</f>
        <v>65</v>
      </c>
      <c r="K1351" s="66" t="str">
        <f>IF(Data[[#This Row],[Betrag]]&lt;0,"A","E")</f>
        <v>A</v>
      </c>
    </row>
    <row r="1352" spans="1:11" x14ac:dyDescent="0.25">
      <c r="A1352" s="1">
        <v>43355</v>
      </c>
      <c r="B1352" s="66" t="s">
        <v>54</v>
      </c>
      <c r="C1352" s="66" t="s">
        <v>55</v>
      </c>
      <c r="D1352" t="s">
        <v>66</v>
      </c>
      <c r="E1352">
        <v>-80</v>
      </c>
      <c r="F1352" s="66" t="s">
        <v>7</v>
      </c>
      <c r="G1352" s="66" t="s">
        <v>57</v>
      </c>
      <c r="H1352" s="66" t="str">
        <f>TEXT(Data[[#This Row],[Buchung]],"MMM")</f>
        <v>Sep</v>
      </c>
      <c r="I1352" s="67">
        <f>YEAR(Data[[#This Row],[Buchung]])</f>
        <v>2018</v>
      </c>
      <c r="J1352" s="2">
        <f>ABS(Data[[#This Row],[Betrag]])</f>
        <v>80</v>
      </c>
      <c r="K1352" s="66" t="str">
        <f>IF(Data[[#This Row],[Betrag]]&lt;0,"A","E")</f>
        <v>A</v>
      </c>
    </row>
    <row r="1353" spans="1:11" x14ac:dyDescent="0.25">
      <c r="A1353" s="1">
        <v>43356</v>
      </c>
      <c r="B1353" s="66" t="s">
        <v>67</v>
      </c>
      <c r="C1353" s="66" t="s">
        <v>59</v>
      </c>
      <c r="D1353" t="s">
        <v>68</v>
      </c>
      <c r="E1353">
        <v>-35</v>
      </c>
      <c r="F1353" s="66" t="s">
        <v>7</v>
      </c>
      <c r="G1353" s="66" t="s">
        <v>10</v>
      </c>
      <c r="H1353" s="66" t="str">
        <f>TEXT(Data[[#This Row],[Buchung]],"MMM")</f>
        <v>Sep</v>
      </c>
      <c r="I1353" s="67">
        <f>YEAR(Data[[#This Row],[Buchung]])</f>
        <v>2018</v>
      </c>
      <c r="J1353" s="2">
        <f>ABS(Data[[#This Row],[Betrag]])</f>
        <v>35</v>
      </c>
      <c r="K1353" s="66" t="str">
        <f>IF(Data[[#This Row],[Betrag]]&lt;0,"A","E")</f>
        <v>A</v>
      </c>
    </row>
    <row r="1354" spans="1:11" x14ac:dyDescent="0.25">
      <c r="A1354" s="1">
        <v>43357</v>
      </c>
      <c r="B1354" s="66" t="s">
        <v>45</v>
      </c>
      <c r="C1354" s="66" t="s">
        <v>46</v>
      </c>
      <c r="D1354" t="s">
        <v>47</v>
      </c>
      <c r="E1354">
        <v>1000</v>
      </c>
      <c r="F1354" s="66" t="s">
        <v>7</v>
      </c>
      <c r="G1354" s="66" t="s">
        <v>9</v>
      </c>
      <c r="H1354" s="66" t="str">
        <f>TEXT(Data[[#This Row],[Buchung]],"MMM")</f>
        <v>Sep</v>
      </c>
      <c r="I1354" s="67">
        <f>YEAR(Data[[#This Row],[Buchung]])</f>
        <v>2018</v>
      </c>
      <c r="J1354" s="2">
        <f>ABS(Data[[#This Row],[Betrag]])</f>
        <v>1000</v>
      </c>
      <c r="K1354" s="66" t="str">
        <f>IF(Data[[#This Row],[Betrag]]&lt;0,"A","E")</f>
        <v>E</v>
      </c>
    </row>
    <row r="1355" spans="1:11" x14ac:dyDescent="0.25">
      <c r="A1355" s="1">
        <v>43358</v>
      </c>
      <c r="B1355" s="66" t="s">
        <v>45</v>
      </c>
      <c r="C1355" s="66" t="s">
        <v>46</v>
      </c>
      <c r="D1355" t="s">
        <v>47</v>
      </c>
      <c r="E1355">
        <v>1000</v>
      </c>
      <c r="F1355" s="66" t="s">
        <v>7</v>
      </c>
      <c r="G1355" s="66" t="s">
        <v>9</v>
      </c>
      <c r="H1355" s="66" t="str">
        <f>TEXT(Data[[#This Row],[Buchung]],"MMM")</f>
        <v>Sep</v>
      </c>
      <c r="I1355" s="67">
        <f>YEAR(Data[[#This Row],[Buchung]])</f>
        <v>2018</v>
      </c>
      <c r="J1355" s="2">
        <f>ABS(Data[[#This Row],[Betrag]])</f>
        <v>1000</v>
      </c>
      <c r="K1355" s="66" t="str">
        <f>IF(Data[[#This Row],[Betrag]]&lt;0,"A","E")</f>
        <v>E</v>
      </c>
    </row>
    <row r="1356" spans="1:11" x14ac:dyDescent="0.25">
      <c r="A1356" s="1">
        <v>43359</v>
      </c>
      <c r="B1356" s="66" t="s">
        <v>48</v>
      </c>
      <c r="C1356" s="66" t="s">
        <v>49</v>
      </c>
      <c r="D1356" t="s">
        <v>50</v>
      </c>
      <c r="E1356">
        <v>-15</v>
      </c>
      <c r="F1356" s="66" t="s">
        <v>7</v>
      </c>
      <c r="G1356" s="66" t="s">
        <v>8</v>
      </c>
      <c r="H1356" s="66" t="str">
        <f>TEXT(Data[[#This Row],[Buchung]],"MMM")</f>
        <v>Sep</v>
      </c>
      <c r="I1356" s="67">
        <f>YEAR(Data[[#This Row],[Buchung]])</f>
        <v>2018</v>
      </c>
      <c r="J1356" s="2">
        <f>ABS(Data[[#This Row],[Betrag]])</f>
        <v>15</v>
      </c>
      <c r="K1356" s="66" t="str">
        <f>IF(Data[[#This Row],[Betrag]]&lt;0,"A","E")</f>
        <v>A</v>
      </c>
    </row>
    <row r="1357" spans="1:11" x14ac:dyDescent="0.25">
      <c r="A1357" s="1">
        <v>43360</v>
      </c>
      <c r="B1357" s="66" t="s">
        <v>51</v>
      </c>
      <c r="C1357" s="66" t="s">
        <v>52</v>
      </c>
      <c r="D1357" t="s">
        <v>53</v>
      </c>
      <c r="E1357">
        <v>-350</v>
      </c>
      <c r="F1357" s="66" t="s">
        <v>7</v>
      </c>
      <c r="G1357" s="66" t="s">
        <v>11</v>
      </c>
      <c r="H1357" s="66" t="str">
        <f>TEXT(Data[[#This Row],[Buchung]],"MMM")</f>
        <v>Sep</v>
      </c>
      <c r="I1357" s="67">
        <f>YEAR(Data[[#This Row],[Buchung]])</f>
        <v>2018</v>
      </c>
      <c r="J1357" s="2">
        <f>ABS(Data[[#This Row],[Betrag]])</f>
        <v>350</v>
      </c>
      <c r="K1357" s="66" t="str">
        <f>IF(Data[[#This Row],[Betrag]]&lt;0,"A","E")</f>
        <v>A</v>
      </c>
    </row>
    <row r="1358" spans="1:11" x14ac:dyDescent="0.25">
      <c r="A1358" s="1">
        <v>43361</v>
      </c>
      <c r="B1358" s="66" t="s">
        <v>54</v>
      </c>
      <c r="C1358" s="66" t="s">
        <v>55</v>
      </c>
      <c r="D1358" t="s">
        <v>56</v>
      </c>
      <c r="E1358">
        <v>-120</v>
      </c>
      <c r="F1358" s="66" t="s">
        <v>7</v>
      </c>
      <c r="G1358" s="66" t="s">
        <v>57</v>
      </c>
      <c r="H1358" s="66" t="str">
        <f>TEXT(Data[[#This Row],[Buchung]],"MMM")</f>
        <v>Sep</v>
      </c>
      <c r="I1358" s="67">
        <f>YEAR(Data[[#This Row],[Buchung]])</f>
        <v>2018</v>
      </c>
      <c r="J1358" s="2">
        <f>ABS(Data[[#This Row],[Betrag]])</f>
        <v>120</v>
      </c>
      <c r="K1358" s="66" t="str">
        <f>IF(Data[[#This Row],[Betrag]]&lt;0,"A","E")</f>
        <v>A</v>
      </c>
    </row>
    <row r="1359" spans="1:11" x14ac:dyDescent="0.25">
      <c r="A1359" s="1">
        <v>43362</v>
      </c>
      <c r="B1359" s="66" t="s">
        <v>58</v>
      </c>
      <c r="C1359" s="66" t="s">
        <v>59</v>
      </c>
      <c r="D1359" t="s">
        <v>60</v>
      </c>
      <c r="E1359">
        <v>-50</v>
      </c>
      <c r="F1359" s="66" t="s">
        <v>7</v>
      </c>
      <c r="G1359" s="66" t="s">
        <v>10</v>
      </c>
      <c r="H1359" s="66" t="str">
        <f>TEXT(Data[[#This Row],[Buchung]],"MMM")</f>
        <v>Sep</v>
      </c>
      <c r="I1359" s="67">
        <f>YEAR(Data[[#This Row],[Buchung]])</f>
        <v>2018</v>
      </c>
      <c r="J1359" s="2">
        <f>ABS(Data[[#This Row],[Betrag]])</f>
        <v>50</v>
      </c>
      <c r="K1359" s="66" t="str">
        <f>IF(Data[[#This Row],[Betrag]]&lt;0,"A","E")</f>
        <v>A</v>
      </c>
    </row>
    <row r="1360" spans="1:11" x14ac:dyDescent="0.25">
      <c r="A1360" s="1">
        <v>43363</v>
      </c>
      <c r="B1360" s="66" t="s">
        <v>45</v>
      </c>
      <c r="C1360" s="66" t="s">
        <v>46</v>
      </c>
      <c r="D1360" t="s">
        <v>47</v>
      </c>
      <c r="E1360">
        <v>1000</v>
      </c>
      <c r="F1360" s="66" t="s">
        <v>7</v>
      </c>
      <c r="G1360" s="66" t="s">
        <v>9</v>
      </c>
      <c r="H1360" s="66" t="str">
        <f>TEXT(Data[[#This Row],[Buchung]],"MMM")</f>
        <v>Sep</v>
      </c>
      <c r="I1360" s="67">
        <f>YEAR(Data[[#This Row],[Buchung]])</f>
        <v>2018</v>
      </c>
      <c r="J1360" s="2">
        <f>ABS(Data[[#This Row],[Betrag]])</f>
        <v>1000</v>
      </c>
      <c r="K1360" s="66" t="str">
        <f>IF(Data[[#This Row],[Betrag]]&lt;0,"A","E")</f>
        <v>E</v>
      </c>
    </row>
    <row r="1361" spans="1:11" x14ac:dyDescent="0.25">
      <c r="A1361" s="1">
        <v>43364</v>
      </c>
      <c r="B1361" s="66" t="s">
        <v>61</v>
      </c>
      <c r="C1361" s="66" t="s">
        <v>49</v>
      </c>
      <c r="D1361" t="s">
        <v>62</v>
      </c>
      <c r="E1361">
        <v>-10</v>
      </c>
      <c r="F1361" s="66" t="s">
        <v>7</v>
      </c>
      <c r="G1361" s="66" t="s">
        <v>8</v>
      </c>
      <c r="H1361" s="66" t="str">
        <f>TEXT(Data[[#This Row],[Buchung]],"MMM")</f>
        <v>Sep</v>
      </c>
      <c r="I1361" s="67">
        <f>YEAR(Data[[#This Row],[Buchung]])</f>
        <v>2018</v>
      </c>
      <c r="J1361" s="2">
        <f>ABS(Data[[#This Row],[Betrag]])</f>
        <v>10</v>
      </c>
      <c r="K1361" s="66" t="str">
        <f>IF(Data[[#This Row],[Betrag]]&lt;0,"A","E")</f>
        <v>A</v>
      </c>
    </row>
    <row r="1362" spans="1:11" x14ac:dyDescent="0.25">
      <c r="A1362" s="1">
        <v>43365</v>
      </c>
      <c r="B1362" s="66" t="s">
        <v>63</v>
      </c>
      <c r="C1362" s="66" t="s">
        <v>64</v>
      </c>
      <c r="D1362" t="s">
        <v>65</v>
      </c>
      <c r="E1362">
        <v>-60</v>
      </c>
      <c r="F1362" s="66" t="s">
        <v>7</v>
      </c>
      <c r="G1362" s="66" t="s">
        <v>11</v>
      </c>
      <c r="H1362" s="66" t="str">
        <f>TEXT(Data[[#This Row],[Buchung]],"MMM")</f>
        <v>Sep</v>
      </c>
      <c r="I1362" s="67">
        <f>YEAR(Data[[#This Row],[Buchung]])</f>
        <v>2018</v>
      </c>
      <c r="J1362" s="2">
        <f>ABS(Data[[#This Row],[Betrag]])</f>
        <v>60</v>
      </c>
      <c r="K1362" s="66" t="str">
        <f>IF(Data[[#This Row],[Betrag]]&lt;0,"A","E")</f>
        <v>A</v>
      </c>
    </row>
    <row r="1363" spans="1:11" x14ac:dyDescent="0.25">
      <c r="A1363" s="1">
        <v>43366</v>
      </c>
      <c r="B1363" s="66" t="s">
        <v>54</v>
      </c>
      <c r="C1363" s="66" t="s">
        <v>55</v>
      </c>
      <c r="D1363" t="s">
        <v>66</v>
      </c>
      <c r="E1363">
        <v>-80</v>
      </c>
      <c r="F1363" s="66" t="s">
        <v>7</v>
      </c>
      <c r="G1363" s="66" t="s">
        <v>57</v>
      </c>
      <c r="H1363" s="66" t="str">
        <f>TEXT(Data[[#This Row],[Buchung]],"MMM")</f>
        <v>Sep</v>
      </c>
      <c r="I1363" s="67">
        <f>YEAR(Data[[#This Row],[Buchung]])</f>
        <v>2018</v>
      </c>
      <c r="J1363" s="2">
        <f>ABS(Data[[#This Row],[Betrag]])</f>
        <v>80</v>
      </c>
      <c r="K1363" s="66" t="str">
        <f>IF(Data[[#This Row],[Betrag]]&lt;0,"A","E")</f>
        <v>A</v>
      </c>
    </row>
    <row r="1364" spans="1:11" x14ac:dyDescent="0.25">
      <c r="A1364" s="1">
        <v>43367</v>
      </c>
      <c r="B1364" s="66" t="s">
        <v>67</v>
      </c>
      <c r="C1364" s="66" t="s">
        <v>59</v>
      </c>
      <c r="D1364" t="s">
        <v>68</v>
      </c>
      <c r="E1364">
        <v>-20</v>
      </c>
      <c r="F1364" s="66" t="s">
        <v>7</v>
      </c>
      <c r="G1364" s="66" t="s">
        <v>10</v>
      </c>
      <c r="H1364" s="66" t="str">
        <f>TEXT(Data[[#This Row],[Buchung]],"MMM")</f>
        <v>Sep</v>
      </c>
      <c r="I1364" s="67">
        <f>YEAR(Data[[#This Row],[Buchung]])</f>
        <v>2018</v>
      </c>
      <c r="J1364" s="2">
        <f>ABS(Data[[#This Row],[Betrag]])</f>
        <v>20</v>
      </c>
      <c r="K1364" s="66" t="str">
        <f>IF(Data[[#This Row],[Betrag]]&lt;0,"A","E")</f>
        <v>A</v>
      </c>
    </row>
    <row r="1365" spans="1:11" x14ac:dyDescent="0.25">
      <c r="A1365" s="1">
        <v>43368</v>
      </c>
      <c r="B1365" s="66" t="s">
        <v>45</v>
      </c>
      <c r="C1365" s="66" t="s">
        <v>46</v>
      </c>
      <c r="D1365" t="s">
        <v>47</v>
      </c>
      <c r="E1365">
        <v>1000</v>
      </c>
      <c r="F1365" s="66" t="s">
        <v>7</v>
      </c>
      <c r="G1365" s="66" t="s">
        <v>9</v>
      </c>
      <c r="H1365" s="66" t="str">
        <f>TEXT(Data[[#This Row],[Buchung]],"MMM")</f>
        <v>Sep</v>
      </c>
      <c r="I1365" s="67">
        <f>YEAR(Data[[#This Row],[Buchung]])</f>
        <v>2018</v>
      </c>
      <c r="J1365" s="2">
        <f>ABS(Data[[#This Row],[Betrag]])</f>
        <v>1000</v>
      </c>
      <c r="K1365" s="66" t="str">
        <f>IF(Data[[#This Row],[Betrag]]&lt;0,"A","E")</f>
        <v>E</v>
      </c>
    </row>
    <row r="1366" spans="1:11" x14ac:dyDescent="0.25">
      <c r="A1366" s="1">
        <v>43369</v>
      </c>
      <c r="B1366" s="66" t="s">
        <v>48</v>
      </c>
      <c r="C1366" s="66" t="s">
        <v>49</v>
      </c>
      <c r="D1366" t="s">
        <v>50</v>
      </c>
      <c r="E1366">
        <v>-15</v>
      </c>
      <c r="F1366" s="66" t="s">
        <v>7</v>
      </c>
      <c r="G1366" s="66" t="s">
        <v>8</v>
      </c>
      <c r="H1366" s="66" t="str">
        <f>TEXT(Data[[#This Row],[Buchung]],"MMM")</f>
        <v>Sep</v>
      </c>
      <c r="I1366" s="67">
        <f>YEAR(Data[[#This Row],[Buchung]])</f>
        <v>2018</v>
      </c>
      <c r="J1366" s="2">
        <f>ABS(Data[[#This Row],[Betrag]])</f>
        <v>15</v>
      </c>
      <c r="K1366" s="66" t="str">
        <f>IF(Data[[#This Row],[Betrag]]&lt;0,"A","E")</f>
        <v>A</v>
      </c>
    </row>
    <row r="1367" spans="1:11" x14ac:dyDescent="0.25">
      <c r="A1367" s="1">
        <v>43370</v>
      </c>
      <c r="B1367" s="66" t="s">
        <v>51</v>
      </c>
      <c r="C1367" s="66" t="s">
        <v>52</v>
      </c>
      <c r="D1367" t="s">
        <v>53</v>
      </c>
      <c r="E1367">
        <v>-350</v>
      </c>
      <c r="F1367" s="66" t="s">
        <v>7</v>
      </c>
      <c r="G1367" s="66" t="s">
        <v>11</v>
      </c>
      <c r="H1367" s="66" t="str">
        <f>TEXT(Data[[#This Row],[Buchung]],"MMM")</f>
        <v>Sep</v>
      </c>
      <c r="I1367" s="67">
        <f>YEAR(Data[[#This Row],[Buchung]])</f>
        <v>2018</v>
      </c>
      <c r="J1367" s="2">
        <f>ABS(Data[[#This Row],[Betrag]])</f>
        <v>350</v>
      </c>
      <c r="K1367" s="66" t="str">
        <f>IF(Data[[#This Row],[Betrag]]&lt;0,"A","E")</f>
        <v>A</v>
      </c>
    </row>
    <row r="1368" spans="1:11" x14ac:dyDescent="0.25">
      <c r="A1368" s="1">
        <v>43371</v>
      </c>
      <c r="B1368" s="66" t="s">
        <v>54</v>
      </c>
      <c r="C1368" s="66" t="s">
        <v>55</v>
      </c>
      <c r="D1368" t="s">
        <v>56</v>
      </c>
      <c r="E1368">
        <v>-120</v>
      </c>
      <c r="F1368" s="66" t="s">
        <v>7</v>
      </c>
      <c r="G1368" s="66" t="s">
        <v>57</v>
      </c>
      <c r="H1368" s="66" t="str">
        <f>TEXT(Data[[#This Row],[Buchung]],"MMM")</f>
        <v>Sep</v>
      </c>
      <c r="I1368" s="67">
        <f>YEAR(Data[[#This Row],[Buchung]])</f>
        <v>2018</v>
      </c>
      <c r="J1368" s="2">
        <f>ABS(Data[[#This Row],[Betrag]])</f>
        <v>120</v>
      </c>
      <c r="K1368" s="66" t="str">
        <f>IF(Data[[#This Row],[Betrag]]&lt;0,"A","E")</f>
        <v>A</v>
      </c>
    </row>
    <row r="1369" spans="1:11" x14ac:dyDescent="0.25">
      <c r="A1369" s="1">
        <v>43372</v>
      </c>
      <c r="B1369" s="66" t="s">
        <v>58</v>
      </c>
      <c r="C1369" s="66" t="s">
        <v>59</v>
      </c>
      <c r="D1369" t="s">
        <v>60</v>
      </c>
      <c r="E1369">
        <v>-60</v>
      </c>
      <c r="F1369" s="66" t="s">
        <v>7</v>
      </c>
      <c r="G1369" s="66" t="s">
        <v>10</v>
      </c>
      <c r="H1369" s="66" t="str">
        <f>TEXT(Data[[#This Row],[Buchung]],"MMM")</f>
        <v>Sep</v>
      </c>
      <c r="I1369" s="67">
        <f>YEAR(Data[[#This Row],[Buchung]])</f>
        <v>2018</v>
      </c>
      <c r="J1369" s="2">
        <f>ABS(Data[[#This Row],[Betrag]])</f>
        <v>60</v>
      </c>
      <c r="K1369" s="66" t="str">
        <f>IF(Data[[#This Row],[Betrag]]&lt;0,"A","E")</f>
        <v>A</v>
      </c>
    </row>
    <row r="1370" spans="1:11" x14ac:dyDescent="0.25">
      <c r="A1370" s="1">
        <v>43373</v>
      </c>
      <c r="B1370" s="66" t="s">
        <v>45</v>
      </c>
      <c r="C1370" s="66" t="s">
        <v>46</v>
      </c>
      <c r="D1370" t="s">
        <v>47</v>
      </c>
      <c r="E1370">
        <v>1000</v>
      </c>
      <c r="F1370" s="66" t="s">
        <v>7</v>
      </c>
      <c r="G1370" s="66" t="s">
        <v>9</v>
      </c>
      <c r="H1370" s="66" t="str">
        <f>TEXT(Data[[#This Row],[Buchung]],"MMM")</f>
        <v>Sep</v>
      </c>
      <c r="I1370" s="67">
        <f>YEAR(Data[[#This Row],[Buchung]])</f>
        <v>2018</v>
      </c>
      <c r="J1370" s="2">
        <f>ABS(Data[[#This Row],[Betrag]])</f>
        <v>1000</v>
      </c>
      <c r="K1370" s="66" t="str">
        <f>IF(Data[[#This Row],[Betrag]]&lt;0,"A","E")</f>
        <v>E</v>
      </c>
    </row>
    <row r="1371" spans="1:11" x14ac:dyDescent="0.25">
      <c r="A1371" s="1">
        <v>43374</v>
      </c>
      <c r="B1371" s="66" t="s">
        <v>61</v>
      </c>
      <c r="C1371" s="66" t="s">
        <v>49</v>
      </c>
      <c r="D1371" t="s">
        <v>62</v>
      </c>
      <c r="E1371">
        <v>-10</v>
      </c>
      <c r="F1371" s="66" t="s">
        <v>7</v>
      </c>
      <c r="G1371" s="66" t="s">
        <v>8</v>
      </c>
      <c r="H1371" s="66" t="str">
        <f>TEXT(Data[[#This Row],[Buchung]],"MMM")</f>
        <v>Okt</v>
      </c>
      <c r="I1371" s="67">
        <f>YEAR(Data[[#This Row],[Buchung]])</f>
        <v>2018</v>
      </c>
      <c r="J1371" s="2">
        <f>ABS(Data[[#This Row],[Betrag]])</f>
        <v>10</v>
      </c>
      <c r="K1371" s="66" t="str">
        <f>IF(Data[[#This Row],[Betrag]]&lt;0,"A","E")</f>
        <v>A</v>
      </c>
    </row>
    <row r="1372" spans="1:11" x14ac:dyDescent="0.25">
      <c r="A1372" s="1">
        <v>43375</v>
      </c>
      <c r="B1372" s="66" t="s">
        <v>63</v>
      </c>
      <c r="C1372" s="66" t="s">
        <v>64</v>
      </c>
      <c r="D1372" t="s">
        <v>65</v>
      </c>
      <c r="E1372">
        <v>-70</v>
      </c>
      <c r="F1372" s="66" t="s">
        <v>7</v>
      </c>
      <c r="G1372" s="66" t="s">
        <v>11</v>
      </c>
      <c r="H1372" s="66" t="str">
        <f>TEXT(Data[[#This Row],[Buchung]],"MMM")</f>
        <v>Okt</v>
      </c>
      <c r="I1372" s="67">
        <f>YEAR(Data[[#This Row],[Buchung]])</f>
        <v>2018</v>
      </c>
      <c r="J1372" s="2">
        <f>ABS(Data[[#This Row],[Betrag]])</f>
        <v>70</v>
      </c>
      <c r="K1372" s="66" t="str">
        <f>IF(Data[[#This Row],[Betrag]]&lt;0,"A","E")</f>
        <v>A</v>
      </c>
    </row>
    <row r="1373" spans="1:11" x14ac:dyDescent="0.25">
      <c r="A1373" s="1">
        <v>43376</v>
      </c>
      <c r="B1373" s="66" t="s">
        <v>54</v>
      </c>
      <c r="C1373" s="66" t="s">
        <v>55</v>
      </c>
      <c r="D1373" t="s">
        <v>66</v>
      </c>
      <c r="E1373">
        <v>-80</v>
      </c>
      <c r="F1373" s="66" t="s">
        <v>7</v>
      </c>
      <c r="G1373" s="66" t="s">
        <v>57</v>
      </c>
      <c r="H1373" s="66" t="str">
        <f>TEXT(Data[[#This Row],[Buchung]],"MMM")</f>
        <v>Okt</v>
      </c>
      <c r="I1373" s="67">
        <f>YEAR(Data[[#This Row],[Buchung]])</f>
        <v>2018</v>
      </c>
      <c r="J1373" s="2">
        <f>ABS(Data[[#This Row],[Betrag]])</f>
        <v>80</v>
      </c>
      <c r="K1373" s="66" t="str">
        <f>IF(Data[[#This Row],[Betrag]]&lt;0,"A","E")</f>
        <v>A</v>
      </c>
    </row>
    <row r="1374" spans="1:11" x14ac:dyDescent="0.25">
      <c r="A1374" s="1">
        <v>43377</v>
      </c>
      <c r="B1374" s="66" t="s">
        <v>67</v>
      </c>
      <c r="C1374" s="66" t="s">
        <v>59</v>
      </c>
      <c r="D1374" t="s">
        <v>68</v>
      </c>
      <c r="E1374">
        <v>-25</v>
      </c>
      <c r="F1374" s="66" t="s">
        <v>7</v>
      </c>
      <c r="G1374" s="66" t="s">
        <v>10</v>
      </c>
      <c r="H1374" s="66" t="str">
        <f>TEXT(Data[[#This Row],[Buchung]],"MMM")</f>
        <v>Okt</v>
      </c>
      <c r="I1374" s="67">
        <f>YEAR(Data[[#This Row],[Buchung]])</f>
        <v>2018</v>
      </c>
      <c r="J1374" s="2">
        <f>ABS(Data[[#This Row],[Betrag]])</f>
        <v>25</v>
      </c>
      <c r="K1374" s="66" t="str">
        <f>IF(Data[[#This Row],[Betrag]]&lt;0,"A","E")</f>
        <v>A</v>
      </c>
    </row>
    <row r="1375" spans="1:11" x14ac:dyDescent="0.25">
      <c r="A1375" s="1">
        <v>43378</v>
      </c>
      <c r="B1375" s="66" t="s">
        <v>45</v>
      </c>
      <c r="C1375" s="66" t="s">
        <v>46</v>
      </c>
      <c r="D1375" t="s">
        <v>47</v>
      </c>
      <c r="E1375">
        <v>1000</v>
      </c>
      <c r="F1375" s="66" t="s">
        <v>7</v>
      </c>
      <c r="G1375" s="66" t="s">
        <v>9</v>
      </c>
      <c r="H1375" s="66" t="str">
        <f>TEXT(Data[[#This Row],[Buchung]],"MMM")</f>
        <v>Okt</v>
      </c>
      <c r="I1375" s="67">
        <f>YEAR(Data[[#This Row],[Buchung]])</f>
        <v>2018</v>
      </c>
      <c r="J1375" s="2">
        <f>ABS(Data[[#This Row],[Betrag]])</f>
        <v>1000</v>
      </c>
      <c r="K1375" s="66" t="str">
        <f>IF(Data[[#This Row],[Betrag]]&lt;0,"A","E")</f>
        <v>E</v>
      </c>
    </row>
    <row r="1376" spans="1:11" x14ac:dyDescent="0.25">
      <c r="A1376" s="1">
        <v>43379</v>
      </c>
      <c r="B1376" s="66" t="s">
        <v>48</v>
      </c>
      <c r="C1376" s="66" t="s">
        <v>49</v>
      </c>
      <c r="D1376" t="s">
        <v>50</v>
      </c>
      <c r="E1376">
        <v>-15</v>
      </c>
      <c r="F1376" s="66" t="s">
        <v>7</v>
      </c>
      <c r="G1376" s="66" t="s">
        <v>8</v>
      </c>
      <c r="H1376" s="66" t="str">
        <f>TEXT(Data[[#This Row],[Buchung]],"MMM")</f>
        <v>Okt</v>
      </c>
      <c r="I1376" s="67">
        <f>YEAR(Data[[#This Row],[Buchung]])</f>
        <v>2018</v>
      </c>
      <c r="J1376" s="2">
        <f>ABS(Data[[#This Row],[Betrag]])</f>
        <v>15</v>
      </c>
      <c r="K1376" s="66" t="str">
        <f>IF(Data[[#This Row],[Betrag]]&lt;0,"A","E")</f>
        <v>A</v>
      </c>
    </row>
    <row r="1377" spans="1:11" x14ac:dyDescent="0.25">
      <c r="A1377" s="1">
        <v>43380</v>
      </c>
      <c r="B1377" s="66" t="s">
        <v>51</v>
      </c>
      <c r="C1377" s="66" t="s">
        <v>52</v>
      </c>
      <c r="D1377" t="s">
        <v>53</v>
      </c>
      <c r="E1377">
        <v>-350</v>
      </c>
      <c r="F1377" s="66" t="s">
        <v>7</v>
      </c>
      <c r="G1377" s="66" t="s">
        <v>11</v>
      </c>
      <c r="H1377" s="66" t="str">
        <f>TEXT(Data[[#This Row],[Buchung]],"MMM")</f>
        <v>Okt</v>
      </c>
      <c r="I1377" s="67">
        <f>YEAR(Data[[#This Row],[Buchung]])</f>
        <v>2018</v>
      </c>
      <c r="J1377" s="2">
        <f>ABS(Data[[#This Row],[Betrag]])</f>
        <v>350</v>
      </c>
      <c r="K1377" s="66" t="str">
        <f>IF(Data[[#This Row],[Betrag]]&lt;0,"A","E")</f>
        <v>A</v>
      </c>
    </row>
    <row r="1378" spans="1:11" x14ac:dyDescent="0.25">
      <c r="A1378" s="1">
        <v>43381</v>
      </c>
      <c r="B1378" s="66" t="s">
        <v>54</v>
      </c>
      <c r="C1378" s="66" t="s">
        <v>55</v>
      </c>
      <c r="D1378" t="s">
        <v>56</v>
      </c>
      <c r="E1378">
        <v>-120</v>
      </c>
      <c r="F1378" s="66" t="s">
        <v>7</v>
      </c>
      <c r="G1378" s="66" t="s">
        <v>57</v>
      </c>
      <c r="H1378" s="66" t="str">
        <f>TEXT(Data[[#This Row],[Buchung]],"MMM")</f>
        <v>Okt</v>
      </c>
      <c r="I1378" s="67">
        <f>YEAR(Data[[#This Row],[Buchung]])</f>
        <v>2018</v>
      </c>
      <c r="J1378" s="2">
        <f>ABS(Data[[#This Row],[Betrag]])</f>
        <v>120</v>
      </c>
      <c r="K1378" s="66" t="str">
        <f>IF(Data[[#This Row],[Betrag]]&lt;0,"A","E")</f>
        <v>A</v>
      </c>
    </row>
    <row r="1379" spans="1:11" x14ac:dyDescent="0.25">
      <c r="A1379" s="1">
        <v>43382</v>
      </c>
      <c r="B1379" s="66" t="s">
        <v>58</v>
      </c>
      <c r="C1379" s="66" t="s">
        <v>59</v>
      </c>
      <c r="D1379" t="s">
        <v>60</v>
      </c>
      <c r="E1379">
        <v>-70</v>
      </c>
      <c r="F1379" s="66" t="s">
        <v>7</v>
      </c>
      <c r="G1379" s="66" t="s">
        <v>10</v>
      </c>
      <c r="H1379" s="66" t="str">
        <f>TEXT(Data[[#This Row],[Buchung]],"MMM")</f>
        <v>Okt</v>
      </c>
      <c r="I1379" s="67">
        <f>YEAR(Data[[#This Row],[Buchung]])</f>
        <v>2018</v>
      </c>
      <c r="J1379" s="2">
        <f>ABS(Data[[#This Row],[Betrag]])</f>
        <v>70</v>
      </c>
      <c r="K1379" s="66" t="str">
        <f>IF(Data[[#This Row],[Betrag]]&lt;0,"A","E")</f>
        <v>A</v>
      </c>
    </row>
    <row r="1380" spans="1:11" x14ac:dyDescent="0.25">
      <c r="A1380" s="1">
        <v>43383</v>
      </c>
      <c r="B1380" s="66" t="s">
        <v>45</v>
      </c>
      <c r="C1380" s="66" t="s">
        <v>46</v>
      </c>
      <c r="D1380" t="s">
        <v>47</v>
      </c>
      <c r="E1380">
        <v>1000</v>
      </c>
      <c r="F1380" s="66" t="s">
        <v>7</v>
      </c>
      <c r="G1380" s="66" t="s">
        <v>9</v>
      </c>
      <c r="H1380" s="66" t="str">
        <f>TEXT(Data[[#This Row],[Buchung]],"MMM")</f>
        <v>Okt</v>
      </c>
      <c r="I1380" s="67">
        <f>YEAR(Data[[#This Row],[Buchung]])</f>
        <v>2018</v>
      </c>
      <c r="J1380" s="2">
        <f>ABS(Data[[#This Row],[Betrag]])</f>
        <v>1000</v>
      </c>
      <c r="K1380" s="66" t="str">
        <f>IF(Data[[#This Row],[Betrag]]&lt;0,"A","E")</f>
        <v>E</v>
      </c>
    </row>
    <row r="1381" spans="1:11" x14ac:dyDescent="0.25">
      <c r="A1381" s="1">
        <v>43384</v>
      </c>
      <c r="B1381" s="66" t="s">
        <v>61</v>
      </c>
      <c r="C1381" s="66" t="s">
        <v>49</v>
      </c>
      <c r="D1381" t="s">
        <v>62</v>
      </c>
      <c r="E1381">
        <v>-10</v>
      </c>
      <c r="F1381" s="66" t="s">
        <v>7</v>
      </c>
      <c r="G1381" s="66" t="s">
        <v>8</v>
      </c>
      <c r="H1381" s="66" t="str">
        <f>TEXT(Data[[#This Row],[Buchung]],"MMM")</f>
        <v>Okt</v>
      </c>
      <c r="I1381" s="67">
        <f>YEAR(Data[[#This Row],[Buchung]])</f>
        <v>2018</v>
      </c>
      <c r="J1381" s="2">
        <f>ABS(Data[[#This Row],[Betrag]])</f>
        <v>10</v>
      </c>
      <c r="K1381" s="66" t="str">
        <f>IF(Data[[#This Row],[Betrag]]&lt;0,"A","E")</f>
        <v>A</v>
      </c>
    </row>
    <row r="1382" spans="1:11" x14ac:dyDescent="0.25">
      <c r="A1382" s="1">
        <v>43385</v>
      </c>
      <c r="B1382" s="66" t="s">
        <v>63</v>
      </c>
      <c r="C1382" s="66" t="s">
        <v>64</v>
      </c>
      <c r="D1382" t="s">
        <v>65</v>
      </c>
      <c r="E1382">
        <v>-60</v>
      </c>
      <c r="F1382" s="66" t="s">
        <v>7</v>
      </c>
      <c r="G1382" s="66" t="s">
        <v>11</v>
      </c>
      <c r="H1382" s="66" t="str">
        <f>TEXT(Data[[#This Row],[Buchung]],"MMM")</f>
        <v>Okt</v>
      </c>
      <c r="I1382" s="67">
        <f>YEAR(Data[[#This Row],[Buchung]])</f>
        <v>2018</v>
      </c>
      <c r="J1382" s="2">
        <f>ABS(Data[[#This Row],[Betrag]])</f>
        <v>60</v>
      </c>
      <c r="K1382" s="66" t="str">
        <f>IF(Data[[#This Row],[Betrag]]&lt;0,"A","E")</f>
        <v>A</v>
      </c>
    </row>
    <row r="1383" spans="1:11" x14ac:dyDescent="0.25">
      <c r="A1383" s="1">
        <v>43386</v>
      </c>
      <c r="B1383" s="66" t="s">
        <v>54</v>
      </c>
      <c r="C1383" s="66" t="s">
        <v>55</v>
      </c>
      <c r="D1383" t="s">
        <v>66</v>
      </c>
      <c r="E1383">
        <v>-80</v>
      </c>
      <c r="F1383" s="66" t="s">
        <v>7</v>
      </c>
      <c r="G1383" s="66" t="s">
        <v>57</v>
      </c>
      <c r="H1383" s="66" t="str">
        <f>TEXT(Data[[#This Row],[Buchung]],"MMM")</f>
        <v>Okt</v>
      </c>
      <c r="I1383" s="67">
        <f>YEAR(Data[[#This Row],[Buchung]])</f>
        <v>2018</v>
      </c>
      <c r="J1383" s="2">
        <f>ABS(Data[[#This Row],[Betrag]])</f>
        <v>80</v>
      </c>
      <c r="K1383" s="66" t="str">
        <f>IF(Data[[#This Row],[Betrag]]&lt;0,"A","E")</f>
        <v>A</v>
      </c>
    </row>
    <row r="1384" spans="1:11" x14ac:dyDescent="0.25">
      <c r="A1384" s="1">
        <v>43387</v>
      </c>
      <c r="B1384" s="66" t="s">
        <v>67</v>
      </c>
      <c r="C1384" s="66" t="s">
        <v>59</v>
      </c>
      <c r="D1384" t="s">
        <v>68</v>
      </c>
      <c r="E1384">
        <v>-30</v>
      </c>
      <c r="F1384" s="66" t="s">
        <v>7</v>
      </c>
      <c r="G1384" s="66" t="s">
        <v>10</v>
      </c>
      <c r="H1384" s="66" t="str">
        <f>TEXT(Data[[#This Row],[Buchung]],"MMM")</f>
        <v>Okt</v>
      </c>
      <c r="I1384" s="67">
        <f>YEAR(Data[[#This Row],[Buchung]])</f>
        <v>2018</v>
      </c>
      <c r="J1384" s="2">
        <f>ABS(Data[[#This Row],[Betrag]])</f>
        <v>30</v>
      </c>
      <c r="K1384" s="66" t="str">
        <f>IF(Data[[#This Row],[Betrag]]&lt;0,"A","E")</f>
        <v>A</v>
      </c>
    </row>
    <row r="1385" spans="1:11" x14ac:dyDescent="0.25">
      <c r="A1385" s="1">
        <v>43388</v>
      </c>
      <c r="B1385" s="66" t="s">
        <v>45</v>
      </c>
      <c r="C1385" s="66" t="s">
        <v>46</v>
      </c>
      <c r="D1385" t="s">
        <v>47</v>
      </c>
      <c r="E1385">
        <v>1000</v>
      </c>
      <c r="F1385" s="66" t="s">
        <v>7</v>
      </c>
      <c r="G1385" s="66" t="s">
        <v>9</v>
      </c>
      <c r="H1385" s="66" t="str">
        <f>TEXT(Data[[#This Row],[Buchung]],"MMM")</f>
        <v>Okt</v>
      </c>
      <c r="I1385" s="67">
        <f>YEAR(Data[[#This Row],[Buchung]])</f>
        <v>2018</v>
      </c>
      <c r="J1385" s="2">
        <f>ABS(Data[[#This Row],[Betrag]])</f>
        <v>1000</v>
      </c>
      <c r="K1385" s="66" t="str">
        <f>IF(Data[[#This Row],[Betrag]]&lt;0,"A","E")</f>
        <v>E</v>
      </c>
    </row>
    <row r="1386" spans="1:11" x14ac:dyDescent="0.25">
      <c r="A1386" s="1">
        <v>43389</v>
      </c>
      <c r="B1386" s="66" t="s">
        <v>48</v>
      </c>
      <c r="C1386" s="66" t="s">
        <v>49</v>
      </c>
      <c r="D1386" t="s">
        <v>50</v>
      </c>
      <c r="E1386">
        <v>-15</v>
      </c>
      <c r="F1386" s="66" t="s">
        <v>7</v>
      </c>
      <c r="G1386" s="66" t="s">
        <v>8</v>
      </c>
      <c r="H1386" s="66" t="str">
        <f>TEXT(Data[[#This Row],[Buchung]],"MMM")</f>
        <v>Okt</v>
      </c>
      <c r="I1386" s="67">
        <f>YEAR(Data[[#This Row],[Buchung]])</f>
        <v>2018</v>
      </c>
      <c r="J1386" s="2">
        <f>ABS(Data[[#This Row],[Betrag]])</f>
        <v>15</v>
      </c>
      <c r="K1386" s="66" t="str">
        <f>IF(Data[[#This Row],[Betrag]]&lt;0,"A","E")</f>
        <v>A</v>
      </c>
    </row>
    <row r="1387" spans="1:11" x14ac:dyDescent="0.25">
      <c r="A1387" s="1">
        <v>43390</v>
      </c>
      <c r="B1387" s="66" t="s">
        <v>51</v>
      </c>
      <c r="C1387" s="66" t="s">
        <v>52</v>
      </c>
      <c r="D1387" t="s">
        <v>53</v>
      </c>
      <c r="E1387">
        <v>-350</v>
      </c>
      <c r="F1387" s="66" t="s">
        <v>7</v>
      </c>
      <c r="G1387" s="66" t="s">
        <v>11</v>
      </c>
      <c r="H1387" s="66" t="str">
        <f>TEXT(Data[[#This Row],[Buchung]],"MMM")</f>
        <v>Okt</v>
      </c>
      <c r="I1387" s="67">
        <f>YEAR(Data[[#This Row],[Buchung]])</f>
        <v>2018</v>
      </c>
      <c r="J1387" s="2">
        <f>ABS(Data[[#This Row],[Betrag]])</f>
        <v>350</v>
      </c>
      <c r="K1387" s="66" t="str">
        <f>IF(Data[[#This Row],[Betrag]]&lt;0,"A","E")</f>
        <v>A</v>
      </c>
    </row>
    <row r="1388" spans="1:11" x14ac:dyDescent="0.25">
      <c r="A1388" s="1">
        <v>43391</v>
      </c>
      <c r="B1388" s="66" t="s">
        <v>54</v>
      </c>
      <c r="C1388" s="66" t="s">
        <v>55</v>
      </c>
      <c r="D1388" t="s">
        <v>56</v>
      </c>
      <c r="E1388">
        <v>-120</v>
      </c>
      <c r="F1388" s="66" t="s">
        <v>7</v>
      </c>
      <c r="G1388" s="66" t="s">
        <v>57</v>
      </c>
      <c r="H1388" s="66" t="str">
        <f>TEXT(Data[[#This Row],[Buchung]],"MMM")</f>
        <v>Okt</v>
      </c>
      <c r="I1388" s="67">
        <f>YEAR(Data[[#This Row],[Buchung]])</f>
        <v>2018</v>
      </c>
      <c r="J1388" s="2">
        <f>ABS(Data[[#This Row],[Betrag]])</f>
        <v>120</v>
      </c>
      <c r="K1388" s="66" t="str">
        <f>IF(Data[[#This Row],[Betrag]]&lt;0,"A","E")</f>
        <v>A</v>
      </c>
    </row>
    <row r="1389" spans="1:11" x14ac:dyDescent="0.25">
      <c r="A1389" s="1">
        <v>43392</v>
      </c>
      <c r="B1389" s="66" t="s">
        <v>58</v>
      </c>
      <c r="C1389" s="66" t="s">
        <v>59</v>
      </c>
      <c r="D1389" t="s">
        <v>60</v>
      </c>
      <c r="E1389">
        <v>-80</v>
      </c>
      <c r="F1389" s="66" t="s">
        <v>7</v>
      </c>
      <c r="G1389" s="66" t="s">
        <v>10</v>
      </c>
      <c r="H1389" s="66" t="str">
        <f>TEXT(Data[[#This Row],[Buchung]],"MMM")</f>
        <v>Okt</v>
      </c>
      <c r="I1389" s="67">
        <f>YEAR(Data[[#This Row],[Buchung]])</f>
        <v>2018</v>
      </c>
      <c r="J1389" s="2">
        <f>ABS(Data[[#This Row],[Betrag]])</f>
        <v>80</v>
      </c>
      <c r="K1389" s="66" t="str">
        <f>IF(Data[[#This Row],[Betrag]]&lt;0,"A","E")</f>
        <v>A</v>
      </c>
    </row>
    <row r="1390" spans="1:11" x14ac:dyDescent="0.25">
      <c r="A1390" s="1">
        <v>43393</v>
      </c>
      <c r="B1390" s="66" t="s">
        <v>45</v>
      </c>
      <c r="C1390" s="66" t="s">
        <v>46</v>
      </c>
      <c r="D1390" t="s">
        <v>47</v>
      </c>
      <c r="E1390">
        <v>1000</v>
      </c>
      <c r="F1390" s="66" t="s">
        <v>7</v>
      </c>
      <c r="G1390" s="66" t="s">
        <v>9</v>
      </c>
      <c r="H1390" s="66" t="str">
        <f>TEXT(Data[[#This Row],[Buchung]],"MMM")</f>
        <v>Okt</v>
      </c>
      <c r="I1390" s="67">
        <f>YEAR(Data[[#This Row],[Buchung]])</f>
        <v>2018</v>
      </c>
      <c r="J1390" s="2">
        <f>ABS(Data[[#This Row],[Betrag]])</f>
        <v>1000</v>
      </c>
      <c r="K1390" s="66" t="str">
        <f>IF(Data[[#This Row],[Betrag]]&lt;0,"A","E")</f>
        <v>E</v>
      </c>
    </row>
    <row r="1391" spans="1:11" x14ac:dyDescent="0.25">
      <c r="A1391" s="1">
        <v>43394</v>
      </c>
      <c r="B1391" s="66" t="s">
        <v>61</v>
      </c>
      <c r="C1391" s="66" t="s">
        <v>49</v>
      </c>
      <c r="D1391" t="s">
        <v>62</v>
      </c>
      <c r="E1391">
        <v>-10</v>
      </c>
      <c r="F1391" s="66" t="s">
        <v>7</v>
      </c>
      <c r="G1391" s="66" t="s">
        <v>8</v>
      </c>
      <c r="H1391" s="66" t="str">
        <f>TEXT(Data[[#This Row],[Buchung]],"MMM")</f>
        <v>Okt</v>
      </c>
      <c r="I1391" s="67">
        <f>YEAR(Data[[#This Row],[Buchung]])</f>
        <v>2018</v>
      </c>
      <c r="J1391" s="2">
        <f>ABS(Data[[#This Row],[Betrag]])</f>
        <v>10</v>
      </c>
      <c r="K1391" s="66" t="str">
        <f>IF(Data[[#This Row],[Betrag]]&lt;0,"A","E")</f>
        <v>A</v>
      </c>
    </row>
    <row r="1392" spans="1:11" x14ac:dyDescent="0.25">
      <c r="A1392" s="1">
        <v>43395</v>
      </c>
      <c r="B1392" s="66" t="s">
        <v>63</v>
      </c>
      <c r="C1392" s="66" t="s">
        <v>64</v>
      </c>
      <c r="D1392" t="s">
        <v>65</v>
      </c>
      <c r="E1392">
        <v>-65</v>
      </c>
      <c r="F1392" s="66" t="s">
        <v>7</v>
      </c>
      <c r="G1392" s="66" t="s">
        <v>11</v>
      </c>
      <c r="H1392" s="66" t="str">
        <f>TEXT(Data[[#This Row],[Buchung]],"MMM")</f>
        <v>Okt</v>
      </c>
      <c r="I1392" s="67">
        <f>YEAR(Data[[#This Row],[Buchung]])</f>
        <v>2018</v>
      </c>
      <c r="J1392" s="2">
        <f>ABS(Data[[#This Row],[Betrag]])</f>
        <v>65</v>
      </c>
      <c r="K1392" s="66" t="str">
        <f>IF(Data[[#This Row],[Betrag]]&lt;0,"A","E")</f>
        <v>A</v>
      </c>
    </row>
    <row r="1393" spans="1:11" x14ac:dyDescent="0.25">
      <c r="A1393" s="1">
        <v>43396</v>
      </c>
      <c r="B1393" s="66" t="s">
        <v>54</v>
      </c>
      <c r="C1393" s="66" t="s">
        <v>55</v>
      </c>
      <c r="D1393" t="s">
        <v>66</v>
      </c>
      <c r="E1393">
        <v>-80</v>
      </c>
      <c r="F1393" s="66" t="s">
        <v>7</v>
      </c>
      <c r="G1393" s="66" t="s">
        <v>57</v>
      </c>
      <c r="H1393" s="66" t="str">
        <f>TEXT(Data[[#This Row],[Buchung]],"MMM")</f>
        <v>Okt</v>
      </c>
      <c r="I1393" s="67">
        <f>YEAR(Data[[#This Row],[Buchung]])</f>
        <v>2018</v>
      </c>
      <c r="J1393" s="2">
        <f>ABS(Data[[#This Row],[Betrag]])</f>
        <v>80</v>
      </c>
      <c r="K1393" s="66" t="str">
        <f>IF(Data[[#This Row],[Betrag]]&lt;0,"A","E")</f>
        <v>A</v>
      </c>
    </row>
    <row r="1394" spans="1:11" x14ac:dyDescent="0.25">
      <c r="A1394" s="1">
        <v>43397</v>
      </c>
      <c r="B1394" s="66" t="s">
        <v>67</v>
      </c>
      <c r="C1394" s="66" t="s">
        <v>59</v>
      </c>
      <c r="D1394" t="s">
        <v>68</v>
      </c>
      <c r="E1394">
        <v>-35</v>
      </c>
      <c r="F1394" s="66" t="s">
        <v>7</v>
      </c>
      <c r="G1394" s="66" t="s">
        <v>10</v>
      </c>
      <c r="H1394" s="66" t="str">
        <f>TEXT(Data[[#This Row],[Buchung]],"MMM")</f>
        <v>Okt</v>
      </c>
      <c r="I1394" s="67">
        <f>YEAR(Data[[#This Row],[Buchung]])</f>
        <v>2018</v>
      </c>
      <c r="J1394" s="2">
        <f>ABS(Data[[#This Row],[Betrag]])</f>
        <v>35</v>
      </c>
      <c r="K1394" s="66" t="str">
        <f>IF(Data[[#This Row],[Betrag]]&lt;0,"A","E")</f>
        <v>A</v>
      </c>
    </row>
    <row r="1395" spans="1:11" x14ac:dyDescent="0.25">
      <c r="A1395" s="1">
        <v>43398</v>
      </c>
      <c r="B1395" s="66" t="s">
        <v>45</v>
      </c>
      <c r="C1395" s="66" t="s">
        <v>46</v>
      </c>
      <c r="D1395" t="s">
        <v>47</v>
      </c>
      <c r="E1395">
        <v>1000</v>
      </c>
      <c r="F1395" s="66" t="s">
        <v>7</v>
      </c>
      <c r="G1395" s="66" t="s">
        <v>9</v>
      </c>
      <c r="H1395" s="66" t="str">
        <f>TEXT(Data[[#This Row],[Buchung]],"MMM")</f>
        <v>Okt</v>
      </c>
      <c r="I1395" s="67">
        <f>YEAR(Data[[#This Row],[Buchung]])</f>
        <v>2018</v>
      </c>
      <c r="J1395" s="2">
        <f>ABS(Data[[#This Row],[Betrag]])</f>
        <v>1000</v>
      </c>
      <c r="K1395" s="66" t="str">
        <f>IF(Data[[#This Row],[Betrag]]&lt;0,"A","E")</f>
        <v>E</v>
      </c>
    </row>
    <row r="1396" spans="1:11" x14ac:dyDescent="0.25">
      <c r="A1396" s="1">
        <v>43399</v>
      </c>
      <c r="B1396" s="66" t="s">
        <v>45</v>
      </c>
      <c r="C1396" s="66" t="s">
        <v>46</v>
      </c>
      <c r="D1396" t="s">
        <v>47</v>
      </c>
      <c r="E1396">
        <v>1000</v>
      </c>
      <c r="F1396" s="66" t="s">
        <v>7</v>
      </c>
      <c r="G1396" s="66" t="s">
        <v>9</v>
      </c>
      <c r="H1396" s="66" t="str">
        <f>TEXT(Data[[#This Row],[Buchung]],"MMM")</f>
        <v>Okt</v>
      </c>
      <c r="I1396" s="67">
        <f>YEAR(Data[[#This Row],[Buchung]])</f>
        <v>2018</v>
      </c>
      <c r="J1396" s="2">
        <f>ABS(Data[[#This Row],[Betrag]])</f>
        <v>1000</v>
      </c>
      <c r="K1396" s="66" t="str">
        <f>IF(Data[[#This Row],[Betrag]]&lt;0,"A","E")</f>
        <v>E</v>
      </c>
    </row>
    <row r="1397" spans="1:11" x14ac:dyDescent="0.25">
      <c r="A1397" s="1">
        <v>43400</v>
      </c>
      <c r="B1397" s="66" t="s">
        <v>48</v>
      </c>
      <c r="C1397" s="66" t="s">
        <v>49</v>
      </c>
      <c r="D1397" t="s">
        <v>50</v>
      </c>
      <c r="E1397">
        <v>-15</v>
      </c>
      <c r="F1397" s="66" t="s">
        <v>7</v>
      </c>
      <c r="G1397" s="66" t="s">
        <v>8</v>
      </c>
      <c r="H1397" s="66" t="str">
        <f>TEXT(Data[[#This Row],[Buchung]],"MMM")</f>
        <v>Okt</v>
      </c>
      <c r="I1397" s="67">
        <f>YEAR(Data[[#This Row],[Buchung]])</f>
        <v>2018</v>
      </c>
      <c r="J1397" s="2">
        <f>ABS(Data[[#This Row],[Betrag]])</f>
        <v>15</v>
      </c>
      <c r="K1397" s="66" t="str">
        <f>IF(Data[[#This Row],[Betrag]]&lt;0,"A","E")</f>
        <v>A</v>
      </c>
    </row>
    <row r="1398" spans="1:11" x14ac:dyDescent="0.25">
      <c r="A1398" s="1">
        <v>43401</v>
      </c>
      <c r="B1398" s="66" t="s">
        <v>51</v>
      </c>
      <c r="C1398" s="66" t="s">
        <v>52</v>
      </c>
      <c r="D1398" t="s">
        <v>53</v>
      </c>
      <c r="E1398">
        <v>-350</v>
      </c>
      <c r="F1398" s="66" t="s">
        <v>7</v>
      </c>
      <c r="G1398" s="66" t="s">
        <v>11</v>
      </c>
      <c r="H1398" s="66" t="str">
        <f>TEXT(Data[[#This Row],[Buchung]],"MMM")</f>
        <v>Okt</v>
      </c>
      <c r="I1398" s="67">
        <f>YEAR(Data[[#This Row],[Buchung]])</f>
        <v>2018</v>
      </c>
      <c r="J1398" s="2">
        <f>ABS(Data[[#This Row],[Betrag]])</f>
        <v>350</v>
      </c>
      <c r="K1398" s="66" t="str">
        <f>IF(Data[[#This Row],[Betrag]]&lt;0,"A","E")</f>
        <v>A</v>
      </c>
    </row>
    <row r="1399" spans="1:11" x14ac:dyDescent="0.25">
      <c r="A1399" s="1">
        <v>43402</v>
      </c>
      <c r="B1399" s="66" t="s">
        <v>54</v>
      </c>
      <c r="C1399" s="66" t="s">
        <v>55</v>
      </c>
      <c r="D1399" t="s">
        <v>56</v>
      </c>
      <c r="E1399">
        <v>-120</v>
      </c>
      <c r="F1399" s="66" t="s">
        <v>7</v>
      </c>
      <c r="G1399" s="66" t="s">
        <v>57</v>
      </c>
      <c r="H1399" s="66" t="str">
        <f>TEXT(Data[[#This Row],[Buchung]],"MMM")</f>
        <v>Okt</v>
      </c>
      <c r="I1399" s="67">
        <f>YEAR(Data[[#This Row],[Buchung]])</f>
        <v>2018</v>
      </c>
      <c r="J1399" s="2">
        <f>ABS(Data[[#This Row],[Betrag]])</f>
        <v>120</v>
      </c>
      <c r="K1399" s="66" t="str">
        <f>IF(Data[[#This Row],[Betrag]]&lt;0,"A","E")</f>
        <v>A</v>
      </c>
    </row>
    <row r="1400" spans="1:11" x14ac:dyDescent="0.25">
      <c r="A1400" s="1">
        <v>43403</v>
      </c>
      <c r="B1400" s="66" t="s">
        <v>58</v>
      </c>
      <c r="C1400" s="66" t="s">
        <v>59</v>
      </c>
      <c r="D1400" t="s">
        <v>60</v>
      </c>
      <c r="E1400">
        <v>-50</v>
      </c>
      <c r="F1400" s="66" t="s">
        <v>7</v>
      </c>
      <c r="G1400" s="66" t="s">
        <v>10</v>
      </c>
      <c r="H1400" s="66" t="str">
        <f>TEXT(Data[[#This Row],[Buchung]],"MMM")</f>
        <v>Okt</v>
      </c>
      <c r="I1400" s="67">
        <f>YEAR(Data[[#This Row],[Buchung]])</f>
        <v>2018</v>
      </c>
      <c r="J1400" s="2">
        <f>ABS(Data[[#This Row],[Betrag]])</f>
        <v>50</v>
      </c>
      <c r="K1400" s="66" t="str">
        <f>IF(Data[[#This Row],[Betrag]]&lt;0,"A","E")</f>
        <v>A</v>
      </c>
    </row>
    <row r="1401" spans="1:11" x14ac:dyDescent="0.25">
      <c r="A1401" s="1">
        <v>43404</v>
      </c>
      <c r="B1401" s="66" t="s">
        <v>45</v>
      </c>
      <c r="C1401" s="66" t="s">
        <v>46</v>
      </c>
      <c r="D1401" t="s">
        <v>47</v>
      </c>
      <c r="E1401">
        <v>1000</v>
      </c>
      <c r="F1401" s="66" t="s">
        <v>7</v>
      </c>
      <c r="G1401" s="66" t="s">
        <v>9</v>
      </c>
      <c r="H1401" s="66" t="str">
        <f>TEXT(Data[[#This Row],[Buchung]],"MMM")</f>
        <v>Okt</v>
      </c>
      <c r="I1401" s="67">
        <f>YEAR(Data[[#This Row],[Buchung]])</f>
        <v>2018</v>
      </c>
      <c r="J1401" s="2">
        <f>ABS(Data[[#This Row],[Betrag]])</f>
        <v>1000</v>
      </c>
      <c r="K1401" s="66" t="str">
        <f>IF(Data[[#This Row],[Betrag]]&lt;0,"A","E")</f>
        <v>E</v>
      </c>
    </row>
    <row r="1402" spans="1:11" x14ac:dyDescent="0.25">
      <c r="A1402" s="1">
        <v>43405</v>
      </c>
      <c r="B1402" s="66" t="s">
        <v>61</v>
      </c>
      <c r="C1402" s="66" t="s">
        <v>49</v>
      </c>
      <c r="D1402" t="s">
        <v>62</v>
      </c>
      <c r="E1402">
        <v>-10</v>
      </c>
      <c r="F1402" s="66" t="s">
        <v>7</v>
      </c>
      <c r="G1402" s="66" t="s">
        <v>8</v>
      </c>
      <c r="H1402" s="66" t="str">
        <f>TEXT(Data[[#This Row],[Buchung]],"MMM")</f>
        <v>Nov</v>
      </c>
      <c r="I1402" s="67">
        <f>YEAR(Data[[#This Row],[Buchung]])</f>
        <v>2018</v>
      </c>
      <c r="J1402" s="2">
        <f>ABS(Data[[#This Row],[Betrag]])</f>
        <v>10</v>
      </c>
      <c r="K1402" s="66" t="str">
        <f>IF(Data[[#This Row],[Betrag]]&lt;0,"A","E")</f>
        <v>A</v>
      </c>
    </row>
    <row r="1403" spans="1:11" x14ac:dyDescent="0.25">
      <c r="A1403" s="1">
        <v>43406</v>
      </c>
      <c r="B1403" s="66" t="s">
        <v>63</v>
      </c>
      <c r="C1403" s="66" t="s">
        <v>64</v>
      </c>
      <c r="D1403" t="s">
        <v>65</v>
      </c>
      <c r="E1403">
        <v>-60</v>
      </c>
      <c r="F1403" s="66" t="s">
        <v>7</v>
      </c>
      <c r="G1403" s="66" t="s">
        <v>11</v>
      </c>
      <c r="H1403" s="66" t="str">
        <f>TEXT(Data[[#This Row],[Buchung]],"MMM")</f>
        <v>Nov</v>
      </c>
      <c r="I1403" s="67">
        <f>YEAR(Data[[#This Row],[Buchung]])</f>
        <v>2018</v>
      </c>
      <c r="J1403" s="2">
        <f>ABS(Data[[#This Row],[Betrag]])</f>
        <v>60</v>
      </c>
      <c r="K1403" s="66" t="str">
        <f>IF(Data[[#This Row],[Betrag]]&lt;0,"A","E")</f>
        <v>A</v>
      </c>
    </row>
    <row r="1404" spans="1:11" x14ac:dyDescent="0.25">
      <c r="A1404" s="1">
        <v>43407</v>
      </c>
      <c r="B1404" s="66" t="s">
        <v>54</v>
      </c>
      <c r="C1404" s="66" t="s">
        <v>55</v>
      </c>
      <c r="D1404" t="s">
        <v>66</v>
      </c>
      <c r="E1404">
        <v>-80</v>
      </c>
      <c r="F1404" s="66" t="s">
        <v>7</v>
      </c>
      <c r="G1404" s="66" t="s">
        <v>57</v>
      </c>
      <c r="H1404" s="66" t="str">
        <f>TEXT(Data[[#This Row],[Buchung]],"MMM")</f>
        <v>Nov</v>
      </c>
      <c r="I1404" s="67">
        <f>YEAR(Data[[#This Row],[Buchung]])</f>
        <v>2018</v>
      </c>
      <c r="J1404" s="2">
        <f>ABS(Data[[#This Row],[Betrag]])</f>
        <v>80</v>
      </c>
      <c r="K1404" s="66" t="str">
        <f>IF(Data[[#This Row],[Betrag]]&lt;0,"A","E")</f>
        <v>A</v>
      </c>
    </row>
    <row r="1405" spans="1:11" x14ac:dyDescent="0.25">
      <c r="A1405" s="1">
        <v>43408</v>
      </c>
      <c r="B1405" s="66" t="s">
        <v>67</v>
      </c>
      <c r="C1405" s="66" t="s">
        <v>59</v>
      </c>
      <c r="D1405" t="s">
        <v>68</v>
      </c>
      <c r="E1405">
        <v>-20</v>
      </c>
      <c r="F1405" s="66" t="s">
        <v>7</v>
      </c>
      <c r="G1405" s="66" t="s">
        <v>10</v>
      </c>
      <c r="H1405" s="66" t="str">
        <f>TEXT(Data[[#This Row],[Buchung]],"MMM")</f>
        <v>Nov</v>
      </c>
      <c r="I1405" s="67">
        <f>YEAR(Data[[#This Row],[Buchung]])</f>
        <v>2018</v>
      </c>
      <c r="J1405" s="2">
        <f>ABS(Data[[#This Row],[Betrag]])</f>
        <v>20</v>
      </c>
      <c r="K1405" s="66" t="str">
        <f>IF(Data[[#This Row],[Betrag]]&lt;0,"A","E")</f>
        <v>A</v>
      </c>
    </row>
    <row r="1406" spans="1:11" x14ac:dyDescent="0.25">
      <c r="A1406" s="1">
        <v>43409</v>
      </c>
      <c r="B1406" s="66" t="s">
        <v>45</v>
      </c>
      <c r="C1406" s="66" t="s">
        <v>46</v>
      </c>
      <c r="D1406" t="s">
        <v>47</v>
      </c>
      <c r="E1406">
        <v>1000</v>
      </c>
      <c r="F1406" s="66" t="s">
        <v>7</v>
      </c>
      <c r="G1406" s="66" t="s">
        <v>9</v>
      </c>
      <c r="H1406" s="66" t="str">
        <f>TEXT(Data[[#This Row],[Buchung]],"MMM")</f>
        <v>Nov</v>
      </c>
      <c r="I1406" s="67">
        <f>YEAR(Data[[#This Row],[Buchung]])</f>
        <v>2018</v>
      </c>
      <c r="J1406" s="2">
        <f>ABS(Data[[#This Row],[Betrag]])</f>
        <v>1000</v>
      </c>
      <c r="K1406" s="66" t="str">
        <f>IF(Data[[#This Row],[Betrag]]&lt;0,"A","E")</f>
        <v>E</v>
      </c>
    </row>
    <row r="1407" spans="1:11" x14ac:dyDescent="0.25">
      <c r="A1407" s="1">
        <v>43410</v>
      </c>
      <c r="B1407" s="66" t="s">
        <v>48</v>
      </c>
      <c r="C1407" s="66" t="s">
        <v>49</v>
      </c>
      <c r="D1407" t="s">
        <v>50</v>
      </c>
      <c r="E1407">
        <v>-15</v>
      </c>
      <c r="F1407" s="66" t="s">
        <v>7</v>
      </c>
      <c r="G1407" s="66" t="s">
        <v>8</v>
      </c>
      <c r="H1407" s="66" t="str">
        <f>TEXT(Data[[#This Row],[Buchung]],"MMM")</f>
        <v>Nov</v>
      </c>
      <c r="I1407" s="67">
        <f>YEAR(Data[[#This Row],[Buchung]])</f>
        <v>2018</v>
      </c>
      <c r="J1407" s="2">
        <f>ABS(Data[[#This Row],[Betrag]])</f>
        <v>15</v>
      </c>
      <c r="K1407" s="66" t="str">
        <f>IF(Data[[#This Row],[Betrag]]&lt;0,"A","E")</f>
        <v>A</v>
      </c>
    </row>
    <row r="1408" spans="1:11" x14ac:dyDescent="0.25">
      <c r="A1408" s="1">
        <v>43411</v>
      </c>
      <c r="B1408" s="66" t="s">
        <v>51</v>
      </c>
      <c r="C1408" s="66" t="s">
        <v>52</v>
      </c>
      <c r="D1408" t="s">
        <v>53</v>
      </c>
      <c r="E1408">
        <v>-350</v>
      </c>
      <c r="F1408" s="66" t="s">
        <v>7</v>
      </c>
      <c r="G1408" s="66" t="s">
        <v>11</v>
      </c>
      <c r="H1408" s="66" t="str">
        <f>TEXT(Data[[#This Row],[Buchung]],"MMM")</f>
        <v>Nov</v>
      </c>
      <c r="I1408" s="67">
        <f>YEAR(Data[[#This Row],[Buchung]])</f>
        <v>2018</v>
      </c>
      <c r="J1408" s="2">
        <f>ABS(Data[[#This Row],[Betrag]])</f>
        <v>350</v>
      </c>
      <c r="K1408" s="66" t="str">
        <f>IF(Data[[#This Row],[Betrag]]&lt;0,"A","E")</f>
        <v>A</v>
      </c>
    </row>
    <row r="1409" spans="1:11" x14ac:dyDescent="0.25">
      <c r="A1409" s="1">
        <v>43412</v>
      </c>
      <c r="B1409" s="66" t="s">
        <v>54</v>
      </c>
      <c r="C1409" s="66" t="s">
        <v>55</v>
      </c>
      <c r="D1409" t="s">
        <v>56</v>
      </c>
      <c r="E1409">
        <v>-120</v>
      </c>
      <c r="F1409" s="66" t="s">
        <v>7</v>
      </c>
      <c r="G1409" s="66" t="s">
        <v>57</v>
      </c>
      <c r="H1409" s="66" t="str">
        <f>TEXT(Data[[#This Row],[Buchung]],"MMM")</f>
        <v>Nov</v>
      </c>
      <c r="I1409" s="67">
        <f>YEAR(Data[[#This Row],[Buchung]])</f>
        <v>2018</v>
      </c>
      <c r="J1409" s="2">
        <f>ABS(Data[[#This Row],[Betrag]])</f>
        <v>120</v>
      </c>
      <c r="K1409" s="66" t="str">
        <f>IF(Data[[#This Row],[Betrag]]&lt;0,"A","E")</f>
        <v>A</v>
      </c>
    </row>
    <row r="1410" spans="1:11" x14ac:dyDescent="0.25">
      <c r="A1410" s="1">
        <v>43413</v>
      </c>
      <c r="B1410" s="66" t="s">
        <v>58</v>
      </c>
      <c r="C1410" s="66" t="s">
        <v>59</v>
      </c>
      <c r="D1410" t="s">
        <v>60</v>
      </c>
      <c r="E1410">
        <v>-60</v>
      </c>
      <c r="F1410" s="66" t="s">
        <v>7</v>
      </c>
      <c r="G1410" s="66" t="s">
        <v>10</v>
      </c>
      <c r="H1410" s="66" t="str">
        <f>TEXT(Data[[#This Row],[Buchung]],"MMM")</f>
        <v>Nov</v>
      </c>
      <c r="I1410" s="67">
        <f>YEAR(Data[[#This Row],[Buchung]])</f>
        <v>2018</v>
      </c>
      <c r="J1410" s="2">
        <f>ABS(Data[[#This Row],[Betrag]])</f>
        <v>60</v>
      </c>
      <c r="K1410" s="66" t="str">
        <f>IF(Data[[#This Row],[Betrag]]&lt;0,"A","E")</f>
        <v>A</v>
      </c>
    </row>
    <row r="1411" spans="1:11" x14ac:dyDescent="0.25">
      <c r="A1411" s="1">
        <v>43414</v>
      </c>
      <c r="B1411" s="66" t="s">
        <v>45</v>
      </c>
      <c r="C1411" s="66" t="s">
        <v>46</v>
      </c>
      <c r="D1411" t="s">
        <v>47</v>
      </c>
      <c r="E1411">
        <v>1000</v>
      </c>
      <c r="F1411" s="66" t="s">
        <v>7</v>
      </c>
      <c r="G1411" s="66" t="s">
        <v>9</v>
      </c>
      <c r="H1411" s="66" t="str">
        <f>TEXT(Data[[#This Row],[Buchung]],"MMM")</f>
        <v>Nov</v>
      </c>
      <c r="I1411" s="67">
        <f>YEAR(Data[[#This Row],[Buchung]])</f>
        <v>2018</v>
      </c>
      <c r="J1411" s="2">
        <f>ABS(Data[[#This Row],[Betrag]])</f>
        <v>1000</v>
      </c>
      <c r="K1411" s="66" t="str">
        <f>IF(Data[[#This Row],[Betrag]]&lt;0,"A","E")</f>
        <v>E</v>
      </c>
    </row>
    <row r="1412" spans="1:11" x14ac:dyDescent="0.25">
      <c r="A1412" s="1">
        <v>43415</v>
      </c>
      <c r="B1412" s="66" t="s">
        <v>61</v>
      </c>
      <c r="C1412" s="66" t="s">
        <v>49</v>
      </c>
      <c r="D1412" t="s">
        <v>62</v>
      </c>
      <c r="E1412">
        <v>-10</v>
      </c>
      <c r="F1412" s="66" t="s">
        <v>7</v>
      </c>
      <c r="G1412" s="66" t="s">
        <v>8</v>
      </c>
      <c r="H1412" s="66" t="str">
        <f>TEXT(Data[[#This Row],[Buchung]],"MMM")</f>
        <v>Nov</v>
      </c>
      <c r="I1412" s="67">
        <f>YEAR(Data[[#This Row],[Buchung]])</f>
        <v>2018</v>
      </c>
      <c r="J1412" s="2">
        <f>ABS(Data[[#This Row],[Betrag]])</f>
        <v>10</v>
      </c>
      <c r="K1412" s="66" t="str">
        <f>IF(Data[[#This Row],[Betrag]]&lt;0,"A","E")</f>
        <v>A</v>
      </c>
    </row>
    <row r="1413" spans="1:11" x14ac:dyDescent="0.25">
      <c r="A1413" s="1">
        <v>43416</v>
      </c>
      <c r="B1413" s="66" t="s">
        <v>63</v>
      </c>
      <c r="C1413" s="66" t="s">
        <v>64</v>
      </c>
      <c r="D1413" t="s">
        <v>65</v>
      </c>
      <c r="E1413">
        <v>-70</v>
      </c>
      <c r="F1413" s="66" t="s">
        <v>7</v>
      </c>
      <c r="G1413" s="66" t="s">
        <v>11</v>
      </c>
      <c r="H1413" s="66" t="str">
        <f>TEXT(Data[[#This Row],[Buchung]],"MMM")</f>
        <v>Nov</v>
      </c>
      <c r="I1413" s="67">
        <f>YEAR(Data[[#This Row],[Buchung]])</f>
        <v>2018</v>
      </c>
      <c r="J1413" s="2">
        <f>ABS(Data[[#This Row],[Betrag]])</f>
        <v>70</v>
      </c>
      <c r="K1413" s="66" t="str">
        <f>IF(Data[[#This Row],[Betrag]]&lt;0,"A","E")</f>
        <v>A</v>
      </c>
    </row>
    <row r="1414" spans="1:11" x14ac:dyDescent="0.25">
      <c r="A1414" s="1">
        <v>43417</v>
      </c>
      <c r="B1414" s="66" t="s">
        <v>54</v>
      </c>
      <c r="C1414" s="66" t="s">
        <v>55</v>
      </c>
      <c r="D1414" t="s">
        <v>66</v>
      </c>
      <c r="E1414">
        <v>-80</v>
      </c>
      <c r="F1414" s="66" t="s">
        <v>7</v>
      </c>
      <c r="G1414" s="66" t="s">
        <v>57</v>
      </c>
      <c r="H1414" s="66" t="str">
        <f>TEXT(Data[[#This Row],[Buchung]],"MMM")</f>
        <v>Nov</v>
      </c>
      <c r="I1414" s="67">
        <f>YEAR(Data[[#This Row],[Buchung]])</f>
        <v>2018</v>
      </c>
      <c r="J1414" s="2">
        <f>ABS(Data[[#This Row],[Betrag]])</f>
        <v>80</v>
      </c>
      <c r="K1414" s="66" t="str">
        <f>IF(Data[[#This Row],[Betrag]]&lt;0,"A","E")</f>
        <v>A</v>
      </c>
    </row>
    <row r="1415" spans="1:11" x14ac:dyDescent="0.25">
      <c r="A1415" s="1">
        <v>43418</v>
      </c>
      <c r="B1415" s="66" t="s">
        <v>67</v>
      </c>
      <c r="C1415" s="66" t="s">
        <v>59</v>
      </c>
      <c r="D1415" t="s">
        <v>68</v>
      </c>
      <c r="E1415">
        <v>-25</v>
      </c>
      <c r="F1415" s="66" t="s">
        <v>7</v>
      </c>
      <c r="G1415" s="66" t="s">
        <v>10</v>
      </c>
      <c r="H1415" s="66" t="str">
        <f>TEXT(Data[[#This Row],[Buchung]],"MMM")</f>
        <v>Nov</v>
      </c>
      <c r="I1415" s="67">
        <f>YEAR(Data[[#This Row],[Buchung]])</f>
        <v>2018</v>
      </c>
      <c r="J1415" s="2">
        <f>ABS(Data[[#This Row],[Betrag]])</f>
        <v>25</v>
      </c>
      <c r="K1415" s="66" t="str">
        <f>IF(Data[[#This Row],[Betrag]]&lt;0,"A","E")</f>
        <v>A</v>
      </c>
    </row>
    <row r="1416" spans="1:11" x14ac:dyDescent="0.25">
      <c r="A1416" s="1">
        <v>43419</v>
      </c>
      <c r="B1416" s="66" t="s">
        <v>45</v>
      </c>
      <c r="C1416" s="66" t="s">
        <v>46</v>
      </c>
      <c r="D1416" t="s">
        <v>47</v>
      </c>
      <c r="E1416">
        <v>1000</v>
      </c>
      <c r="F1416" s="66" t="s">
        <v>7</v>
      </c>
      <c r="G1416" s="66" t="s">
        <v>9</v>
      </c>
      <c r="H1416" s="66" t="str">
        <f>TEXT(Data[[#This Row],[Buchung]],"MMM")</f>
        <v>Nov</v>
      </c>
      <c r="I1416" s="67">
        <f>YEAR(Data[[#This Row],[Buchung]])</f>
        <v>2018</v>
      </c>
      <c r="J1416" s="2">
        <f>ABS(Data[[#This Row],[Betrag]])</f>
        <v>1000</v>
      </c>
      <c r="K1416" s="66" t="str">
        <f>IF(Data[[#This Row],[Betrag]]&lt;0,"A","E")</f>
        <v>E</v>
      </c>
    </row>
    <row r="1417" spans="1:11" x14ac:dyDescent="0.25">
      <c r="A1417" s="1">
        <v>43420</v>
      </c>
      <c r="B1417" s="66" t="s">
        <v>48</v>
      </c>
      <c r="C1417" s="66" t="s">
        <v>49</v>
      </c>
      <c r="D1417" t="s">
        <v>50</v>
      </c>
      <c r="E1417">
        <v>-15</v>
      </c>
      <c r="F1417" s="66" t="s">
        <v>7</v>
      </c>
      <c r="G1417" s="66" t="s">
        <v>8</v>
      </c>
      <c r="H1417" s="66" t="str">
        <f>TEXT(Data[[#This Row],[Buchung]],"MMM")</f>
        <v>Nov</v>
      </c>
      <c r="I1417" s="67">
        <f>YEAR(Data[[#This Row],[Buchung]])</f>
        <v>2018</v>
      </c>
      <c r="J1417" s="2">
        <f>ABS(Data[[#This Row],[Betrag]])</f>
        <v>15</v>
      </c>
      <c r="K1417" s="66" t="str">
        <f>IF(Data[[#This Row],[Betrag]]&lt;0,"A","E")</f>
        <v>A</v>
      </c>
    </row>
    <row r="1418" spans="1:11" x14ac:dyDescent="0.25">
      <c r="A1418" s="1">
        <v>43421</v>
      </c>
      <c r="B1418" s="66" t="s">
        <v>51</v>
      </c>
      <c r="C1418" s="66" t="s">
        <v>52</v>
      </c>
      <c r="D1418" t="s">
        <v>53</v>
      </c>
      <c r="E1418">
        <v>-350</v>
      </c>
      <c r="F1418" s="66" t="s">
        <v>7</v>
      </c>
      <c r="G1418" s="66" t="s">
        <v>11</v>
      </c>
      <c r="H1418" s="66" t="str">
        <f>TEXT(Data[[#This Row],[Buchung]],"MMM")</f>
        <v>Nov</v>
      </c>
      <c r="I1418" s="67">
        <f>YEAR(Data[[#This Row],[Buchung]])</f>
        <v>2018</v>
      </c>
      <c r="J1418" s="2">
        <f>ABS(Data[[#This Row],[Betrag]])</f>
        <v>350</v>
      </c>
      <c r="K1418" s="66" t="str">
        <f>IF(Data[[#This Row],[Betrag]]&lt;0,"A","E")</f>
        <v>A</v>
      </c>
    </row>
    <row r="1419" spans="1:11" x14ac:dyDescent="0.25">
      <c r="A1419" s="1">
        <v>43422</v>
      </c>
      <c r="B1419" s="66" t="s">
        <v>54</v>
      </c>
      <c r="C1419" s="66" t="s">
        <v>55</v>
      </c>
      <c r="D1419" t="s">
        <v>56</v>
      </c>
      <c r="E1419">
        <v>-120</v>
      </c>
      <c r="F1419" s="66" t="s">
        <v>7</v>
      </c>
      <c r="G1419" s="66" t="s">
        <v>57</v>
      </c>
      <c r="H1419" s="66" t="str">
        <f>TEXT(Data[[#This Row],[Buchung]],"MMM")</f>
        <v>Nov</v>
      </c>
      <c r="I1419" s="67">
        <f>YEAR(Data[[#This Row],[Buchung]])</f>
        <v>2018</v>
      </c>
      <c r="J1419" s="2">
        <f>ABS(Data[[#This Row],[Betrag]])</f>
        <v>120</v>
      </c>
      <c r="K1419" s="66" t="str">
        <f>IF(Data[[#This Row],[Betrag]]&lt;0,"A","E")</f>
        <v>A</v>
      </c>
    </row>
    <row r="1420" spans="1:11" x14ac:dyDescent="0.25">
      <c r="A1420" s="1">
        <v>43423</v>
      </c>
      <c r="B1420" s="66" t="s">
        <v>58</v>
      </c>
      <c r="C1420" s="66" t="s">
        <v>59</v>
      </c>
      <c r="D1420" t="s">
        <v>60</v>
      </c>
      <c r="E1420">
        <v>-70</v>
      </c>
      <c r="F1420" s="66" t="s">
        <v>7</v>
      </c>
      <c r="G1420" s="66" t="s">
        <v>10</v>
      </c>
      <c r="H1420" s="66" t="str">
        <f>TEXT(Data[[#This Row],[Buchung]],"MMM")</f>
        <v>Nov</v>
      </c>
      <c r="I1420" s="67">
        <f>YEAR(Data[[#This Row],[Buchung]])</f>
        <v>2018</v>
      </c>
      <c r="J1420" s="2">
        <f>ABS(Data[[#This Row],[Betrag]])</f>
        <v>70</v>
      </c>
      <c r="K1420" s="66" t="str">
        <f>IF(Data[[#This Row],[Betrag]]&lt;0,"A","E")</f>
        <v>A</v>
      </c>
    </row>
    <row r="1421" spans="1:11" x14ac:dyDescent="0.25">
      <c r="A1421" s="1">
        <v>43424</v>
      </c>
      <c r="B1421" s="66" t="s">
        <v>45</v>
      </c>
      <c r="C1421" s="66" t="s">
        <v>46</v>
      </c>
      <c r="D1421" t="s">
        <v>47</v>
      </c>
      <c r="E1421">
        <v>1000</v>
      </c>
      <c r="F1421" s="66" t="s">
        <v>7</v>
      </c>
      <c r="G1421" s="66" t="s">
        <v>9</v>
      </c>
      <c r="H1421" s="66" t="str">
        <f>TEXT(Data[[#This Row],[Buchung]],"MMM")</f>
        <v>Nov</v>
      </c>
      <c r="I1421" s="67">
        <f>YEAR(Data[[#This Row],[Buchung]])</f>
        <v>2018</v>
      </c>
      <c r="J1421" s="2">
        <f>ABS(Data[[#This Row],[Betrag]])</f>
        <v>1000</v>
      </c>
      <c r="K1421" s="66" t="str">
        <f>IF(Data[[#This Row],[Betrag]]&lt;0,"A","E")</f>
        <v>E</v>
      </c>
    </row>
    <row r="1422" spans="1:11" x14ac:dyDescent="0.25">
      <c r="A1422" s="1">
        <v>43425</v>
      </c>
      <c r="B1422" s="66" t="s">
        <v>61</v>
      </c>
      <c r="C1422" s="66" t="s">
        <v>49</v>
      </c>
      <c r="D1422" t="s">
        <v>62</v>
      </c>
      <c r="E1422">
        <v>-10</v>
      </c>
      <c r="F1422" s="66" t="s">
        <v>7</v>
      </c>
      <c r="G1422" s="66" t="s">
        <v>8</v>
      </c>
      <c r="H1422" s="66" t="str">
        <f>TEXT(Data[[#This Row],[Buchung]],"MMM")</f>
        <v>Nov</v>
      </c>
      <c r="I1422" s="67">
        <f>YEAR(Data[[#This Row],[Buchung]])</f>
        <v>2018</v>
      </c>
      <c r="J1422" s="2">
        <f>ABS(Data[[#This Row],[Betrag]])</f>
        <v>10</v>
      </c>
      <c r="K1422" s="66" t="str">
        <f>IF(Data[[#This Row],[Betrag]]&lt;0,"A","E")</f>
        <v>A</v>
      </c>
    </row>
    <row r="1423" spans="1:11" x14ac:dyDescent="0.25">
      <c r="A1423" s="1">
        <v>43426</v>
      </c>
      <c r="B1423" s="66" t="s">
        <v>63</v>
      </c>
      <c r="C1423" s="66" t="s">
        <v>64</v>
      </c>
      <c r="D1423" t="s">
        <v>65</v>
      </c>
      <c r="E1423">
        <v>-60</v>
      </c>
      <c r="F1423" s="66" t="s">
        <v>7</v>
      </c>
      <c r="G1423" s="66" t="s">
        <v>11</v>
      </c>
      <c r="H1423" s="66" t="str">
        <f>TEXT(Data[[#This Row],[Buchung]],"MMM")</f>
        <v>Nov</v>
      </c>
      <c r="I1423" s="67">
        <f>YEAR(Data[[#This Row],[Buchung]])</f>
        <v>2018</v>
      </c>
      <c r="J1423" s="2">
        <f>ABS(Data[[#This Row],[Betrag]])</f>
        <v>60</v>
      </c>
      <c r="K1423" s="66" t="str">
        <f>IF(Data[[#This Row],[Betrag]]&lt;0,"A","E")</f>
        <v>A</v>
      </c>
    </row>
    <row r="1424" spans="1:11" x14ac:dyDescent="0.25">
      <c r="A1424" s="1">
        <v>43427</v>
      </c>
      <c r="B1424" s="66" t="s">
        <v>54</v>
      </c>
      <c r="C1424" s="66" t="s">
        <v>55</v>
      </c>
      <c r="D1424" t="s">
        <v>66</v>
      </c>
      <c r="E1424">
        <v>-80</v>
      </c>
      <c r="F1424" s="66" t="s">
        <v>7</v>
      </c>
      <c r="G1424" s="66" t="s">
        <v>57</v>
      </c>
      <c r="H1424" s="66" t="str">
        <f>TEXT(Data[[#This Row],[Buchung]],"MMM")</f>
        <v>Nov</v>
      </c>
      <c r="I1424" s="67">
        <f>YEAR(Data[[#This Row],[Buchung]])</f>
        <v>2018</v>
      </c>
      <c r="J1424" s="2">
        <f>ABS(Data[[#This Row],[Betrag]])</f>
        <v>80</v>
      </c>
      <c r="K1424" s="66" t="str">
        <f>IF(Data[[#This Row],[Betrag]]&lt;0,"A","E")</f>
        <v>A</v>
      </c>
    </row>
    <row r="1425" spans="1:11" x14ac:dyDescent="0.25">
      <c r="A1425" s="1">
        <v>43428</v>
      </c>
      <c r="B1425" s="66" t="s">
        <v>67</v>
      </c>
      <c r="C1425" s="66" t="s">
        <v>59</v>
      </c>
      <c r="D1425" t="s">
        <v>68</v>
      </c>
      <c r="E1425">
        <v>-30</v>
      </c>
      <c r="F1425" s="66" t="s">
        <v>7</v>
      </c>
      <c r="G1425" s="66" t="s">
        <v>10</v>
      </c>
      <c r="H1425" s="66" t="str">
        <f>TEXT(Data[[#This Row],[Buchung]],"MMM")</f>
        <v>Nov</v>
      </c>
      <c r="I1425" s="67">
        <f>YEAR(Data[[#This Row],[Buchung]])</f>
        <v>2018</v>
      </c>
      <c r="J1425" s="2">
        <f>ABS(Data[[#This Row],[Betrag]])</f>
        <v>30</v>
      </c>
      <c r="K1425" s="66" t="str">
        <f>IF(Data[[#This Row],[Betrag]]&lt;0,"A","E")</f>
        <v>A</v>
      </c>
    </row>
    <row r="1426" spans="1:11" x14ac:dyDescent="0.25">
      <c r="A1426" s="1">
        <v>43429</v>
      </c>
      <c r="B1426" s="66" t="s">
        <v>45</v>
      </c>
      <c r="C1426" s="66" t="s">
        <v>46</v>
      </c>
      <c r="D1426" t="s">
        <v>47</v>
      </c>
      <c r="E1426">
        <v>1000</v>
      </c>
      <c r="F1426" s="66" t="s">
        <v>7</v>
      </c>
      <c r="G1426" s="66" t="s">
        <v>9</v>
      </c>
      <c r="H1426" s="66" t="str">
        <f>TEXT(Data[[#This Row],[Buchung]],"MMM")</f>
        <v>Nov</v>
      </c>
      <c r="I1426" s="67">
        <f>YEAR(Data[[#This Row],[Buchung]])</f>
        <v>2018</v>
      </c>
      <c r="J1426" s="2">
        <f>ABS(Data[[#This Row],[Betrag]])</f>
        <v>1000</v>
      </c>
      <c r="K1426" s="66" t="str">
        <f>IF(Data[[#This Row],[Betrag]]&lt;0,"A","E")</f>
        <v>E</v>
      </c>
    </row>
    <row r="1427" spans="1:11" x14ac:dyDescent="0.25">
      <c r="A1427" s="1">
        <v>43430</v>
      </c>
      <c r="B1427" s="66" t="s">
        <v>48</v>
      </c>
      <c r="C1427" s="66" t="s">
        <v>49</v>
      </c>
      <c r="D1427" t="s">
        <v>50</v>
      </c>
      <c r="E1427">
        <v>-15</v>
      </c>
      <c r="F1427" s="66" t="s">
        <v>7</v>
      </c>
      <c r="G1427" s="66" t="s">
        <v>8</v>
      </c>
      <c r="H1427" s="66" t="str">
        <f>TEXT(Data[[#This Row],[Buchung]],"MMM")</f>
        <v>Nov</v>
      </c>
      <c r="I1427" s="67">
        <f>YEAR(Data[[#This Row],[Buchung]])</f>
        <v>2018</v>
      </c>
      <c r="J1427" s="2">
        <f>ABS(Data[[#This Row],[Betrag]])</f>
        <v>15</v>
      </c>
      <c r="K1427" s="66" t="str">
        <f>IF(Data[[#This Row],[Betrag]]&lt;0,"A","E")</f>
        <v>A</v>
      </c>
    </row>
    <row r="1428" spans="1:11" x14ac:dyDescent="0.25">
      <c r="A1428" s="1">
        <v>43431</v>
      </c>
      <c r="B1428" s="66" t="s">
        <v>51</v>
      </c>
      <c r="C1428" s="66" t="s">
        <v>52</v>
      </c>
      <c r="D1428" t="s">
        <v>53</v>
      </c>
      <c r="E1428">
        <v>-350</v>
      </c>
      <c r="F1428" s="66" t="s">
        <v>7</v>
      </c>
      <c r="G1428" s="66" t="s">
        <v>11</v>
      </c>
      <c r="H1428" s="66" t="str">
        <f>TEXT(Data[[#This Row],[Buchung]],"MMM")</f>
        <v>Nov</v>
      </c>
      <c r="I1428" s="67">
        <f>YEAR(Data[[#This Row],[Buchung]])</f>
        <v>2018</v>
      </c>
      <c r="J1428" s="2">
        <f>ABS(Data[[#This Row],[Betrag]])</f>
        <v>350</v>
      </c>
      <c r="K1428" s="66" t="str">
        <f>IF(Data[[#This Row],[Betrag]]&lt;0,"A","E")</f>
        <v>A</v>
      </c>
    </row>
    <row r="1429" spans="1:11" x14ac:dyDescent="0.25">
      <c r="A1429" s="1">
        <v>43432</v>
      </c>
      <c r="B1429" s="66" t="s">
        <v>54</v>
      </c>
      <c r="C1429" s="66" t="s">
        <v>55</v>
      </c>
      <c r="D1429" t="s">
        <v>56</v>
      </c>
      <c r="E1429">
        <v>-120</v>
      </c>
      <c r="F1429" s="66" t="s">
        <v>7</v>
      </c>
      <c r="G1429" s="66" t="s">
        <v>57</v>
      </c>
      <c r="H1429" s="66" t="str">
        <f>TEXT(Data[[#This Row],[Buchung]],"MMM")</f>
        <v>Nov</v>
      </c>
      <c r="I1429" s="67">
        <f>YEAR(Data[[#This Row],[Buchung]])</f>
        <v>2018</v>
      </c>
      <c r="J1429" s="2">
        <f>ABS(Data[[#This Row],[Betrag]])</f>
        <v>120</v>
      </c>
      <c r="K1429" s="66" t="str">
        <f>IF(Data[[#This Row],[Betrag]]&lt;0,"A","E")</f>
        <v>A</v>
      </c>
    </row>
    <row r="1430" spans="1:11" x14ac:dyDescent="0.25">
      <c r="A1430" s="1">
        <v>43433</v>
      </c>
      <c r="B1430" s="66" t="s">
        <v>58</v>
      </c>
      <c r="C1430" s="66" t="s">
        <v>59</v>
      </c>
      <c r="D1430" t="s">
        <v>60</v>
      </c>
      <c r="E1430">
        <v>-80</v>
      </c>
      <c r="F1430" s="66" t="s">
        <v>7</v>
      </c>
      <c r="G1430" s="66" t="s">
        <v>10</v>
      </c>
      <c r="H1430" s="66" t="str">
        <f>TEXT(Data[[#This Row],[Buchung]],"MMM")</f>
        <v>Nov</v>
      </c>
      <c r="I1430" s="67">
        <f>YEAR(Data[[#This Row],[Buchung]])</f>
        <v>2018</v>
      </c>
      <c r="J1430" s="2">
        <f>ABS(Data[[#This Row],[Betrag]])</f>
        <v>80</v>
      </c>
      <c r="K1430" s="66" t="str">
        <f>IF(Data[[#This Row],[Betrag]]&lt;0,"A","E")</f>
        <v>A</v>
      </c>
    </row>
    <row r="1431" spans="1:11" x14ac:dyDescent="0.25">
      <c r="A1431" s="1">
        <v>43434</v>
      </c>
      <c r="B1431" s="66" t="s">
        <v>45</v>
      </c>
      <c r="C1431" s="66" t="s">
        <v>46</v>
      </c>
      <c r="D1431" t="s">
        <v>47</v>
      </c>
      <c r="E1431">
        <v>1000</v>
      </c>
      <c r="F1431" s="66" t="s">
        <v>7</v>
      </c>
      <c r="G1431" s="66" t="s">
        <v>9</v>
      </c>
      <c r="H1431" s="66" t="str">
        <f>TEXT(Data[[#This Row],[Buchung]],"MMM")</f>
        <v>Nov</v>
      </c>
      <c r="I1431" s="67">
        <f>YEAR(Data[[#This Row],[Buchung]])</f>
        <v>2018</v>
      </c>
      <c r="J1431" s="2">
        <f>ABS(Data[[#This Row],[Betrag]])</f>
        <v>1000</v>
      </c>
      <c r="K1431" s="66" t="str">
        <f>IF(Data[[#This Row],[Betrag]]&lt;0,"A","E")</f>
        <v>E</v>
      </c>
    </row>
    <row r="1432" spans="1:11" x14ac:dyDescent="0.25">
      <c r="A1432" s="1">
        <v>43435</v>
      </c>
      <c r="B1432" s="66" t="s">
        <v>61</v>
      </c>
      <c r="C1432" s="66" t="s">
        <v>49</v>
      </c>
      <c r="D1432" t="s">
        <v>62</v>
      </c>
      <c r="E1432">
        <v>-10</v>
      </c>
      <c r="F1432" s="66" t="s">
        <v>7</v>
      </c>
      <c r="G1432" s="66" t="s">
        <v>8</v>
      </c>
      <c r="H1432" s="66" t="str">
        <f>TEXT(Data[[#This Row],[Buchung]],"MMM")</f>
        <v>Dez</v>
      </c>
      <c r="I1432" s="67">
        <f>YEAR(Data[[#This Row],[Buchung]])</f>
        <v>2018</v>
      </c>
      <c r="J1432" s="2">
        <f>ABS(Data[[#This Row],[Betrag]])</f>
        <v>10</v>
      </c>
      <c r="K1432" s="66" t="str">
        <f>IF(Data[[#This Row],[Betrag]]&lt;0,"A","E")</f>
        <v>A</v>
      </c>
    </row>
    <row r="1433" spans="1:11" x14ac:dyDescent="0.25">
      <c r="A1433" s="1">
        <v>43436</v>
      </c>
      <c r="B1433" s="66" t="s">
        <v>63</v>
      </c>
      <c r="C1433" s="66" t="s">
        <v>64</v>
      </c>
      <c r="D1433" t="s">
        <v>65</v>
      </c>
      <c r="E1433">
        <v>-65</v>
      </c>
      <c r="F1433" s="66" t="s">
        <v>7</v>
      </c>
      <c r="G1433" s="66" t="s">
        <v>11</v>
      </c>
      <c r="H1433" s="66" t="str">
        <f>TEXT(Data[[#This Row],[Buchung]],"MMM")</f>
        <v>Dez</v>
      </c>
      <c r="I1433" s="67">
        <f>YEAR(Data[[#This Row],[Buchung]])</f>
        <v>2018</v>
      </c>
      <c r="J1433" s="2">
        <f>ABS(Data[[#This Row],[Betrag]])</f>
        <v>65</v>
      </c>
      <c r="K1433" s="66" t="str">
        <f>IF(Data[[#This Row],[Betrag]]&lt;0,"A","E")</f>
        <v>A</v>
      </c>
    </row>
    <row r="1434" spans="1:11" x14ac:dyDescent="0.25">
      <c r="A1434" s="1">
        <v>43437</v>
      </c>
      <c r="B1434" s="66" t="s">
        <v>54</v>
      </c>
      <c r="C1434" s="66" t="s">
        <v>55</v>
      </c>
      <c r="D1434" t="s">
        <v>66</v>
      </c>
      <c r="E1434">
        <v>-80</v>
      </c>
      <c r="F1434" s="66" t="s">
        <v>7</v>
      </c>
      <c r="G1434" s="66" t="s">
        <v>57</v>
      </c>
      <c r="H1434" s="66" t="str">
        <f>TEXT(Data[[#This Row],[Buchung]],"MMM")</f>
        <v>Dez</v>
      </c>
      <c r="I1434" s="67">
        <f>YEAR(Data[[#This Row],[Buchung]])</f>
        <v>2018</v>
      </c>
      <c r="J1434" s="2">
        <f>ABS(Data[[#This Row],[Betrag]])</f>
        <v>80</v>
      </c>
      <c r="K1434" s="66" t="str">
        <f>IF(Data[[#This Row],[Betrag]]&lt;0,"A","E")</f>
        <v>A</v>
      </c>
    </row>
    <row r="1435" spans="1:11" x14ac:dyDescent="0.25">
      <c r="A1435" s="1">
        <v>43438</v>
      </c>
      <c r="B1435" s="66" t="s">
        <v>67</v>
      </c>
      <c r="C1435" s="66" t="s">
        <v>59</v>
      </c>
      <c r="D1435" t="s">
        <v>68</v>
      </c>
      <c r="E1435">
        <v>-35</v>
      </c>
      <c r="F1435" s="66" t="s">
        <v>7</v>
      </c>
      <c r="G1435" s="66" t="s">
        <v>10</v>
      </c>
      <c r="H1435" s="66" t="str">
        <f>TEXT(Data[[#This Row],[Buchung]],"MMM")</f>
        <v>Dez</v>
      </c>
      <c r="I1435" s="67">
        <f>YEAR(Data[[#This Row],[Buchung]])</f>
        <v>2018</v>
      </c>
      <c r="J1435" s="2">
        <f>ABS(Data[[#This Row],[Betrag]])</f>
        <v>35</v>
      </c>
      <c r="K1435" s="66" t="str">
        <f>IF(Data[[#This Row],[Betrag]]&lt;0,"A","E")</f>
        <v>A</v>
      </c>
    </row>
    <row r="1436" spans="1:11" x14ac:dyDescent="0.25">
      <c r="A1436" s="1">
        <v>43439</v>
      </c>
      <c r="B1436" s="66" t="s">
        <v>45</v>
      </c>
      <c r="C1436" s="66" t="s">
        <v>46</v>
      </c>
      <c r="D1436" t="s">
        <v>47</v>
      </c>
      <c r="E1436">
        <v>1000</v>
      </c>
      <c r="F1436" s="66" t="s">
        <v>7</v>
      </c>
      <c r="G1436" s="66" t="s">
        <v>9</v>
      </c>
      <c r="H1436" s="66" t="str">
        <f>TEXT(Data[[#This Row],[Buchung]],"MMM")</f>
        <v>Dez</v>
      </c>
      <c r="I1436" s="67">
        <f>YEAR(Data[[#This Row],[Buchung]])</f>
        <v>2018</v>
      </c>
      <c r="J1436" s="2">
        <f>ABS(Data[[#This Row],[Betrag]])</f>
        <v>1000</v>
      </c>
      <c r="K1436" s="66" t="str">
        <f>IF(Data[[#This Row],[Betrag]]&lt;0,"A","E")</f>
        <v>E</v>
      </c>
    </row>
    <row r="1437" spans="1:11" x14ac:dyDescent="0.25">
      <c r="A1437" s="1">
        <v>43440</v>
      </c>
      <c r="B1437" s="66" t="s">
        <v>45</v>
      </c>
      <c r="C1437" s="66" t="s">
        <v>46</v>
      </c>
      <c r="D1437" t="s">
        <v>47</v>
      </c>
      <c r="E1437">
        <v>1000</v>
      </c>
      <c r="F1437" s="66" t="s">
        <v>7</v>
      </c>
      <c r="G1437" s="66" t="s">
        <v>9</v>
      </c>
      <c r="H1437" s="66" t="str">
        <f>TEXT(Data[[#This Row],[Buchung]],"MMM")</f>
        <v>Dez</v>
      </c>
      <c r="I1437" s="67">
        <f>YEAR(Data[[#This Row],[Buchung]])</f>
        <v>2018</v>
      </c>
      <c r="J1437" s="2">
        <f>ABS(Data[[#This Row],[Betrag]])</f>
        <v>1000</v>
      </c>
      <c r="K1437" s="66" t="str">
        <f>IF(Data[[#This Row],[Betrag]]&lt;0,"A","E")</f>
        <v>E</v>
      </c>
    </row>
    <row r="1438" spans="1:11" x14ac:dyDescent="0.25">
      <c r="A1438" s="1">
        <v>43441</v>
      </c>
      <c r="B1438" s="66" t="s">
        <v>48</v>
      </c>
      <c r="C1438" s="66" t="s">
        <v>49</v>
      </c>
      <c r="D1438" t="s">
        <v>50</v>
      </c>
      <c r="E1438">
        <v>-15</v>
      </c>
      <c r="F1438" s="66" t="s">
        <v>7</v>
      </c>
      <c r="G1438" s="66" t="s">
        <v>8</v>
      </c>
      <c r="H1438" s="66" t="str">
        <f>TEXT(Data[[#This Row],[Buchung]],"MMM")</f>
        <v>Dez</v>
      </c>
      <c r="I1438" s="67">
        <f>YEAR(Data[[#This Row],[Buchung]])</f>
        <v>2018</v>
      </c>
      <c r="J1438" s="2">
        <f>ABS(Data[[#This Row],[Betrag]])</f>
        <v>15</v>
      </c>
      <c r="K1438" s="66" t="str">
        <f>IF(Data[[#This Row],[Betrag]]&lt;0,"A","E")</f>
        <v>A</v>
      </c>
    </row>
    <row r="1439" spans="1:11" x14ac:dyDescent="0.25">
      <c r="A1439" s="1">
        <v>43442</v>
      </c>
      <c r="B1439" s="66" t="s">
        <v>51</v>
      </c>
      <c r="C1439" s="66" t="s">
        <v>52</v>
      </c>
      <c r="D1439" t="s">
        <v>53</v>
      </c>
      <c r="E1439">
        <v>-350</v>
      </c>
      <c r="F1439" s="66" t="s">
        <v>7</v>
      </c>
      <c r="G1439" s="66" t="s">
        <v>11</v>
      </c>
      <c r="H1439" s="66" t="str">
        <f>TEXT(Data[[#This Row],[Buchung]],"MMM")</f>
        <v>Dez</v>
      </c>
      <c r="I1439" s="67">
        <f>YEAR(Data[[#This Row],[Buchung]])</f>
        <v>2018</v>
      </c>
      <c r="J1439" s="2">
        <f>ABS(Data[[#This Row],[Betrag]])</f>
        <v>350</v>
      </c>
      <c r="K1439" s="66" t="str">
        <f>IF(Data[[#This Row],[Betrag]]&lt;0,"A","E")</f>
        <v>A</v>
      </c>
    </row>
    <row r="1440" spans="1:11" x14ac:dyDescent="0.25">
      <c r="A1440" s="1">
        <v>43443</v>
      </c>
      <c r="B1440" s="66" t="s">
        <v>54</v>
      </c>
      <c r="C1440" s="66" t="s">
        <v>55</v>
      </c>
      <c r="D1440" t="s">
        <v>56</v>
      </c>
      <c r="E1440">
        <v>-120</v>
      </c>
      <c r="F1440" s="66" t="s">
        <v>7</v>
      </c>
      <c r="G1440" s="66" t="s">
        <v>57</v>
      </c>
      <c r="H1440" s="66" t="str">
        <f>TEXT(Data[[#This Row],[Buchung]],"MMM")</f>
        <v>Dez</v>
      </c>
      <c r="I1440" s="67">
        <f>YEAR(Data[[#This Row],[Buchung]])</f>
        <v>2018</v>
      </c>
      <c r="J1440" s="2">
        <f>ABS(Data[[#This Row],[Betrag]])</f>
        <v>120</v>
      </c>
      <c r="K1440" s="66" t="str">
        <f>IF(Data[[#This Row],[Betrag]]&lt;0,"A","E")</f>
        <v>A</v>
      </c>
    </row>
    <row r="1441" spans="1:11" x14ac:dyDescent="0.25">
      <c r="A1441" s="1">
        <v>43444</v>
      </c>
      <c r="B1441" s="66" t="s">
        <v>58</v>
      </c>
      <c r="C1441" s="66" t="s">
        <v>59</v>
      </c>
      <c r="D1441" t="s">
        <v>60</v>
      </c>
      <c r="E1441">
        <v>-50</v>
      </c>
      <c r="F1441" s="66" t="s">
        <v>7</v>
      </c>
      <c r="G1441" s="66" t="s">
        <v>10</v>
      </c>
      <c r="H1441" s="66" t="str">
        <f>TEXT(Data[[#This Row],[Buchung]],"MMM")</f>
        <v>Dez</v>
      </c>
      <c r="I1441" s="67">
        <f>YEAR(Data[[#This Row],[Buchung]])</f>
        <v>2018</v>
      </c>
      <c r="J1441" s="2">
        <f>ABS(Data[[#This Row],[Betrag]])</f>
        <v>50</v>
      </c>
      <c r="K1441" s="66" t="str">
        <f>IF(Data[[#This Row],[Betrag]]&lt;0,"A","E")</f>
        <v>A</v>
      </c>
    </row>
    <row r="1442" spans="1:11" x14ac:dyDescent="0.25">
      <c r="A1442" s="1">
        <v>43445</v>
      </c>
      <c r="B1442" s="66" t="s">
        <v>45</v>
      </c>
      <c r="C1442" s="66" t="s">
        <v>46</v>
      </c>
      <c r="D1442" t="s">
        <v>47</v>
      </c>
      <c r="E1442">
        <v>1000</v>
      </c>
      <c r="F1442" s="66" t="s">
        <v>7</v>
      </c>
      <c r="G1442" s="66" t="s">
        <v>9</v>
      </c>
      <c r="H1442" s="66" t="str">
        <f>TEXT(Data[[#This Row],[Buchung]],"MMM")</f>
        <v>Dez</v>
      </c>
      <c r="I1442" s="67">
        <f>YEAR(Data[[#This Row],[Buchung]])</f>
        <v>2018</v>
      </c>
      <c r="J1442" s="2">
        <f>ABS(Data[[#This Row],[Betrag]])</f>
        <v>1000</v>
      </c>
      <c r="K1442" s="66" t="str">
        <f>IF(Data[[#This Row],[Betrag]]&lt;0,"A","E")</f>
        <v>E</v>
      </c>
    </row>
    <row r="1443" spans="1:11" x14ac:dyDescent="0.25">
      <c r="A1443" s="1">
        <v>43446</v>
      </c>
      <c r="B1443" s="66" t="s">
        <v>61</v>
      </c>
      <c r="C1443" s="66" t="s">
        <v>49</v>
      </c>
      <c r="D1443" t="s">
        <v>62</v>
      </c>
      <c r="E1443">
        <v>-10</v>
      </c>
      <c r="F1443" s="66" t="s">
        <v>7</v>
      </c>
      <c r="G1443" s="66" t="s">
        <v>8</v>
      </c>
      <c r="H1443" s="66" t="str">
        <f>TEXT(Data[[#This Row],[Buchung]],"MMM")</f>
        <v>Dez</v>
      </c>
      <c r="I1443" s="67">
        <f>YEAR(Data[[#This Row],[Buchung]])</f>
        <v>2018</v>
      </c>
      <c r="J1443" s="2">
        <f>ABS(Data[[#This Row],[Betrag]])</f>
        <v>10</v>
      </c>
      <c r="K1443" s="66" t="str">
        <f>IF(Data[[#This Row],[Betrag]]&lt;0,"A","E")</f>
        <v>A</v>
      </c>
    </row>
    <row r="1444" spans="1:11" x14ac:dyDescent="0.25">
      <c r="A1444" s="1">
        <v>43447</v>
      </c>
      <c r="B1444" s="66" t="s">
        <v>63</v>
      </c>
      <c r="C1444" s="66" t="s">
        <v>64</v>
      </c>
      <c r="D1444" t="s">
        <v>65</v>
      </c>
      <c r="E1444">
        <v>-60</v>
      </c>
      <c r="F1444" s="66" t="s">
        <v>7</v>
      </c>
      <c r="G1444" s="66" t="s">
        <v>11</v>
      </c>
      <c r="H1444" s="66" t="str">
        <f>TEXT(Data[[#This Row],[Buchung]],"MMM")</f>
        <v>Dez</v>
      </c>
      <c r="I1444" s="67">
        <f>YEAR(Data[[#This Row],[Buchung]])</f>
        <v>2018</v>
      </c>
      <c r="J1444" s="2">
        <f>ABS(Data[[#This Row],[Betrag]])</f>
        <v>60</v>
      </c>
      <c r="K1444" s="66" t="str">
        <f>IF(Data[[#This Row],[Betrag]]&lt;0,"A","E")</f>
        <v>A</v>
      </c>
    </row>
    <row r="1445" spans="1:11" x14ac:dyDescent="0.25">
      <c r="A1445" s="1">
        <v>43448</v>
      </c>
      <c r="B1445" s="66" t="s">
        <v>54</v>
      </c>
      <c r="C1445" s="66" t="s">
        <v>55</v>
      </c>
      <c r="D1445" t="s">
        <v>66</v>
      </c>
      <c r="E1445">
        <v>-80</v>
      </c>
      <c r="F1445" s="66" t="s">
        <v>7</v>
      </c>
      <c r="G1445" s="66" t="s">
        <v>57</v>
      </c>
      <c r="H1445" s="66" t="str">
        <f>TEXT(Data[[#This Row],[Buchung]],"MMM")</f>
        <v>Dez</v>
      </c>
      <c r="I1445" s="67">
        <f>YEAR(Data[[#This Row],[Buchung]])</f>
        <v>2018</v>
      </c>
      <c r="J1445" s="2">
        <f>ABS(Data[[#This Row],[Betrag]])</f>
        <v>80</v>
      </c>
      <c r="K1445" s="66" t="str">
        <f>IF(Data[[#This Row],[Betrag]]&lt;0,"A","E")</f>
        <v>A</v>
      </c>
    </row>
    <row r="1446" spans="1:11" x14ac:dyDescent="0.25">
      <c r="A1446" s="1">
        <v>43449</v>
      </c>
      <c r="B1446" s="66" t="s">
        <v>67</v>
      </c>
      <c r="C1446" s="66" t="s">
        <v>59</v>
      </c>
      <c r="D1446" t="s">
        <v>68</v>
      </c>
      <c r="E1446">
        <v>-20</v>
      </c>
      <c r="F1446" s="66" t="s">
        <v>7</v>
      </c>
      <c r="G1446" s="66" t="s">
        <v>10</v>
      </c>
      <c r="H1446" s="66" t="str">
        <f>TEXT(Data[[#This Row],[Buchung]],"MMM")</f>
        <v>Dez</v>
      </c>
      <c r="I1446" s="67">
        <f>YEAR(Data[[#This Row],[Buchung]])</f>
        <v>2018</v>
      </c>
      <c r="J1446" s="2">
        <f>ABS(Data[[#This Row],[Betrag]])</f>
        <v>20</v>
      </c>
      <c r="K1446" s="66" t="str">
        <f>IF(Data[[#This Row],[Betrag]]&lt;0,"A","E")</f>
        <v>A</v>
      </c>
    </row>
    <row r="1447" spans="1:11" x14ac:dyDescent="0.25">
      <c r="A1447" s="1">
        <v>43450</v>
      </c>
      <c r="B1447" s="66" t="s">
        <v>45</v>
      </c>
      <c r="C1447" s="66" t="s">
        <v>46</v>
      </c>
      <c r="D1447" t="s">
        <v>47</v>
      </c>
      <c r="E1447">
        <v>1000</v>
      </c>
      <c r="F1447" s="66" t="s">
        <v>7</v>
      </c>
      <c r="G1447" s="66" t="s">
        <v>9</v>
      </c>
      <c r="H1447" s="66" t="str">
        <f>TEXT(Data[[#This Row],[Buchung]],"MMM")</f>
        <v>Dez</v>
      </c>
      <c r="I1447" s="67">
        <f>YEAR(Data[[#This Row],[Buchung]])</f>
        <v>2018</v>
      </c>
      <c r="J1447" s="2">
        <f>ABS(Data[[#This Row],[Betrag]])</f>
        <v>1000</v>
      </c>
      <c r="K1447" s="66" t="str">
        <f>IF(Data[[#This Row],[Betrag]]&lt;0,"A","E")</f>
        <v>E</v>
      </c>
    </row>
    <row r="1448" spans="1:11" x14ac:dyDescent="0.25">
      <c r="A1448" s="1">
        <v>43451</v>
      </c>
      <c r="B1448" s="66" t="s">
        <v>48</v>
      </c>
      <c r="C1448" s="66" t="s">
        <v>49</v>
      </c>
      <c r="D1448" t="s">
        <v>50</v>
      </c>
      <c r="E1448">
        <v>-15</v>
      </c>
      <c r="F1448" s="66" t="s">
        <v>7</v>
      </c>
      <c r="G1448" s="66" t="s">
        <v>8</v>
      </c>
      <c r="H1448" s="66" t="str">
        <f>TEXT(Data[[#This Row],[Buchung]],"MMM")</f>
        <v>Dez</v>
      </c>
      <c r="I1448" s="67">
        <f>YEAR(Data[[#This Row],[Buchung]])</f>
        <v>2018</v>
      </c>
      <c r="J1448" s="2">
        <f>ABS(Data[[#This Row],[Betrag]])</f>
        <v>15</v>
      </c>
      <c r="K1448" s="66" t="str">
        <f>IF(Data[[#This Row],[Betrag]]&lt;0,"A","E")</f>
        <v>A</v>
      </c>
    </row>
    <row r="1449" spans="1:11" x14ac:dyDescent="0.25">
      <c r="A1449" s="1">
        <v>43452</v>
      </c>
      <c r="B1449" s="66" t="s">
        <v>51</v>
      </c>
      <c r="C1449" s="66" t="s">
        <v>52</v>
      </c>
      <c r="D1449" t="s">
        <v>53</v>
      </c>
      <c r="E1449">
        <v>-350</v>
      </c>
      <c r="F1449" s="66" t="s">
        <v>7</v>
      </c>
      <c r="G1449" s="66" t="s">
        <v>11</v>
      </c>
      <c r="H1449" s="66" t="str">
        <f>TEXT(Data[[#This Row],[Buchung]],"MMM")</f>
        <v>Dez</v>
      </c>
      <c r="I1449" s="67">
        <f>YEAR(Data[[#This Row],[Buchung]])</f>
        <v>2018</v>
      </c>
      <c r="J1449" s="2">
        <f>ABS(Data[[#This Row],[Betrag]])</f>
        <v>350</v>
      </c>
      <c r="K1449" s="66" t="str">
        <f>IF(Data[[#This Row],[Betrag]]&lt;0,"A","E")</f>
        <v>A</v>
      </c>
    </row>
    <row r="1450" spans="1:11" x14ac:dyDescent="0.25">
      <c r="A1450" s="1">
        <v>43453</v>
      </c>
      <c r="B1450" s="66" t="s">
        <v>54</v>
      </c>
      <c r="C1450" s="66" t="s">
        <v>55</v>
      </c>
      <c r="D1450" t="s">
        <v>56</v>
      </c>
      <c r="E1450">
        <v>-120</v>
      </c>
      <c r="F1450" s="66" t="s">
        <v>7</v>
      </c>
      <c r="G1450" s="66" t="s">
        <v>57</v>
      </c>
      <c r="H1450" s="66" t="str">
        <f>TEXT(Data[[#This Row],[Buchung]],"MMM")</f>
        <v>Dez</v>
      </c>
      <c r="I1450" s="67">
        <f>YEAR(Data[[#This Row],[Buchung]])</f>
        <v>2018</v>
      </c>
      <c r="J1450" s="2">
        <f>ABS(Data[[#This Row],[Betrag]])</f>
        <v>120</v>
      </c>
      <c r="K1450" s="66" t="str">
        <f>IF(Data[[#This Row],[Betrag]]&lt;0,"A","E")</f>
        <v>A</v>
      </c>
    </row>
    <row r="1451" spans="1:11" x14ac:dyDescent="0.25">
      <c r="A1451" s="1">
        <v>43454</v>
      </c>
      <c r="B1451" s="66" t="s">
        <v>58</v>
      </c>
      <c r="C1451" s="66" t="s">
        <v>59</v>
      </c>
      <c r="D1451" t="s">
        <v>60</v>
      </c>
      <c r="E1451">
        <v>-60</v>
      </c>
      <c r="F1451" s="66" t="s">
        <v>7</v>
      </c>
      <c r="G1451" s="66" t="s">
        <v>10</v>
      </c>
      <c r="H1451" s="66" t="str">
        <f>TEXT(Data[[#This Row],[Buchung]],"MMM")</f>
        <v>Dez</v>
      </c>
      <c r="I1451" s="67">
        <f>YEAR(Data[[#This Row],[Buchung]])</f>
        <v>2018</v>
      </c>
      <c r="J1451" s="2">
        <f>ABS(Data[[#This Row],[Betrag]])</f>
        <v>60</v>
      </c>
      <c r="K1451" s="66" t="str">
        <f>IF(Data[[#This Row],[Betrag]]&lt;0,"A","E")</f>
        <v>A</v>
      </c>
    </row>
    <row r="1452" spans="1:11" x14ac:dyDescent="0.25">
      <c r="A1452" s="1">
        <v>43455</v>
      </c>
      <c r="B1452" s="66" t="s">
        <v>45</v>
      </c>
      <c r="C1452" s="66" t="s">
        <v>46</v>
      </c>
      <c r="D1452" t="s">
        <v>47</v>
      </c>
      <c r="E1452">
        <v>1000</v>
      </c>
      <c r="F1452" s="66" t="s">
        <v>7</v>
      </c>
      <c r="G1452" s="66" t="s">
        <v>9</v>
      </c>
      <c r="H1452" s="66" t="str">
        <f>TEXT(Data[[#This Row],[Buchung]],"MMM")</f>
        <v>Dez</v>
      </c>
      <c r="I1452" s="67">
        <f>YEAR(Data[[#This Row],[Buchung]])</f>
        <v>2018</v>
      </c>
      <c r="J1452" s="2">
        <f>ABS(Data[[#This Row],[Betrag]])</f>
        <v>1000</v>
      </c>
      <c r="K1452" s="66" t="str">
        <f>IF(Data[[#This Row],[Betrag]]&lt;0,"A","E")</f>
        <v>E</v>
      </c>
    </row>
    <row r="1453" spans="1:11" x14ac:dyDescent="0.25">
      <c r="A1453" s="1">
        <v>43456</v>
      </c>
      <c r="B1453" s="66" t="s">
        <v>61</v>
      </c>
      <c r="C1453" s="66" t="s">
        <v>49</v>
      </c>
      <c r="D1453" t="s">
        <v>62</v>
      </c>
      <c r="E1453">
        <v>-10</v>
      </c>
      <c r="F1453" s="66" t="s">
        <v>7</v>
      </c>
      <c r="G1453" s="66" t="s">
        <v>8</v>
      </c>
      <c r="H1453" s="66" t="str">
        <f>TEXT(Data[[#This Row],[Buchung]],"MMM")</f>
        <v>Dez</v>
      </c>
      <c r="I1453" s="67">
        <f>YEAR(Data[[#This Row],[Buchung]])</f>
        <v>2018</v>
      </c>
      <c r="J1453" s="2">
        <f>ABS(Data[[#This Row],[Betrag]])</f>
        <v>10</v>
      </c>
      <c r="K1453" s="66" t="str">
        <f>IF(Data[[#This Row],[Betrag]]&lt;0,"A","E")</f>
        <v>A</v>
      </c>
    </row>
    <row r="1454" spans="1:11" x14ac:dyDescent="0.25">
      <c r="A1454" s="1">
        <v>43457</v>
      </c>
      <c r="B1454" s="66" t="s">
        <v>63</v>
      </c>
      <c r="C1454" s="66" t="s">
        <v>64</v>
      </c>
      <c r="D1454" t="s">
        <v>65</v>
      </c>
      <c r="E1454">
        <v>-70</v>
      </c>
      <c r="F1454" s="66" t="s">
        <v>7</v>
      </c>
      <c r="G1454" s="66" t="s">
        <v>11</v>
      </c>
      <c r="H1454" s="66" t="str">
        <f>TEXT(Data[[#This Row],[Buchung]],"MMM")</f>
        <v>Dez</v>
      </c>
      <c r="I1454" s="67">
        <f>YEAR(Data[[#This Row],[Buchung]])</f>
        <v>2018</v>
      </c>
      <c r="J1454" s="2">
        <f>ABS(Data[[#This Row],[Betrag]])</f>
        <v>70</v>
      </c>
      <c r="K1454" s="66" t="str">
        <f>IF(Data[[#This Row],[Betrag]]&lt;0,"A","E")</f>
        <v>A</v>
      </c>
    </row>
    <row r="1455" spans="1:11" x14ac:dyDescent="0.25">
      <c r="A1455" s="1">
        <v>43458</v>
      </c>
      <c r="B1455" s="66" t="s">
        <v>54</v>
      </c>
      <c r="C1455" s="66" t="s">
        <v>55</v>
      </c>
      <c r="D1455" t="s">
        <v>66</v>
      </c>
      <c r="E1455">
        <v>-80</v>
      </c>
      <c r="F1455" s="66" t="s">
        <v>7</v>
      </c>
      <c r="G1455" s="66" t="s">
        <v>57</v>
      </c>
      <c r="H1455" s="66" t="str">
        <f>TEXT(Data[[#This Row],[Buchung]],"MMM")</f>
        <v>Dez</v>
      </c>
      <c r="I1455" s="67">
        <f>YEAR(Data[[#This Row],[Buchung]])</f>
        <v>2018</v>
      </c>
      <c r="J1455" s="2">
        <f>ABS(Data[[#This Row],[Betrag]])</f>
        <v>80</v>
      </c>
      <c r="K1455" s="66" t="str">
        <f>IF(Data[[#This Row],[Betrag]]&lt;0,"A","E")</f>
        <v>A</v>
      </c>
    </row>
    <row r="1456" spans="1:11" x14ac:dyDescent="0.25">
      <c r="A1456" s="1">
        <v>43459</v>
      </c>
      <c r="B1456" s="66" t="s">
        <v>67</v>
      </c>
      <c r="C1456" s="66" t="s">
        <v>59</v>
      </c>
      <c r="D1456" t="s">
        <v>68</v>
      </c>
      <c r="E1456">
        <v>-25</v>
      </c>
      <c r="F1456" s="66" t="s">
        <v>7</v>
      </c>
      <c r="G1456" s="66" t="s">
        <v>10</v>
      </c>
      <c r="H1456" s="66" t="str">
        <f>TEXT(Data[[#This Row],[Buchung]],"MMM")</f>
        <v>Dez</v>
      </c>
      <c r="I1456" s="67">
        <f>YEAR(Data[[#This Row],[Buchung]])</f>
        <v>2018</v>
      </c>
      <c r="J1456" s="2">
        <f>ABS(Data[[#This Row],[Betrag]])</f>
        <v>25</v>
      </c>
      <c r="K1456" s="66" t="str">
        <f>IF(Data[[#This Row],[Betrag]]&lt;0,"A","E")</f>
        <v>A</v>
      </c>
    </row>
    <row r="1457" spans="1:11" x14ac:dyDescent="0.25">
      <c r="A1457" s="1">
        <v>43460</v>
      </c>
      <c r="B1457" s="66" t="s">
        <v>45</v>
      </c>
      <c r="C1457" s="66" t="s">
        <v>46</v>
      </c>
      <c r="D1457" t="s">
        <v>47</v>
      </c>
      <c r="E1457">
        <v>1000</v>
      </c>
      <c r="F1457" s="66" t="s">
        <v>7</v>
      </c>
      <c r="G1457" s="66" t="s">
        <v>9</v>
      </c>
      <c r="H1457" s="66" t="str">
        <f>TEXT(Data[[#This Row],[Buchung]],"MMM")</f>
        <v>Dez</v>
      </c>
      <c r="I1457" s="67">
        <f>YEAR(Data[[#This Row],[Buchung]])</f>
        <v>2018</v>
      </c>
      <c r="J1457" s="2">
        <f>ABS(Data[[#This Row],[Betrag]])</f>
        <v>1000</v>
      </c>
      <c r="K1457" s="66" t="str">
        <f>IF(Data[[#This Row],[Betrag]]&lt;0,"A","E")</f>
        <v>E</v>
      </c>
    </row>
    <row r="1458" spans="1:11" x14ac:dyDescent="0.25">
      <c r="A1458" s="1">
        <v>43461</v>
      </c>
      <c r="B1458" s="66" t="s">
        <v>48</v>
      </c>
      <c r="C1458" s="66" t="s">
        <v>49</v>
      </c>
      <c r="D1458" t="s">
        <v>50</v>
      </c>
      <c r="E1458">
        <v>-15</v>
      </c>
      <c r="F1458" s="66" t="s">
        <v>7</v>
      </c>
      <c r="G1458" s="66" t="s">
        <v>8</v>
      </c>
      <c r="H1458" s="66" t="str">
        <f>TEXT(Data[[#This Row],[Buchung]],"MMM")</f>
        <v>Dez</v>
      </c>
      <c r="I1458" s="67">
        <f>YEAR(Data[[#This Row],[Buchung]])</f>
        <v>2018</v>
      </c>
      <c r="J1458" s="2">
        <f>ABS(Data[[#This Row],[Betrag]])</f>
        <v>15</v>
      </c>
      <c r="K1458" s="66" t="str">
        <f>IF(Data[[#This Row],[Betrag]]&lt;0,"A","E")</f>
        <v>A</v>
      </c>
    </row>
    <row r="1459" spans="1:11" x14ac:dyDescent="0.25">
      <c r="A1459" s="1">
        <v>43462</v>
      </c>
      <c r="B1459" s="66" t="s">
        <v>51</v>
      </c>
      <c r="C1459" s="66" t="s">
        <v>52</v>
      </c>
      <c r="D1459" t="s">
        <v>53</v>
      </c>
      <c r="E1459">
        <v>-350</v>
      </c>
      <c r="F1459" s="66" t="s">
        <v>7</v>
      </c>
      <c r="G1459" s="66" t="s">
        <v>11</v>
      </c>
      <c r="H1459" s="66" t="str">
        <f>TEXT(Data[[#This Row],[Buchung]],"MMM")</f>
        <v>Dez</v>
      </c>
      <c r="I1459" s="67">
        <f>YEAR(Data[[#This Row],[Buchung]])</f>
        <v>2018</v>
      </c>
      <c r="J1459" s="2">
        <f>ABS(Data[[#This Row],[Betrag]])</f>
        <v>350</v>
      </c>
      <c r="K1459" s="66" t="str">
        <f>IF(Data[[#This Row],[Betrag]]&lt;0,"A","E")</f>
        <v>A</v>
      </c>
    </row>
    <row r="1460" spans="1:11" x14ac:dyDescent="0.25">
      <c r="A1460" s="1">
        <v>43463</v>
      </c>
      <c r="B1460" s="66" t="s">
        <v>54</v>
      </c>
      <c r="C1460" s="66" t="s">
        <v>55</v>
      </c>
      <c r="D1460" t="s">
        <v>56</v>
      </c>
      <c r="E1460">
        <v>-120</v>
      </c>
      <c r="F1460" s="66" t="s">
        <v>7</v>
      </c>
      <c r="G1460" s="66" t="s">
        <v>57</v>
      </c>
      <c r="H1460" s="66" t="str">
        <f>TEXT(Data[[#This Row],[Buchung]],"MMM")</f>
        <v>Dez</v>
      </c>
      <c r="I1460" s="67">
        <f>YEAR(Data[[#This Row],[Buchung]])</f>
        <v>2018</v>
      </c>
      <c r="J1460" s="2">
        <f>ABS(Data[[#This Row],[Betrag]])</f>
        <v>120</v>
      </c>
      <c r="K1460" s="66" t="str">
        <f>IF(Data[[#This Row],[Betrag]]&lt;0,"A","E")</f>
        <v>A</v>
      </c>
    </row>
    <row r="1461" spans="1:11" x14ac:dyDescent="0.25">
      <c r="A1461" s="1">
        <v>43464</v>
      </c>
      <c r="B1461" s="66" t="s">
        <v>58</v>
      </c>
      <c r="C1461" s="66" t="s">
        <v>59</v>
      </c>
      <c r="D1461" t="s">
        <v>60</v>
      </c>
      <c r="E1461">
        <v>-70</v>
      </c>
      <c r="F1461" s="66" t="s">
        <v>7</v>
      </c>
      <c r="G1461" s="66" t="s">
        <v>10</v>
      </c>
      <c r="H1461" s="66" t="str">
        <f>TEXT(Data[[#This Row],[Buchung]],"MMM")</f>
        <v>Dez</v>
      </c>
      <c r="I1461" s="67">
        <f>YEAR(Data[[#This Row],[Buchung]])</f>
        <v>2018</v>
      </c>
      <c r="J1461" s="2">
        <f>ABS(Data[[#This Row],[Betrag]])</f>
        <v>70</v>
      </c>
      <c r="K1461" s="66" t="str">
        <f>IF(Data[[#This Row],[Betrag]]&lt;0,"A","E")</f>
        <v>A</v>
      </c>
    </row>
    <row r="1462" spans="1:11" x14ac:dyDescent="0.25">
      <c r="A1462" s="1">
        <v>43465</v>
      </c>
      <c r="B1462" s="66" t="s">
        <v>45</v>
      </c>
      <c r="C1462" s="66" t="s">
        <v>46</v>
      </c>
      <c r="D1462" t="s">
        <v>47</v>
      </c>
      <c r="E1462">
        <v>1000</v>
      </c>
      <c r="F1462" s="66" t="s">
        <v>7</v>
      </c>
      <c r="G1462" s="66" t="s">
        <v>9</v>
      </c>
      <c r="H1462" s="66" t="str">
        <f>TEXT(Data[[#This Row],[Buchung]],"MMM")</f>
        <v>Dez</v>
      </c>
      <c r="I1462" s="67">
        <f>YEAR(Data[[#This Row],[Buchung]])</f>
        <v>2018</v>
      </c>
      <c r="J1462" s="2">
        <f>ABS(Data[[#This Row],[Betrag]])</f>
        <v>1000</v>
      </c>
      <c r="K1462" s="66" t="str">
        <f>IF(Data[[#This Row],[Betrag]]&lt;0,"A","E")</f>
        <v>E</v>
      </c>
    </row>
    <row r="1463" spans="1:11" x14ac:dyDescent="0.25">
      <c r="A1463" s="1">
        <v>43466</v>
      </c>
      <c r="B1463" s="66" t="s">
        <v>61</v>
      </c>
      <c r="C1463" s="66" t="s">
        <v>49</v>
      </c>
      <c r="D1463" t="s">
        <v>62</v>
      </c>
      <c r="E1463">
        <v>-10</v>
      </c>
      <c r="F1463" s="66" t="s">
        <v>7</v>
      </c>
      <c r="G1463" s="66" t="s">
        <v>8</v>
      </c>
      <c r="H1463" s="66" t="str">
        <f>TEXT(Data[[#This Row],[Buchung]],"MMM")</f>
        <v>Jan</v>
      </c>
      <c r="I1463" s="67">
        <f>YEAR(Data[[#This Row],[Buchung]])</f>
        <v>2019</v>
      </c>
      <c r="J1463" s="2">
        <f>ABS(Data[[#This Row],[Betrag]])</f>
        <v>10</v>
      </c>
      <c r="K1463" s="66" t="str">
        <f>IF(Data[[#This Row],[Betrag]]&lt;0,"A","E")</f>
        <v>A</v>
      </c>
    </row>
    <row r="1464" spans="1:11" x14ac:dyDescent="0.25">
      <c r="A1464" s="1">
        <v>43467</v>
      </c>
      <c r="B1464" s="66" t="s">
        <v>63</v>
      </c>
      <c r="C1464" s="66" t="s">
        <v>64</v>
      </c>
      <c r="D1464" t="s">
        <v>65</v>
      </c>
      <c r="E1464">
        <v>-60</v>
      </c>
      <c r="F1464" s="66" t="s">
        <v>7</v>
      </c>
      <c r="G1464" s="66" t="s">
        <v>11</v>
      </c>
      <c r="H1464" s="66" t="str">
        <f>TEXT(Data[[#This Row],[Buchung]],"MMM")</f>
        <v>Jan</v>
      </c>
      <c r="I1464" s="67">
        <f>YEAR(Data[[#This Row],[Buchung]])</f>
        <v>2019</v>
      </c>
      <c r="J1464" s="2">
        <f>ABS(Data[[#This Row],[Betrag]])</f>
        <v>60</v>
      </c>
      <c r="K1464" s="66" t="str">
        <f>IF(Data[[#This Row],[Betrag]]&lt;0,"A","E")</f>
        <v>A</v>
      </c>
    </row>
    <row r="1465" spans="1:11" x14ac:dyDescent="0.25">
      <c r="A1465" s="1">
        <v>43468</v>
      </c>
      <c r="B1465" s="66" t="s">
        <v>54</v>
      </c>
      <c r="C1465" s="66" t="s">
        <v>55</v>
      </c>
      <c r="D1465" t="s">
        <v>66</v>
      </c>
      <c r="E1465">
        <v>-80</v>
      </c>
      <c r="F1465" s="66" t="s">
        <v>7</v>
      </c>
      <c r="G1465" s="66" t="s">
        <v>57</v>
      </c>
      <c r="H1465" s="66" t="str">
        <f>TEXT(Data[[#This Row],[Buchung]],"MMM")</f>
        <v>Jan</v>
      </c>
      <c r="I1465" s="67">
        <f>YEAR(Data[[#This Row],[Buchung]])</f>
        <v>2019</v>
      </c>
      <c r="J1465" s="2">
        <f>ABS(Data[[#This Row],[Betrag]])</f>
        <v>80</v>
      </c>
      <c r="K1465" s="66" t="str">
        <f>IF(Data[[#This Row],[Betrag]]&lt;0,"A","E")</f>
        <v>A</v>
      </c>
    </row>
    <row r="1466" spans="1:11" x14ac:dyDescent="0.25">
      <c r="A1466" s="1">
        <v>43469</v>
      </c>
      <c r="B1466" s="66" t="s">
        <v>67</v>
      </c>
      <c r="C1466" s="66" t="s">
        <v>59</v>
      </c>
      <c r="D1466" t="s">
        <v>68</v>
      </c>
      <c r="E1466">
        <v>-30</v>
      </c>
      <c r="F1466" s="66" t="s">
        <v>7</v>
      </c>
      <c r="G1466" s="66" t="s">
        <v>10</v>
      </c>
      <c r="H1466" s="66" t="str">
        <f>TEXT(Data[[#This Row],[Buchung]],"MMM")</f>
        <v>Jan</v>
      </c>
      <c r="I1466" s="67">
        <f>YEAR(Data[[#This Row],[Buchung]])</f>
        <v>2019</v>
      </c>
      <c r="J1466" s="2">
        <f>ABS(Data[[#This Row],[Betrag]])</f>
        <v>30</v>
      </c>
      <c r="K1466" s="66" t="str">
        <f>IF(Data[[#This Row],[Betrag]]&lt;0,"A","E")</f>
        <v>A</v>
      </c>
    </row>
    <row r="1467" spans="1:11" x14ac:dyDescent="0.25">
      <c r="A1467" s="1">
        <v>43470</v>
      </c>
      <c r="B1467" s="66" t="s">
        <v>45</v>
      </c>
      <c r="C1467" s="66" t="s">
        <v>46</v>
      </c>
      <c r="D1467" t="s">
        <v>47</v>
      </c>
      <c r="E1467">
        <v>1000</v>
      </c>
      <c r="F1467" s="66" t="s">
        <v>7</v>
      </c>
      <c r="G1467" s="66" t="s">
        <v>9</v>
      </c>
      <c r="H1467" s="66" t="str">
        <f>TEXT(Data[[#This Row],[Buchung]],"MMM")</f>
        <v>Jan</v>
      </c>
      <c r="I1467" s="67">
        <f>YEAR(Data[[#This Row],[Buchung]])</f>
        <v>2019</v>
      </c>
      <c r="J1467" s="2">
        <f>ABS(Data[[#This Row],[Betrag]])</f>
        <v>1000</v>
      </c>
      <c r="K1467" s="66" t="str">
        <f>IF(Data[[#This Row],[Betrag]]&lt;0,"A","E")</f>
        <v>E</v>
      </c>
    </row>
    <row r="1468" spans="1:11" x14ac:dyDescent="0.25">
      <c r="A1468" s="1">
        <v>43471</v>
      </c>
      <c r="B1468" s="66" t="s">
        <v>48</v>
      </c>
      <c r="C1468" s="66" t="s">
        <v>49</v>
      </c>
      <c r="D1468" t="s">
        <v>50</v>
      </c>
      <c r="E1468">
        <v>-15</v>
      </c>
      <c r="F1468" s="66" t="s">
        <v>7</v>
      </c>
      <c r="G1468" s="66" t="s">
        <v>8</v>
      </c>
      <c r="H1468" s="66" t="str">
        <f>TEXT(Data[[#This Row],[Buchung]],"MMM")</f>
        <v>Jan</v>
      </c>
      <c r="I1468" s="67">
        <f>YEAR(Data[[#This Row],[Buchung]])</f>
        <v>2019</v>
      </c>
      <c r="J1468" s="2">
        <f>ABS(Data[[#This Row],[Betrag]])</f>
        <v>15</v>
      </c>
      <c r="K1468" s="66" t="str">
        <f>IF(Data[[#This Row],[Betrag]]&lt;0,"A","E")</f>
        <v>A</v>
      </c>
    </row>
    <row r="1469" spans="1:11" x14ac:dyDescent="0.25">
      <c r="A1469" s="1">
        <v>43472</v>
      </c>
      <c r="B1469" s="66" t="s">
        <v>51</v>
      </c>
      <c r="C1469" s="66" t="s">
        <v>52</v>
      </c>
      <c r="D1469" t="s">
        <v>53</v>
      </c>
      <c r="E1469">
        <v>-350</v>
      </c>
      <c r="F1469" s="66" t="s">
        <v>7</v>
      </c>
      <c r="G1469" s="66" t="s">
        <v>11</v>
      </c>
      <c r="H1469" s="66" t="str">
        <f>TEXT(Data[[#This Row],[Buchung]],"MMM")</f>
        <v>Jan</v>
      </c>
      <c r="I1469" s="67">
        <f>YEAR(Data[[#This Row],[Buchung]])</f>
        <v>2019</v>
      </c>
      <c r="J1469" s="2">
        <f>ABS(Data[[#This Row],[Betrag]])</f>
        <v>350</v>
      </c>
      <c r="K1469" s="66" t="str">
        <f>IF(Data[[#This Row],[Betrag]]&lt;0,"A","E")</f>
        <v>A</v>
      </c>
    </row>
    <row r="1470" spans="1:11" x14ac:dyDescent="0.25">
      <c r="A1470" s="1">
        <v>43473</v>
      </c>
      <c r="B1470" s="66" t="s">
        <v>54</v>
      </c>
      <c r="C1470" s="66" t="s">
        <v>55</v>
      </c>
      <c r="D1470" t="s">
        <v>56</v>
      </c>
      <c r="E1470">
        <v>-120</v>
      </c>
      <c r="F1470" s="66" t="s">
        <v>7</v>
      </c>
      <c r="G1470" s="66" t="s">
        <v>57</v>
      </c>
      <c r="H1470" s="66" t="str">
        <f>TEXT(Data[[#This Row],[Buchung]],"MMM")</f>
        <v>Jan</v>
      </c>
      <c r="I1470" s="67">
        <f>YEAR(Data[[#This Row],[Buchung]])</f>
        <v>2019</v>
      </c>
      <c r="J1470" s="2">
        <f>ABS(Data[[#This Row],[Betrag]])</f>
        <v>120</v>
      </c>
      <c r="K1470" s="66" t="str">
        <f>IF(Data[[#This Row],[Betrag]]&lt;0,"A","E")</f>
        <v>A</v>
      </c>
    </row>
    <row r="1471" spans="1:11" x14ac:dyDescent="0.25">
      <c r="A1471" s="1">
        <v>43474</v>
      </c>
      <c r="B1471" s="66" t="s">
        <v>58</v>
      </c>
      <c r="C1471" s="66" t="s">
        <v>59</v>
      </c>
      <c r="D1471" t="s">
        <v>60</v>
      </c>
      <c r="E1471">
        <v>-80</v>
      </c>
      <c r="F1471" s="66" t="s">
        <v>7</v>
      </c>
      <c r="G1471" s="66" t="s">
        <v>10</v>
      </c>
      <c r="H1471" s="66" t="str">
        <f>TEXT(Data[[#This Row],[Buchung]],"MMM")</f>
        <v>Jan</v>
      </c>
      <c r="I1471" s="67">
        <f>YEAR(Data[[#This Row],[Buchung]])</f>
        <v>2019</v>
      </c>
      <c r="J1471" s="2">
        <f>ABS(Data[[#This Row],[Betrag]])</f>
        <v>80</v>
      </c>
      <c r="K1471" s="66" t="str">
        <f>IF(Data[[#This Row],[Betrag]]&lt;0,"A","E")</f>
        <v>A</v>
      </c>
    </row>
    <row r="1472" spans="1:11" x14ac:dyDescent="0.25">
      <c r="A1472" s="1">
        <v>43475</v>
      </c>
      <c r="B1472" s="66" t="s">
        <v>45</v>
      </c>
      <c r="C1472" s="66" t="s">
        <v>46</v>
      </c>
      <c r="D1472" t="s">
        <v>47</v>
      </c>
      <c r="E1472">
        <v>1000</v>
      </c>
      <c r="F1472" s="66" t="s">
        <v>7</v>
      </c>
      <c r="G1472" s="66" t="s">
        <v>9</v>
      </c>
      <c r="H1472" s="66" t="str">
        <f>TEXT(Data[[#This Row],[Buchung]],"MMM")</f>
        <v>Jan</v>
      </c>
      <c r="I1472" s="67">
        <f>YEAR(Data[[#This Row],[Buchung]])</f>
        <v>2019</v>
      </c>
      <c r="J1472" s="2">
        <f>ABS(Data[[#This Row],[Betrag]])</f>
        <v>1000</v>
      </c>
      <c r="K1472" s="66" t="str">
        <f>IF(Data[[#This Row],[Betrag]]&lt;0,"A","E")</f>
        <v>E</v>
      </c>
    </row>
    <row r="1473" spans="1:11" x14ac:dyDescent="0.25">
      <c r="A1473" s="1">
        <v>43476</v>
      </c>
      <c r="B1473" s="66" t="s">
        <v>61</v>
      </c>
      <c r="C1473" s="66" t="s">
        <v>49</v>
      </c>
      <c r="D1473" t="s">
        <v>62</v>
      </c>
      <c r="E1473">
        <v>-10</v>
      </c>
      <c r="F1473" s="66" t="s">
        <v>7</v>
      </c>
      <c r="G1473" s="66" t="s">
        <v>8</v>
      </c>
      <c r="H1473" s="66" t="str">
        <f>TEXT(Data[[#This Row],[Buchung]],"MMM")</f>
        <v>Jan</v>
      </c>
      <c r="I1473" s="67">
        <f>YEAR(Data[[#This Row],[Buchung]])</f>
        <v>2019</v>
      </c>
      <c r="J1473" s="2">
        <f>ABS(Data[[#This Row],[Betrag]])</f>
        <v>10</v>
      </c>
      <c r="K1473" s="66" t="str">
        <f>IF(Data[[#This Row],[Betrag]]&lt;0,"A","E")</f>
        <v>A</v>
      </c>
    </row>
    <row r="1474" spans="1:11" x14ac:dyDescent="0.25">
      <c r="A1474" s="1">
        <v>43477</v>
      </c>
      <c r="B1474" s="66" t="s">
        <v>63</v>
      </c>
      <c r="C1474" s="66" t="s">
        <v>64</v>
      </c>
      <c r="D1474" t="s">
        <v>65</v>
      </c>
      <c r="E1474">
        <v>-65</v>
      </c>
      <c r="F1474" s="66" t="s">
        <v>7</v>
      </c>
      <c r="G1474" s="66" t="s">
        <v>11</v>
      </c>
      <c r="H1474" s="66" t="str">
        <f>TEXT(Data[[#This Row],[Buchung]],"MMM")</f>
        <v>Jan</v>
      </c>
      <c r="I1474" s="67">
        <f>YEAR(Data[[#This Row],[Buchung]])</f>
        <v>2019</v>
      </c>
      <c r="J1474" s="2">
        <f>ABS(Data[[#This Row],[Betrag]])</f>
        <v>65</v>
      </c>
      <c r="K1474" s="66" t="str">
        <f>IF(Data[[#This Row],[Betrag]]&lt;0,"A","E")</f>
        <v>A</v>
      </c>
    </row>
    <row r="1475" spans="1:11" x14ac:dyDescent="0.25">
      <c r="A1475" s="1">
        <v>43478</v>
      </c>
      <c r="B1475" s="66" t="s">
        <v>54</v>
      </c>
      <c r="C1475" s="66" t="s">
        <v>55</v>
      </c>
      <c r="D1475" t="s">
        <v>66</v>
      </c>
      <c r="E1475">
        <v>-80</v>
      </c>
      <c r="F1475" s="66" t="s">
        <v>7</v>
      </c>
      <c r="G1475" s="66" t="s">
        <v>57</v>
      </c>
      <c r="H1475" s="66" t="str">
        <f>TEXT(Data[[#This Row],[Buchung]],"MMM")</f>
        <v>Jan</v>
      </c>
      <c r="I1475" s="67">
        <f>YEAR(Data[[#This Row],[Buchung]])</f>
        <v>2019</v>
      </c>
      <c r="J1475" s="2">
        <f>ABS(Data[[#This Row],[Betrag]])</f>
        <v>80</v>
      </c>
      <c r="K1475" s="66" t="str">
        <f>IF(Data[[#This Row],[Betrag]]&lt;0,"A","E")</f>
        <v>A</v>
      </c>
    </row>
    <row r="1476" spans="1:11" x14ac:dyDescent="0.25">
      <c r="A1476" s="1">
        <v>43479</v>
      </c>
      <c r="B1476" s="66" t="s">
        <v>67</v>
      </c>
      <c r="C1476" s="66" t="s">
        <v>59</v>
      </c>
      <c r="D1476" t="s">
        <v>68</v>
      </c>
      <c r="E1476">
        <v>-35</v>
      </c>
      <c r="F1476" s="66" t="s">
        <v>7</v>
      </c>
      <c r="G1476" s="66" t="s">
        <v>10</v>
      </c>
      <c r="H1476" s="66" t="str">
        <f>TEXT(Data[[#This Row],[Buchung]],"MMM")</f>
        <v>Jan</v>
      </c>
      <c r="I1476" s="67">
        <f>YEAR(Data[[#This Row],[Buchung]])</f>
        <v>2019</v>
      </c>
      <c r="J1476" s="2">
        <f>ABS(Data[[#This Row],[Betrag]])</f>
        <v>35</v>
      </c>
      <c r="K1476" s="66" t="str">
        <f>IF(Data[[#This Row],[Betrag]]&lt;0,"A","E")</f>
        <v>A</v>
      </c>
    </row>
    <row r="1477" spans="1:11" x14ac:dyDescent="0.25">
      <c r="A1477" s="1">
        <v>43480</v>
      </c>
      <c r="B1477" s="66" t="s">
        <v>45</v>
      </c>
      <c r="C1477" s="66" t="s">
        <v>46</v>
      </c>
      <c r="D1477" t="s">
        <v>47</v>
      </c>
      <c r="E1477">
        <v>1000</v>
      </c>
      <c r="F1477" s="66" t="s">
        <v>7</v>
      </c>
      <c r="G1477" s="66" t="s">
        <v>9</v>
      </c>
      <c r="H1477" s="66" t="str">
        <f>TEXT(Data[[#This Row],[Buchung]],"MMM")</f>
        <v>Jan</v>
      </c>
      <c r="I1477" s="67">
        <f>YEAR(Data[[#This Row],[Buchung]])</f>
        <v>2019</v>
      </c>
      <c r="J1477" s="2">
        <f>ABS(Data[[#This Row],[Betrag]])</f>
        <v>1000</v>
      </c>
      <c r="K1477" s="66" t="str">
        <f>IF(Data[[#This Row],[Betrag]]&lt;0,"A","E")</f>
        <v>E</v>
      </c>
    </row>
    <row r="1478" spans="1:11" x14ac:dyDescent="0.25">
      <c r="A1478" s="1">
        <v>43481</v>
      </c>
      <c r="B1478" s="66" t="s">
        <v>45</v>
      </c>
      <c r="C1478" s="66" t="s">
        <v>46</v>
      </c>
      <c r="D1478" t="s">
        <v>47</v>
      </c>
      <c r="E1478">
        <v>1000</v>
      </c>
      <c r="F1478" s="66" t="s">
        <v>7</v>
      </c>
      <c r="G1478" s="66" t="s">
        <v>9</v>
      </c>
      <c r="H1478" s="66" t="str">
        <f>TEXT(Data[[#This Row],[Buchung]],"MMM")</f>
        <v>Jan</v>
      </c>
      <c r="I1478" s="67">
        <f>YEAR(Data[[#This Row],[Buchung]])</f>
        <v>2019</v>
      </c>
      <c r="J1478" s="2">
        <f>ABS(Data[[#This Row],[Betrag]])</f>
        <v>1000</v>
      </c>
      <c r="K1478" s="66" t="str">
        <f>IF(Data[[#This Row],[Betrag]]&lt;0,"A","E")</f>
        <v>E</v>
      </c>
    </row>
    <row r="1479" spans="1:11" x14ac:dyDescent="0.25">
      <c r="A1479" s="1">
        <v>43482</v>
      </c>
      <c r="B1479" s="66" t="s">
        <v>48</v>
      </c>
      <c r="C1479" s="66" t="s">
        <v>49</v>
      </c>
      <c r="D1479" t="s">
        <v>50</v>
      </c>
      <c r="E1479">
        <v>-15</v>
      </c>
      <c r="F1479" s="66" t="s">
        <v>7</v>
      </c>
      <c r="G1479" s="66" t="s">
        <v>8</v>
      </c>
      <c r="H1479" s="66" t="str">
        <f>TEXT(Data[[#This Row],[Buchung]],"MMM")</f>
        <v>Jan</v>
      </c>
      <c r="I1479" s="67">
        <f>YEAR(Data[[#This Row],[Buchung]])</f>
        <v>2019</v>
      </c>
      <c r="J1479" s="2">
        <f>ABS(Data[[#This Row],[Betrag]])</f>
        <v>15</v>
      </c>
      <c r="K1479" s="66" t="str">
        <f>IF(Data[[#This Row],[Betrag]]&lt;0,"A","E")</f>
        <v>A</v>
      </c>
    </row>
    <row r="1480" spans="1:11" x14ac:dyDescent="0.25">
      <c r="A1480" s="1">
        <v>43483</v>
      </c>
      <c r="B1480" s="66" t="s">
        <v>51</v>
      </c>
      <c r="C1480" s="66" t="s">
        <v>52</v>
      </c>
      <c r="D1480" t="s">
        <v>53</v>
      </c>
      <c r="E1480">
        <v>-350</v>
      </c>
      <c r="F1480" s="66" t="s">
        <v>7</v>
      </c>
      <c r="G1480" s="66" t="s">
        <v>11</v>
      </c>
      <c r="H1480" s="66" t="str">
        <f>TEXT(Data[[#This Row],[Buchung]],"MMM")</f>
        <v>Jan</v>
      </c>
      <c r="I1480" s="67">
        <f>YEAR(Data[[#This Row],[Buchung]])</f>
        <v>2019</v>
      </c>
      <c r="J1480" s="2">
        <f>ABS(Data[[#This Row],[Betrag]])</f>
        <v>350</v>
      </c>
      <c r="K1480" s="66" t="str">
        <f>IF(Data[[#This Row],[Betrag]]&lt;0,"A","E")</f>
        <v>A</v>
      </c>
    </row>
    <row r="1481" spans="1:11" x14ac:dyDescent="0.25">
      <c r="A1481" s="1">
        <v>43484</v>
      </c>
      <c r="B1481" s="66" t="s">
        <v>54</v>
      </c>
      <c r="C1481" s="66" t="s">
        <v>55</v>
      </c>
      <c r="D1481" t="s">
        <v>56</v>
      </c>
      <c r="E1481">
        <v>-120</v>
      </c>
      <c r="F1481" s="66" t="s">
        <v>7</v>
      </c>
      <c r="G1481" s="66" t="s">
        <v>57</v>
      </c>
      <c r="H1481" s="66" t="str">
        <f>TEXT(Data[[#This Row],[Buchung]],"MMM")</f>
        <v>Jan</v>
      </c>
      <c r="I1481" s="67">
        <f>YEAR(Data[[#This Row],[Buchung]])</f>
        <v>2019</v>
      </c>
      <c r="J1481" s="2">
        <f>ABS(Data[[#This Row],[Betrag]])</f>
        <v>120</v>
      </c>
      <c r="K1481" s="66" t="str">
        <f>IF(Data[[#This Row],[Betrag]]&lt;0,"A","E")</f>
        <v>A</v>
      </c>
    </row>
    <row r="1482" spans="1:11" x14ac:dyDescent="0.25">
      <c r="A1482" s="1">
        <v>43485</v>
      </c>
      <c r="B1482" s="66" t="s">
        <v>58</v>
      </c>
      <c r="C1482" s="66" t="s">
        <v>59</v>
      </c>
      <c r="D1482" t="s">
        <v>60</v>
      </c>
      <c r="E1482">
        <v>-50</v>
      </c>
      <c r="F1482" s="66" t="s">
        <v>7</v>
      </c>
      <c r="G1482" s="66" t="s">
        <v>10</v>
      </c>
      <c r="H1482" s="66" t="str">
        <f>TEXT(Data[[#This Row],[Buchung]],"MMM")</f>
        <v>Jan</v>
      </c>
      <c r="I1482" s="67">
        <f>YEAR(Data[[#This Row],[Buchung]])</f>
        <v>2019</v>
      </c>
      <c r="J1482" s="2">
        <f>ABS(Data[[#This Row],[Betrag]])</f>
        <v>50</v>
      </c>
      <c r="K1482" s="66" t="str">
        <f>IF(Data[[#This Row],[Betrag]]&lt;0,"A","E")</f>
        <v>A</v>
      </c>
    </row>
    <row r="1483" spans="1:11" x14ac:dyDescent="0.25">
      <c r="A1483" s="1">
        <v>43486</v>
      </c>
      <c r="B1483" s="66" t="s">
        <v>45</v>
      </c>
      <c r="C1483" s="66" t="s">
        <v>46</v>
      </c>
      <c r="D1483" t="s">
        <v>47</v>
      </c>
      <c r="E1483">
        <v>1000</v>
      </c>
      <c r="F1483" s="66" t="s">
        <v>7</v>
      </c>
      <c r="G1483" s="66" t="s">
        <v>9</v>
      </c>
      <c r="H1483" s="66" t="str">
        <f>TEXT(Data[[#This Row],[Buchung]],"MMM")</f>
        <v>Jan</v>
      </c>
      <c r="I1483" s="67">
        <f>YEAR(Data[[#This Row],[Buchung]])</f>
        <v>2019</v>
      </c>
      <c r="J1483" s="2">
        <f>ABS(Data[[#This Row],[Betrag]])</f>
        <v>1000</v>
      </c>
      <c r="K1483" s="66" t="str">
        <f>IF(Data[[#This Row],[Betrag]]&lt;0,"A","E")</f>
        <v>E</v>
      </c>
    </row>
    <row r="1484" spans="1:11" x14ac:dyDescent="0.25">
      <c r="A1484" s="1">
        <v>43487</v>
      </c>
      <c r="B1484" s="66" t="s">
        <v>61</v>
      </c>
      <c r="C1484" s="66" t="s">
        <v>49</v>
      </c>
      <c r="D1484" t="s">
        <v>62</v>
      </c>
      <c r="E1484">
        <v>-10</v>
      </c>
      <c r="F1484" s="66" t="s">
        <v>7</v>
      </c>
      <c r="G1484" s="66" t="s">
        <v>8</v>
      </c>
      <c r="H1484" s="66" t="str">
        <f>TEXT(Data[[#This Row],[Buchung]],"MMM")</f>
        <v>Jan</v>
      </c>
      <c r="I1484" s="67">
        <f>YEAR(Data[[#This Row],[Buchung]])</f>
        <v>2019</v>
      </c>
      <c r="J1484" s="2">
        <f>ABS(Data[[#This Row],[Betrag]])</f>
        <v>10</v>
      </c>
      <c r="K1484" s="66" t="str">
        <f>IF(Data[[#This Row],[Betrag]]&lt;0,"A","E")</f>
        <v>A</v>
      </c>
    </row>
    <row r="1485" spans="1:11" x14ac:dyDescent="0.25">
      <c r="A1485" s="1">
        <v>43488</v>
      </c>
      <c r="B1485" s="66" t="s">
        <v>63</v>
      </c>
      <c r="C1485" s="66" t="s">
        <v>64</v>
      </c>
      <c r="D1485" t="s">
        <v>65</v>
      </c>
      <c r="E1485">
        <v>-60</v>
      </c>
      <c r="F1485" s="66" t="s">
        <v>7</v>
      </c>
      <c r="G1485" s="66" t="s">
        <v>11</v>
      </c>
      <c r="H1485" s="66" t="str">
        <f>TEXT(Data[[#This Row],[Buchung]],"MMM")</f>
        <v>Jan</v>
      </c>
      <c r="I1485" s="67">
        <f>YEAR(Data[[#This Row],[Buchung]])</f>
        <v>2019</v>
      </c>
      <c r="J1485" s="2">
        <f>ABS(Data[[#This Row],[Betrag]])</f>
        <v>60</v>
      </c>
      <c r="K1485" s="66" t="str">
        <f>IF(Data[[#This Row],[Betrag]]&lt;0,"A","E")</f>
        <v>A</v>
      </c>
    </row>
    <row r="1486" spans="1:11" x14ac:dyDescent="0.25">
      <c r="A1486" s="1">
        <v>43489</v>
      </c>
      <c r="B1486" s="66" t="s">
        <v>54</v>
      </c>
      <c r="C1486" s="66" t="s">
        <v>55</v>
      </c>
      <c r="D1486" t="s">
        <v>66</v>
      </c>
      <c r="E1486">
        <v>-80</v>
      </c>
      <c r="F1486" s="66" t="s">
        <v>7</v>
      </c>
      <c r="G1486" s="66" t="s">
        <v>57</v>
      </c>
      <c r="H1486" s="66" t="str">
        <f>TEXT(Data[[#This Row],[Buchung]],"MMM")</f>
        <v>Jan</v>
      </c>
      <c r="I1486" s="67">
        <f>YEAR(Data[[#This Row],[Buchung]])</f>
        <v>2019</v>
      </c>
      <c r="J1486" s="2">
        <f>ABS(Data[[#This Row],[Betrag]])</f>
        <v>80</v>
      </c>
      <c r="K1486" s="66" t="str">
        <f>IF(Data[[#This Row],[Betrag]]&lt;0,"A","E")</f>
        <v>A</v>
      </c>
    </row>
    <row r="1487" spans="1:11" x14ac:dyDescent="0.25">
      <c r="A1487" s="1">
        <v>43490</v>
      </c>
      <c r="B1487" s="66" t="s">
        <v>67</v>
      </c>
      <c r="C1487" s="66" t="s">
        <v>59</v>
      </c>
      <c r="D1487" t="s">
        <v>68</v>
      </c>
      <c r="E1487">
        <v>-20</v>
      </c>
      <c r="F1487" s="66" t="s">
        <v>7</v>
      </c>
      <c r="G1487" s="66" t="s">
        <v>10</v>
      </c>
      <c r="H1487" s="66" t="str">
        <f>TEXT(Data[[#This Row],[Buchung]],"MMM")</f>
        <v>Jan</v>
      </c>
      <c r="I1487" s="67">
        <f>YEAR(Data[[#This Row],[Buchung]])</f>
        <v>2019</v>
      </c>
      <c r="J1487" s="2">
        <f>ABS(Data[[#This Row],[Betrag]])</f>
        <v>20</v>
      </c>
      <c r="K1487" s="66" t="str">
        <f>IF(Data[[#This Row],[Betrag]]&lt;0,"A","E")</f>
        <v>A</v>
      </c>
    </row>
    <row r="1488" spans="1:11" x14ac:dyDescent="0.25">
      <c r="A1488" s="1">
        <v>43491</v>
      </c>
      <c r="B1488" s="66" t="s">
        <v>45</v>
      </c>
      <c r="C1488" s="66" t="s">
        <v>46</v>
      </c>
      <c r="D1488" t="s">
        <v>47</v>
      </c>
      <c r="E1488">
        <v>1000</v>
      </c>
      <c r="F1488" s="66" t="s">
        <v>7</v>
      </c>
      <c r="G1488" s="66" t="s">
        <v>9</v>
      </c>
      <c r="H1488" s="66" t="str">
        <f>TEXT(Data[[#This Row],[Buchung]],"MMM")</f>
        <v>Jan</v>
      </c>
      <c r="I1488" s="67">
        <f>YEAR(Data[[#This Row],[Buchung]])</f>
        <v>2019</v>
      </c>
      <c r="J1488" s="2">
        <f>ABS(Data[[#This Row],[Betrag]])</f>
        <v>1000</v>
      </c>
      <c r="K1488" s="66" t="str">
        <f>IF(Data[[#This Row],[Betrag]]&lt;0,"A","E")</f>
        <v>E</v>
      </c>
    </row>
    <row r="1489" spans="1:11" x14ac:dyDescent="0.25">
      <c r="A1489" s="1">
        <v>43492</v>
      </c>
      <c r="B1489" s="66" t="s">
        <v>48</v>
      </c>
      <c r="C1489" s="66" t="s">
        <v>49</v>
      </c>
      <c r="D1489" t="s">
        <v>50</v>
      </c>
      <c r="E1489">
        <v>-15</v>
      </c>
      <c r="F1489" s="66" t="s">
        <v>7</v>
      </c>
      <c r="G1489" s="66" t="s">
        <v>8</v>
      </c>
      <c r="H1489" s="66" t="str">
        <f>TEXT(Data[[#This Row],[Buchung]],"MMM")</f>
        <v>Jan</v>
      </c>
      <c r="I1489" s="67">
        <f>YEAR(Data[[#This Row],[Buchung]])</f>
        <v>2019</v>
      </c>
      <c r="J1489" s="2">
        <f>ABS(Data[[#This Row],[Betrag]])</f>
        <v>15</v>
      </c>
      <c r="K1489" s="66" t="str">
        <f>IF(Data[[#This Row],[Betrag]]&lt;0,"A","E")</f>
        <v>A</v>
      </c>
    </row>
    <row r="1490" spans="1:11" x14ac:dyDescent="0.25">
      <c r="A1490" s="1">
        <v>43493</v>
      </c>
      <c r="B1490" s="66" t="s">
        <v>51</v>
      </c>
      <c r="C1490" s="66" t="s">
        <v>52</v>
      </c>
      <c r="D1490" t="s">
        <v>53</v>
      </c>
      <c r="E1490">
        <v>-350</v>
      </c>
      <c r="F1490" s="66" t="s">
        <v>7</v>
      </c>
      <c r="G1490" s="66" t="s">
        <v>11</v>
      </c>
      <c r="H1490" s="66" t="str">
        <f>TEXT(Data[[#This Row],[Buchung]],"MMM")</f>
        <v>Jan</v>
      </c>
      <c r="I1490" s="67">
        <f>YEAR(Data[[#This Row],[Buchung]])</f>
        <v>2019</v>
      </c>
      <c r="J1490" s="2">
        <f>ABS(Data[[#This Row],[Betrag]])</f>
        <v>350</v>
      </c>
      <c r="K1490" s="66" t="str">
        <f>IF(Data[[#This Row],[Betrag]]&lt;0,"A","E")</f>
        <v>A</v>
      </c>
    </row>
    <row r="1491" spans="1:11" x14ac:dyDescent="0.25">
      <c r="A1491" s="1">
        <v>43494</v>
      </c>
      <c r="B1491" s="66" t="s">
        <v>54</v>
      </c>
      <c r="C1491" s="66" t="s">
        <v>55</v>
      </c>
      <c r="D1491" t="s">
        <v>56</v>
      </c>
      <c r="E1491">
        <v>-120</v>
      </c>
      <c r="F1491" s="66" t="s">
        <v>7</v>
      </c>
      <c r="G1491" s="66" t="s">
        <v>57</v>
      </c>
      <c r="H1491" s="66" t="str">
        <f>TEXT(Data[[#This Row],[Buchung]],"MMM")</f>
        <v>Jan</v>
      </c>
      <c r="I1491" s="67">
        <f>YEAR(Data[[#This Row],[Buchung]])</f>
        <v>2019</v>
      </c>
      <c r="J1491" s="2">
        <f>ABS(Data[[#This Row],[Betrag]])</f>
        <v>120</v>
      </c>
      <c r="K1491" s="66" t="str">
        <f>IF(Data[[#This Row],[Betrag]]&lt;0,"A","E")</f>
        <v>A</v>
      </c>
    </row>
    <row r="1492" spans="1:11" x14ac:dyDescent="0.25">
      <c r="A1492" s="1">
        <v>43495</v>
      </c>
      <c r="B1492" s="66" t="s">
        <v>58</v>
      </c>
      <c r="C1492" s="66" t="s">
        <v>59</v>
      </c>
      <c r="D1492" t="s">
        <v>60</v>
      </c>
      <c r="E1492">
        <v>-60</v>
      </c>
      <c r="F1492" s="66" t="s">
        <v>7</v>
      </c>
      <c r="G1492" s="66" t="s">
        <v>10</v>
      </c>
      <c r="H1492" s="66" t="str">
        <f>TEXT(Data[[#This Row],[Buchung]],"MMM")</f>
        <v>Jan</v>
      </c>
      <c r="I1492" s="67">
        <f>YEAR(Data[[#This Row],[Buchung]])</f>
        <v>2019</v>
      </c>
      <c r="J1492" s="2">
        <f>ABS(Data[[#This Row],[Betrag]])</f>
        <v>60</v>
      </c>
      <c r="K1492" s="66" t="str">
        <f>IF(Data[[#This Row],[Betrag]]&lt;0,"A","E")</f>
        <v>A</v>
      </c>
    </row>
    <row r="1493" spans="1:11" x14ac:dyDescent="0.25">
      <c r="A1493" s="1">
        <v>43496</v>
      </c>
      <c r="B1493" s="66" t="s">
        <v>45</v>
      </c>
      <c r="C1493" s="66" t="s">
        <v>46</v>
      </c>
      <c r="D1493" t="s">
        <v>47</v>
      </c>
      <c r="E1493">
        <v>1000</v>
      </c>
      <c r="F1493" s="66" t="s">
        <v>7</v>
      </c>
      <c r="G1493" s="66" t="s">
        <v>9</v>
      </c>
      <c r="H1493" s="66" t="str">
        <f>TEXT(Data[[#This Row],[Buchung]],"MMM")</f>
        <v>Jan</v>
      </c>
      <c r="I1493" s="67">
        <f>YEAR(Data[[#This Row],[Buchung]])</f>
        <v>2019</v>
      </c>
      <c r="J1493" s="2">
        <f>ABS(Data[[#This Row],[Betrag]])</f>
        <v>1000</v>
      </c>
      <c r="K1493" s="66" t="str">
        <f>IF(Data[[#This Row],[Betrag]]&lt;0,"A","E")</f>
        <v>E</v>
      </c>
    </row>
    <row r="1494" spans="1:11" x14ac:dyDescent="0.25">
      <c r="A1494" s="1">
        <v>43497</v>
      </c>
      <c r="B1494" s="66" t="s">
        <v>61</v>
      </c>
      <c r="C1494" s="66" t="s">
        <v>49</v>
      </c>
      <c r="D1494" t="s">
        <v>62</v>
      </c>
      <c r="E1494">
        <v>-10</v>
      </c>
      <c r="F1494" s="66" t="s">
        <v>7</v>
      </c>
      <c r="G1494" s="66" t="s">
        <v>8</v>
      </c>
      <c r="H1494" s="66" t="str">
        <f>TEXT(Data[[#This Row],[Buchung]],"MMM")</f>
        <v>Feb</v>
      </c>
      <c r="I1494" s="67">
        <f>YEAR(Data[[#This Row],[Buchung]])</f>
        <v>2019</v>
      </c>
      <c r="J1494" s="2">
        <f>ABS(Data[[#This Row],[Betrag]])</f>
        <v>10</v>
      </c>
      <c r="K1494" s="66" t="str">
        <f>IF(Data[[#This Row],[Betrag]]&lt;0,"A","E")</f>
        <v>A</v>
      </c>
    </row>
    <row r="1495" spans="1:11" x14ac:dyDescent="0.25">
      <c r="A1495" s="1">
        <v>43498</v>
      </c>
      <c r="B1495" s="66" t="s">
        <v>63</v>
      </c>
      <c r="C1495" s="66" t="s">
        <v>64</v>
      </c>
      <c r="D1495" t="s">
        <v>65</v>
      </c>
      <c r="E1495">
        <v>-70</v>
      </c>
      <c r="F1495" s="66" t="s">
        <v>7</v>
      </c>
      <c r="G1495" s="66" t="s">
        <v>11</v>
      </c>
      <c r="H1495" s="66" t="str">
        <f>TEXT(Data[[#This Row],[Buchung]],"MMM")</f>
        <v>Feb</v>
      </c>
      <c r="I1495" s="67">
        <f>YEAR(Data[[#This Row],[Buchung]])</f>
        <v>2019</v>
      </c>
      <c r="J1495" s="2">
        <f>ABS(Data[[#This Row],[Betrag]])</f>
        <v>70</v>
      </c>
      <c r="K1495" s="66" t="str">
        <f>IF(Data[[#This Row],[Betrag]]&lt;0,"A","E")</f>
        <v>A</v>
      </c>
    </row>
    <row r="1496" spans="1:11" x14ac:dyDescent="0.25">
      <c r="A1496" s="1">
        <v>43499</v>
      </c>
      <c r="B1496" s="66" t="s">
        <v>54</v>
      </c>
      <c r="C1496" s="66" t="s">
        <v>55</v>
      </c>
      <c r="D1496" t="s">
        <v>66</v>
      </c>
      <c r="E1496">
        <v>-80</v>
      </c>
      <c r="F1496" s="66" t="s">
        <v>7</v>
      </c>
      <c r="G1496" s="66" t="s">
        <v>57</v>
      </c>
      <c r="H1496" s="66" t="str">
        <f>TEXT(Data[[#This Row],[Buchung]],"MMM")</f>
        <v>Feb</v>
      </c>
      <c r="I1496" s="67">
        <f>YEAR(Data[[#This Row],[Buchung]])</f>
        <v>2019</v>
      </c>
      <c r="J1496" s="2">
        <f>ABS(Data[[#This Row],[Betrag]])</f>
        <v>80</v>
      </c>
      <c r="K1496" s="66" t="str">
        <f>IF(Data[[#This Row],[Betrag]]&lt;0,"A","E")</f>
        <v>A</v>
      </c>
    </row>
    <row r="1497" spans="1:11" x14ac:dyDescent="0.25">
      <c r="A1497" s="1">
        <v>43500</v>
      </c>
      <c r="B1497" s="66" t="s">
        <v>67</v>
      </c>
      <c r="C1497" s="66" t="s">
        <v>59</v>
      </c>
      <c r="D1497" t="s">
        <v>68</v>
      </c>
      <c r="E1497">
        <v>-25</v>
      </c>
      <c r="F1497" s="66" t="s">
        <v>7</v>
      </c>
      <c r="G1497" s="66" t="s">
        <v>10</v>
      </c>
      <c r="H1497" s="66" t="str">
        <f>TEXT(Data[[#This Row],[Buchung]],"MMM")</f>
        <v>Feb</v>
      </c>
      <c r="I1497" s="67">
        <f>YEAR(Data[[#This Row],[Buchung]])</f>
        <v>2019</v>
      </c>
      <c r="J1497" s="2">
        <f>ABS(Data[[#This Row],[Betrag]])</f>
        <v>25</v>
      </c>
      <c r="K1497" s="66" t="str">
        <f>IF(Data[[#This Row],[Betrag]]&lt;0,"A","E")</f>
        <v>A</v>
      </c>
    </row>
    <row r="1498" spans="1:11" x14ac:dyDescent="0.25">
      <c r="A1498" s="1">
        <v>43501</v>
      </c>
      <c r="B1498" s="66" t="s">
        <v>45</v>
      </c>
      <c r="C1498" s="66" t="s">
        <v>46</v>
      </c>
      <c r="D1498" t="s">
        <v>47</v>
      </c>
      <c r="E1498">
        <v>1000</v>
      </c>
      <c r="F1498" s="66" t="s">
        <v>7</v>
      </c>
      <c r="G1498" s="66" t="s">
        <v>9</v>
      </c>
      <c r="H1498" s="66" t="str">
        <f>TEXT(Data[[#This Row],[Buchung]],"MMM")</f>
        <v>Feb</v>
      </c>
      <c r="I1498" s="67">
        <f>YEAR(Data[[#This Row],[Buchung]])</f>
        <v>2019</v>
      </c>
      <c r="J1498" s="2">
        <f>ABS(Data[[#This Row],[Betrag]])</f>
        <v>1000</v>
      </c>
      <c r="K1498" s="66" t="str">
        <f>IF(Data[[#This Row],[Betrag]]&lt;0,"A","E")</f>
        <v>E</v>
      </c>
    </row>
    <row r="1499" spans="1:11" x14ac:dyDescent="0.25">
      <c r="A1499" s="1">
        <v>43502</v>
      </c>
      <c r="B1499" s="66" t="s">
        <v>48</v>
      </c>
      <c r="C1499" s="66" t="s">
        <v>49</v>
      </c>
      <c r="D1499" t="s">
        <v>50</v>
      </c>
      <c r="E1499">
        <v>-15</v>
      </c>
      <c r="F1499" s="66" t="s">
        <v>7</v>
      </c>
      <c r="G1499" s="66" t="s">
        <v>8</v>
      </c>
      <c r="H1499" s="66" t="str">
        <f>TEXT(Data[[#This Row],[Buchung]],"MMM")</f>
        <v>Feb</v>
      </c>
      <c r="I1499" s="67">
        <f>YEAR(Data[[#This Row],[Buchung]])</f>
        <v>2019</v>
      </c>
      <c r="J1499" s="2">
        <f>ABS(Data[[#This Row],[Betrag]])</f>
        <v>15</v>
      </c>
      <c r="K1499" s="66" t="str">
        <f>IF(Data[[#This Row],[Betrag]]&lt;0,"A","E")</f>
        <v>A</v>
      </c>
    </row>
    <row r="1500" spans="1:11" x14ac:dyDescent="0.25">
      <c r="A1500" s="1">
        <v>43503</v>
      </c>
      <c r="B1500" s="66" t="s">
        <v>51</v>
      </c>
      <c r="C1500" s="66" t="s">
        <v>52</v>
      </c>
      <c r="D1500" t="s">
        <v>53</v>
      </c>
      <c r="E1500">
        <v>-350</v>
      </c>
      <c r="F1500" s="66" t="s">
        <v>7</v>
      </c>
      <c r="G1500" s="66" t="s">
        <v>11</v>
      </c>
      <c r="H1500" s="66" t="str">
        <f>TEXT(Data[[#This Row],[Buchung]],"MMM")</f>
        <v>Feb</v>
      </c>
      <c r="I1500" s="67">
        <f>YEAR(Data[[#This Row],[Buchung]])</f>
        <v>2019</v>
      </c>
      <c r="J1500" s="2">
        <f>ABS(Data[[#This Row],[Betrag]])</f>
        <v>350</v>
      </c>
      <c r="K1500" s="66" t="str">
        <f>IF(Data[[#This Row],[Betrag]]&lt;0,"A","E")</f>
        <v>A</v>
      </c>
    </row>
    <row r="1501" spans="1:11" x14ac:dyDescent="0.25">
      <c r="A1501" s="1">
        <v>43504</v>
      </c>
      <c r="B1501" s="66" t="s">
        <v>54</v>
      </c>
      <c r="C1501" s="66" t="s">
        <v>55</v>
      </c>
      <c r="D1501" t="s">
        <v>56</v>
      </c>
      <c r="E1501">
        <v>-120</v>
      </c>
      <c r="F1501" s="66" t="s">
        <v>7</v>
      </c>
      <c r="G1501" s="66" t="s">
        <v>57</v>
      </c>
      <c r="H1501" s="66" t="str">
        <f>TEXT(Data[[#This Row],[Buchung]],"MMM")</f>
        <v>Feb</v>
      </c>
      <c r="I1501" s="67">
        <f>YEAR(Data[[#This Row],[Buchung]])</f>
        <v>2019</v>
      </c>
      <c r="J1501" s="2">
        <f>ABS(Data[[#This Row],[Betrag]])</f>
        <v>120</v>
      </c>
      <c r="K1501" s="66" t="str">
        <f>IF(Data[[#This Row],[Betrag]]&lt;0,"A","E")</f>
        <v>A</v>
      </c>
    </row>
    <row r="1502" spans="1:11" x14ac:dyDescent="0.25">
      <c r="A1502" s="1">
        <v>43505</v>
      </c>
      <c r="B1502" s="66" t="s">
        <v>58</v>
      </c>
      <c r="C1502" s="66" t="s">
        <v>59</v>
      </c>
      <c r="D1502" t="s">
        <v>60</v>
      </c>
      <c r="E1502">
        <v>-70</v>
      </c>
      <c r="F1502" s="66" t="s">
        <v>7</v>
      </c>
      <c r="G1502" s="66" t="s">
        <v>10</v>
      </c>
      <c r="H1502" s="66" t="str">
        <f>TEXT(Data[[#This Row],[Buchung]],"MMM")</f>
        <v>Feb</v>
      </c>
      <c r="I1502" s="67">
        <f>YEAR(Data[[#This Row],[Buchung]])</f>
        <v>2019</v>
      </c>
      <c r="J1502" s="2">
        <f>ABS(Data[[#This Row],[Betrag]])</f>
        <v>70</v>
      </c>
      <c r="K1502" s="66" t="str">
        <f>IF(Data[[#This Row],[Betrag]]&lt;0,"A","E")</f>
        <v>A</v>
      </c>
    </row>
    <row r="1503" spans="1:11" x14ac:dyDescent="0.25">
      <c r="A1503" s="1">
        <v>43506</v>
      </c>
      <c r="B1503" s="66" t="s">
        <v>45</v>
      </c>
      <c r="C1503" s="66" t="s">
        <v>46</v>
      </c>
      <c r="D1503" t="s">
        <v>47</v>
      </c>
      <c r="E1503">
        <v>1000</v>
      </c>
      <c r="F1503" s="66" t="s">
        <v>7</v>
      </c>
      <c r="G1503" s="66" t="s">
        <v>9</v>
      </c>
      <c r="H1503" s="66" t="str">
        <f>TEXT(Data[[#This Row],[Buchung]],"MMM")</f>
        <v>Feb</v>
      </c>
      <c r="I1503" s="67">
        <f>YEAR(Data[[#This Row],[Buchung]])</f>
        <v>2019</v>
      </c>
      <c r="J1503" s="2">
        <f>ABS(Data[[#This Row],[Betrag]])</f>
        <v>1000</v>
      </c>
      <c r="K1503" s="66" t="str">
        <f>IF(Data[[#This Row],[Betrag]]&lt;0,"A","E")</f>
        <v>E</v>
      </c>
    </row>
    <row r="1504" spans="1:11" x14ac:dyDescent="0.25">
      <c r="A1504" s="1">
        <v>43507</v>
      </c>
      <c r="B1504" s="66" t="s">
        <v>61</v>
      </c>
      <c r="C1504" s="66" t="s">
        <v>49</v>
      </c>
      <c r="D1504" t="s">
        <v>62</v>
      </c>
      <c r="E1504">
        <v>-10</v>
      </c>
      <c r="F1504" s="66" t="s">
        <v>7</v>
      </c>
      <c r="G1504" s="66" t="s">
        <v>8</v>
      </c>
      <c r="H1504" s="66" t="str">
        <f>TEXT(Data[[#This Row],[Buchung]],"MMM")</f>
        <v>Feb</v>
      </c>
      <c r="I1504" s="67">
        <f>YEAR(Data[[#This Row],[Buchung]])</f>
        <v>2019</v>
      </c>
      <c r="J1504" s="2">
        <f>ABS(Data[[#This Row],[Betrag]])</f>
        <v>10</v>
      </c>
      <c r="K1504" s="66" t="str">
        <f>IF(Data[[#This Row],[Betrag]]&lt;0,"A","E")</f>
        <v>A</v>
      </c>
    </row>
    <row r="1505" spans="1:11" x14ac:dyDescent="0.25">
      <c r="A1505" s="1">
        <v>43508</v>
      </c>
      <c r="B1505" s="66" t="s">
        <v>63</v>
      </c>
      <c r="C1505" s="66" t="s">
        <v>64</v>
      </c>
      <c r="D1505" t="s">
        <v>65</v>
      </c>
      <c r="E1505">
        <v>-60</v>
      </c>
      <c r="F1505" s="66" t="s">
        <v>7</v>
      </c>
      <c r="G1505" s="66" t="s">
        <v>11</v>
      </c>
      <c r="H1505" s="66" t="str">
        <f>TEXT(Data[[#This Row],[Buchung]],"MMM")</f>
        <v>Feb</v>
      </c>
      <c r="I1505" s="67">
        <f>YEAR(Data[[#This Row],[Buchung]])</f>
        <v>2019</v>
      </c>
      <c r="J1505" s="2">
        <f>ABS(Data[[#This Row],[Betrag]])</f>
        <v>60</v>
      </c>
      <c r="K1505" s="66" t="str">
        <f>IF(Data[[#This Row],[Betrag]]&lt;0,"A","E")</f>
        <v>A</v>
      </c>
    </row>
    <row r="1506" spans="1:11" x14ac:dyDescent="0.25">
      <c r="A1506" s="1">
        <v>43509</v>
      </c>
      <c r="B1506" s="66" t="s">
        <v>54</v>
      </c>
      <c r="C1506" s="66" t="s">
        <v>55</v>
      </c>
      <c r="D1506" t="s">
        <v>66</v>
      </c>
      <c r="E1506">
        <v>-80</v>
      </c>
      <c r="F1506" s="66" t="s">
        <v>7</v>
      </c>
      <c r="G1506" s="66" t="s">
        <v>57</v>
      </c>
      <c r="H1506" s="66" t="str">
        <f>TEXT(Data[[#This Row],[Buchung]],"MMM")</f>
        <v>Feb</v>
      </c>
      <c r="I1506" s="67">
        <f>YEAR(Data[[#This Row],[Buchung]])</f>
        <v>2019</v>
      </c>
      <c r="J1506" s="2">
        <f>ABS(Data[[#This Row],[Betrag]])</f>
        <v>80</v>
      </c>
      <c r="K1506" s="66" t="str">
        <f>IF(Data[[#This Row],[Betrag]]&lt;0,"A","E")</f>
        <v>A</v>
      </c>
    </row>
    <row r="1507" spans="1:11" x14ac:dyDescent="0.25">
      <c r="A1507" s="1">
        <v>43510</v>
      </c>
      <c r="B1507" s="66" t="s">
        <v>67</v>
      </c>
      <c r="C1507" s="66" t="s">
        <v>59</v>
      </c>
      <c r="D1507" t="s">
        <v>68</v>
      </c>
      <c r="E1507">
        <v>-30</v>
      </c>
      <c r="F1507" s="66" t="s">
        <v>7</v>
      </c>
      <c r="G1507" s="66" t="s">
        <v>10</v>
      </c>
      <c r="H1507" s="66" t="str">
        <f>TEXT(Data[[#This Row],[Buchung]],"MMM")</f>
        <v>Feb</v>
      </c>
      <c r="I1507" s="67">
        <f>YEAR(Data[[#This Row],[Buchung]])</f>
        <v>2019</v>
      </c>
      <c r="J1507" s="2">
        <f>ABS(Data[[#This Row],[Betrag]])</f>
        <v>30</v>
      </c>
      <c r="K1507" s="66" t="str">
        <f>IF(Data[[#This Row],[Betrag]]&lt;0,"A","E")</f>
        <v>A</v>
      </c>
    </row>
    <row r="1508" spans="1:11" x14ac:dyDescent="0.25">
      <c r="A1508" s="1">
        <v>43511</v>
      </c>
      <c r="B1508" s="66" t="s">
        <v>45</v>
      </c>
      <c r="C1508" s="66" t="s">
        <v>46</v>
      </c>
      <c r="D1508" t="s">
        <v>47</v>
      </c>
      <c r="E1508">
        <v>1000</v>
      </c>
      <c r="F1508" s="66" t="s">
        <v>7</v>
      </c>
      <c r="G1508" s="66" t="s">
        <v>9</v>
      </c>
      <c r="H1508" s="66" t="str">
        <f>TEXT(Data[[#This Row],[Buchung]],"MMM")</f>
        <v>Feb</v>
      </c>
      <c r="I1508" s="67">
        <f>YEAR(Data[[#This Row],[Buchung]])</f>
        <v>2019</v>
      </c>
      <c r="J1508" s="2">
        <f>ABS(Data[[#This Row],[Betrag]])</f>
        <v>1000</v>
      </c>
      <c r="K1508" s="66" t="str">
        <f>IF(Data[[#This Row],[Betrag]]&lt;0,"A","E")</f>
        <v>E</v>
      </c>
    </row>
    <row r="1509" spans="1:11" x14ac:dyDescent="0.25">
      <c r="A1509" s="1">
        <v>43512</v>
      </c>
      <c r="B1509" s="66" t="s">
        <v>48</v>
      </c>
      <c r="C1509" s="66" t="s">
        <v>49</v>
      </c>
      <c r="D1509" t="s">
        <v>50</v>
      </c>
      <c r="E1509">
        <v>-15</v>
      </c>
      <c r="F1509" s="66" t="s">
        <v>7</v>
      </c>
      <c r="G1509" s="66" t="s">
        <v>8</v>
      </c>
      <c r="H1509" s="66" t="str">
        <f>TEXT(Data[[#This Row],[Buchung]],"MMM")</f>
        <v>Feb</v>
      </c>
      <c r="I1509" s="67">
        <f>YEAR(Data[[#This Row],[Buchung]])</f>
        <v>2019</v>
      </c>
      <c r="J1509" s="2">
        <f>ABS(Data[[#This Row],[Betrag]])</f>
        <v>15</v>
      </c>
      <c r="K1509" s="66" t="str">
        <f>IF(Data[[#This Row],[Betrag]]&lt;0,"A","E")</f>
        <v>A</v>
      </c>
    </row>
    <row r="1510" spans="1:11" x14ac:dyDescent="0.25">
      <c r="A1510" s="1">
        <v>43513</v>
      </c>
      <c r="B1510" s="66" t="s">
        <v>51</v>
      </c>
      <c r="C1510" s="66" t="s">
        <v>52</v>
      </c>
      <c r="D1510" t="s">
        <v>53</v>
      </c>
      <c r="E1510">
        <v>-350</v>
      </c>
      <c r="F1510" s="66" t="s">
        <v>7</v>
      </c>
      <c r="G1510" s="66" t="s">
        <v>11</v>
      </c>
      <c r="H1510" s="66" t="str">
        <f>TEXT(Data[[#This Row],[Buchung]],"MMM")</f>
        <v>Feb</v>
      </c>
      <c r="I1510" s="67">
        <f>YEAR(Data[[#This Row],[Buchung]])</f>
        <v>2019</v>
      </c>
      <c r="J1510" s="2">
        <f>ABS(Data[[#This Row],[Betrag]])</f>
        <v>350</v>
      </c>
      <c r="K1510" s="66" t="str">
        <f>IF(Data[[#This Row],[Betrag]]&lt;0,"A","E")</f>
        <v>A</v>
      </c>
    </row>
    <row r="1511" spans="1:11" x14ac:dyDescent="0.25">
      <c r="A1511" s="1">
        <v>43514</v>
      </c>
      <c r="B1511" s="66" t="s">
        <v>54</v>
      </c>
      <c r="C1511" s="66" t="s">
        <v>55</v>
      </c>
      <c r="D1511" t="s">
        <v>56</v>
      </c>
      <c r="E1511">
        <v>-120</v>
      </c>
      <c r="F1511" s="66" t="s">
        <v>7</v>
      </c>
      <c r="G1511" s="66" t="s">
        <v>57</v>
      </c>
      <c r="H1511" s="66" t="str">
        <f>TEXT(Data[[#This Row],[Buchung]],"MMM")</f>
        <v>Feb</v>
      </c>
      <c r="I1511" s="67">
        <f>YEAR(Data[[#This Row],[Buchung]])</f>
        <v>2019</v>
      </c>
      <c r="J1511" s="2">
        <f>ABS(Data[[#This Row],[Betrag]])</f>
        <v>120</v>
      </c>
      <c r="K1511" s="66" t="str">
        <f>IF(Data[[#This Row],[Betrag]]&lt;0,"A","E")</f>
        <v>A</v>
      </c>
    </row>
    <row r="1512" spans="1:11" x14ac:dyDescent="0.25">
      <c r="A1512" s="1">
        <v>43515</v>
      </c>
      <c r="B1512" s="66" t="s">
        <v>58</v>
      </c>
      <c r="C1512" s="66" t="s">
        <v>59</v>
      </c>
      <c r="D1512" t="s">
        <v>60</v>
      </c>
      <c r="E1512">
        <v>-80</v>
      </c>
      <c r="F1512" s="66" t="s">
        <v>7</v>
      </c>
      <c r="G1512" s="66" t="s">
        <v>10</v>
      </c>
      <c r="H1512" s="66" t="str">
        <f>TEXT(Data[[#This Row],[Buchung]],"MMM")</f>
        <v>Feb</v>
      </c>
      <c r="I1512" s="67">
        <f>YEAR(Data[[#This Row],[Buchung]])</f>
        <v>2019</v>
      </c>
      <c r="J1512" s="2">
        <f>ABS(Data[[#This Row],[Betrag]])</f>
        <v>80</v>
      </c>
      <c r="K1512" s="66" t="str">
        <f>IF(Data[[#This Row],[Betrag]]&lt;0,"A","E")</f>
        <v>A</v>
      </c>
    </row>
    <row r="1513" spans="1:11" x14ac:dyDescent="0.25">
      <c r="A1513" s="1">
        <v>43516</v>
      </c>
      <c r="B1513" s="66" t="s">
        <v>45</v>
      </c>
      <c r="C1513" s="66" t="s">
        <v>46</v>
      </c>
      <c r="D1513" t="s">
        <v>47</v>
      </c>
      <c r="E1513">
        <v>1000</v>
      </c>
      <c r="F1513" s="66" t="s">
        <v>7</v>
      </c>
      <c r="G1513" s="66" t="s">
        <v>9</v>
      </c>
      <c r="H1513" s="66" t="str">
        <f>TEXT(Data[[#This Row],[Buchung]],"MMM")</f>
        <v>Feb</v>
      </c>
      <c r="I1513" s="67">
        <f>YEAR(Data[[#This Row],[Buchung]])</f>
        <v>2019</v>
      </c>
      <c r="J1513" s="2">
        <f>ABS(Data[[#This Row],[Betrag]])</f>
        <v>1000</v>
      </c>
      <c r="K1513" s="66" t="str">
        <f>IF(Data[[#This Row],[Betrag]]&lt;0,"A","E")</f>
        <v>E</v>
      </c>
    </row>
    <row r="1514" spans="1:11" x14ac:dyDescent="0.25">
      <c r="A1514" s="1">
        <v>43517</v>
      </c>
      <c r="B1514" s="66" t="s">
        <v>61</v>
      </c>
      <c r="C1514" s="66" t="s">
        <v>49</v>
      </c>
      <c r="D1514" t="s">
        <v>62</v>
      </c>
      <c r="E1514">
        <v>-10</v>
      </c>
      <c r="F1514" s="66" t="s">
        <v>7</v>
      </c>
      <c r="G1514" s="66" t="s">
        <v>8</v>
      </c>
      <c r="H1514" s="66" t="str">
        <f>TEXT(Data[[#This Row],[Buchung]],"MMM")</f>
        <v>Feb</v>
      </c>
      <c r="I1514" s="67">
        <f>YEAR(Data[[#This Row],[Buchung]])</f>
        <v>2019</v>
      </c>
      <c r="J1514" s="2">
        <f>ABS(Data[[#This Row],[Betrag]])</f>
        <v>10</v>
      </c>
      <c r="K1514" s="66" t="str">
        <f>IF(Data[[#This Row],[Betrag]]&lt;0,"A","E")</f>
        <v>A</v>
      </c>
    </row>
    <row r="1515" spans="1:11" x14ac:dyDescent="0.25">
      <c r="A1515" s="1">
        <v>43518</v>
      </c>
      <c r="B1515" s="66" t="s">
        <v>63</v>
      </c>
      <c r="C1515" s="66" t="s">
        <v>64</v>
      </c>
      <c r="D1515" t="s">
        <v>65</v>
      </c>
      <c r="E1515">
        <v>-65</v>
      </c>
      <c r="F1515" s="66" t="s">
        <v>7</v>
      </c>
      <c r="G1515" s="66" t="s">
        <v>11</v>
      </c>
      <c r="H1515" s="66" t="str">
        <f>TEXT(Data[[#This Row],[Buchung]],"MMM")</f>
        <v>Feb</v>
      </c>
      <c r="I1515" s="67">
        <f>YEAR(Data[[#This Row],[Buchung]])</f>
        <v>2019</v>
      </c>
      <c r="J1515" s="2">
        <f>ABS(Data[[#This Row],[Betrag]])</f>
        <v>65</v>
      </c>
      <c r="K1515" s="66" t="str">
        <f>IF(Data[[#This Row],[Betrag]]&lt;0,"A","E")</f>
        <v>A</v>
      </c>
    </row>
    <row r="1516" spans="1:11" x14ac:dyDescent="0.25">
      <c r="A1516" s="1">
        <v>43519</v>
      </c>
      <c r="B1516" s="66" t="s">
        <v>54</v>
      </c>
      <c r="C1516" s="66" t="s">
        <v>55</v>
      </c>
      <c r="D1516" t="s">
        <v>66</v>
      </c>
      <c r="E1516">
        <v>-80</v>
      </c>
      <c r="F1516" s="66" t="s">
        <v>7</v>
      </c>
      <c r="G1516" s="66" t="s">
        <v>57</v>
      </c>
      <c r="H1516" s="66" t="str">
        <f>TEXT(Data[[#This Row],[Buchung]],"MMM")</f>
        <v>Feb</v>
      </c>
      <c r="I1516" s="67">
        <f>YEAR(Data[[#This Row],[Buchung]])</f>
        <v>2019</v>
      </c>
      <c r="J1516" s="2">
        <f>ABS(Data[[#This Row],[Betrag]])</f>
        <v>80</v>
      </c>
      <c r="K1516" s="66" t="str">
        <f>IF(Data[[#This Row],[Betrag]]&lt;0,"A","E")</f>
        <v>A</v>
      </c>
    </row>
    <row r="1517" spans="1:11" x14ac:dyDescent="0.25">
      <c r="A1517" s="1">
        <v>43520</v>
      </c>
      <c r="B1517" s="66" t="s">
        <v>67</v>
      </c>
      <c r="C1517" s="66" t="s">
        <v>59</v>
      </c>
      <c r="D1517" t="s">
        <v>68</v>
      </c>
      <c r="E1517">
        <v>-35</v>
      </c>
      <c r="F1517" s="66" t="s">
        <v>7</v>
      </c>
      <c r="G1517" s="66" t="s">
        <v>10</v>
      </c>
      <c r="H1517" s="66" t="str">
        <f>TEXT(Data[[#This Row],[Buchung]],"MMM")</f>
        <v>Feb</v>
      </c>
      <c r="I1517" s="67">
        <f>YEAR(Data[[#This Row],[Buchung]])</f>
        <v>2019</v>
      </c>
      <c r="J1517" s="2">
        <f>ABS(Data[[#This Row],[Betrag]])</f>
        <v>35</v>
      </c>
      <c r="K1517" s="66" t="str">
        <f>IF(Data[[#This Row],[Betrag]]&lt;0,"A","E")</f>
        <v>A</v>
      </c>
    </row>
    <row r="1518" spans="1:11" x14ac:dyDescent="0.25">
      <c r="A1518" s="1">
        <v>43521</v>
      </c>
      <c r="B1518" s="66" t="s">
        <v>45</v>
      </c>
      <c r="C1518" s="66" t="s">
        <v>46</v>
      </c>
      <c r="D1518" t="s">
        <v>47</v>
      </c>
      <c r="E1518">
        <v>1000</v>
      </c>
      <c r="F1518" s="66" t="s">
        <v>7</v>
      </c>
      <c r="G1518" s="66" t="s">
        <v>9</v>
      </c>
      <c r="H1518" s="66" t="str">
        <f>TEXT(Data[[#This Row],[Buchung]],"MMM")</f>
        <v>Feb</v>
      </c>
      <c r="I1518" s="67">
        <f>YEAR(Data[[#This Row],[Buchung]])</f>
        <v>2019</v>
      </c>
      <c r="J1518" s="2">
        <f>ABS(Data[[#This Row],[Betrag]])</f>
        <v>1000</v>
      </c>
      <c r="K1518" s="66" t="str">
        <f>IF(Data[[#This Row],[Betrag]]&lt;0,"A","E")</f>
        <v>E</v>
      </c>
    </row>
    <row r="1519" spans="1:11" x14ac:dyDescent="0.25">
      <c r="A1519" s="1">
        <v>43522</v>
      </c>
      <c r="B1519" s="66" t="s">
        <v>45</v>
      </c>
      <c r="C1519" s="66" t="s">
        <v>46</v>
      </c>
      <c r="D1519" t="s">
        <v>47</v>
      </c>
      <c r="E1519">
        <v>1000</v>
      </c>
      <c r="F1519" s="66" t="s">
        <v>7</v>
      </c>
      <c r="G1519" s="66" t="s">
        <v>9</v>
      </c>
      <c r="H1519" s="66" t="str">
        <f>TEXT(Data[[#This Row],[Buchung]],"MMM")</f>
        <v>Feb</v>
      </c>
      <c r="I1519" s="67">
        <f>YEAR(Data[[#This Row],[Buchung]])</f>
        <v>2019</v>
      </c>
      <c r="J1519" s="2">
        <f>ABS(Data[[#This Row],[Betrag]])</f>
        <v>1000</v>
      </c>
      <c r="K1519" s="66" t="str">
        <f>IF(Data[[#This Row],[Betrag]]&lt;0,"A","E")</f>
        <v>E</v>
      </c>
    </row>
    <row r="1520" spans="1:11" x14ac:dyDescent="0.25">
      <c r="A1520" s="1">
        <v>43523</v>
      </c>
      <c r="B1520" s="66" t="s">
        <v>48</v>
      </c>
      <c r="C1520" s="66" t="s">
        <v>49</v>
      </c>
      <c r="D1520" t="s">
        <v>50</v>
      </c>
      <c r="E1520">
        <v>-15</v>
      </c>
      <c r="F1520" s="66" t="s">
        <v>7</v>
      </c>
      <c r="G1520" s="66" t="s">
        <v>8</v>
      </c>
      <c r="H1520" s="66" t="str">
        <f>TEXT(Data[[#This Row],[Buchung]],"MMM")</f>
        <v>Feb</v>
      </c>
      <c r="I1520" s="67">
        <f>YEAR(Data[[#This Row],[Buchung]])</f>
        <v>2019</v>
      </c>
      <c r="J1520" s="2">
        <f>ABS(Data[[#This Row],[Betrag]])</f>
        <v>15</v>
      </c>
      <c r="K1520" s="66" t="str">
        <f>IF(Data[[#This Row],[Betrag]]&lt;0,"A","E")</f>
        <v>A</v>
      </c>
    </row>
    <row r="1521" spans="1:11" x14ac:dyDescent="0.25">
      <c r="A1521" s="1">
        <v>43524</v>
      </c>
      <c r="B1521" s="66" t="s">
        <v>51</v>
      </c>
      <c r="C1521" s="66" t="s">
        <v>52</v>
      </c>
      <c r="D1521" t="s">
        <v>53</v>
      </c>
      <c r="E1521">
        <v>-350</v>
      </c>
      <c r="F1521" s="66" t="s">
        <v>7</v>
      </c>
      <c r="G1521" s="66" t="s">
        <v>11</v>
      </c>
      <c r="H1521" s="66" t="str">
        <f>TEXT(Data[[#This Row],[Buchung]],"MMM")</f>
        <v>Feb</v>
      </c>
      <c r="I1521" s="67">
        <f>YEAR(Data[[#This Row],[Buchung]])</f>
        <v>2019</v>
      </c>
      <c r="J1521" s="2">
        <f>ABS(Data[[#This Row],[Betrag]])</f>
        <v>350</v>
      </c>
      <c r="K1521" s="66" t="str">
        <f>IF(Data[[#This Row],[Betrag]]&lt;0,"A","E")</f>
        <v>A</v>
      </c>
    </row>
    <row r="1522" spans="1:11" x14ac:dyDescent="0.25">
      <c r="A1522" s="1">
        <v>43525</v>
      </c>
      <c r="B1522" s="66" t="s">
        <v>54</v>
      </c>
      <c r="C1522" s="66" t="s">
        <v>55</v>
      </c>
      <c r="D1522" t="s">
        <v>56</v>
      </c>
      <c r="E1522">
        <v>-120</v>
      </c>
      <c r="F1522" s="66" t="s">
        <v>7</v>
      </c>
      <c r="G1522" s="66" t="s">
        <v>57</v>
      </c>
      <c r="H1522" s="66" t="str">
        <f>TEXT(Data[[#This Row],[Buchung]],"MMM")</f>
        <v>Mrz</v>
      </c>
      <c r="I1522" s="67">
        <f>YEAR(Data[[#This Row],[Buchung]])</f>
        <v>2019</v>
      </c>
      <c r="J1522" s="2">
        <f>ABS(Data[[#This Row],[Betrag]])</f>
        <v>120</v>
      </c>
      <c r="K1522" s="66" t="str">
        <f>IF(Data[[#This Row],[Betrag]]&lt;0,"A","E")</f>
        <v>A</v>
      </c>
    </row>
    <row r="1523" spans="1:11" x14ac:dyDescent="0.25">
      <c r="A1523" s="1">
        <v>43526</v>
      </c>
      <c r="B1523" s="66" t="s">
        <v>58</v>
      </c>
      <c r="C1523" s="66" t="s">
        <v>59</v>
      </c>
      <c r="D1523" t="s">
        <v>60</v>
      </c>
      <c r="E1523">
        <v>-50</v>
      </c>
      <c r="F1523" s="66" t="s">
        <v>7</v>
      </c>
      <c r="G1523" s="66" t="s">
        <v>10</v>
      </c>
      <c r="H1523" s="66" t="str">
        <f>TEXT(Data[[#This Row],[Buchung]],"MMM")</f>
        <v>Mrz</v>
      </c>
      <c r="I1523" s="67">
        <f>YEAR(Data[[#This Row],[Buchung]])</f>
        <v>2019</v>
      </c>
      <c r="J1523" s="2">
        <f>ABS(Data[[#This Row],[Betrag]])</f>
        <v>50</v>
      </c>
      <c r="K1523" s="66" t="str">
        <f>IF(Data[[#This Row],[Betrag]]&lt;0,"A","E")</f>
        <v>A</v>
      </c>
    </row>
    <row r="1524" spans="1:11" x14ac:dyDescent="0.25">
      <c r="A1524" s="1">
        <v>43527</v>
      </c>
      <c r="B1524" s="66" t="s">
        <v>45</v>
      </c>
      <c r="C1524" s="66" t="s">
        <v>46</v>
      </c>
      <c r="D1524" t="s">
        <v>47</v>
      </c>
      <c r="E1524">
        <v>1000</v>
      </c>
      <c r="F1524" s="66" t="s">
        <v>7</v>
      </c>
      <c r="G1524" s="66" t="s">
        <v>9</v>
      </c>
      <c r="H1524" s="66" t="str">
        <f>TEXT(Data[[#This Row],[Buchung]],"MMM")</f>
        <v>Mrz</v>
      </c>
      <c r="I1524" s="67">
        <f>YEAR(Data[[#This Row],[Buchung]])</f>
        <v>2019</v>
      </c>
      <c r="J1524" s="2">
        <f>ABS(Data[[#This Row],[Betrag]])</f>
        <v>1000</v>
      </c>
      <c r="K1524" s="66" t="str">
        <f>IF(Data[[#This Row],[Betrag]]&lt;0,"A","E")</f>
        <v>E</v>
      </c>
    </row>
    <row r="1525" spans="1:11" x14ac:dyDescent="0.25">
      <c r="A1525" s="1">
        <v>43528</v>
      </c>
      <c r="B1525" s="66" t="s">
        <v>61</v>
      </c>
      <c r="C1525" s="66" t="s">
        <v>49</v>
      </c>
      <c r="D1525" t="s">
        <v>62</v>
      </c>
      <c r="E1525">
        <v>-10</v>
      </c>
      <c r="F1525" s="66" t="s">
        <v>7</v>
      </c>
      <c r="G1525" s="66" t="s">
        <v>8</v>
      </c>
      <c r="H1525" s="66" t="str">
        <f>TEXT(Data[[#This Row],[Buchung]],"MMM")</f>
        <v>Mrz</v>
      </c>
      <c r="I1525" s="67">
        <f>YEAR(Data[[#This Row],[Buchung]])</f>
        <v>2019</v>
      </c>
      <c r="J1525" s="2">
        <f>ABS(Data[[#This Row],[Betrag]])</f>
        <v>10</v>
      </c>
      <c r="K1525" s="66" t="str">
        <f>IF(Data[[#This Row],[Betrag]]&lt;0,"A","E")</f>
        <v>A</v>
      </c>
    </row>
    <row r="1526" spans="1:11" x14ac:dyDescent="0.25">
      <c r="A1526" s="1">
        <v>43529</v>
      </c>
      <c r="B1526" s="66" t="s">
        <v>63</v>
      </c>
      <c r="C1526" s="66" t="s">
        <v>64</v>
      </c>
      <c r="D1526" t="s">
        <v>65</v>
      </c>
      <c r="E1526">
        <v>-60</v>
      </c>
      <c r="F1526" s="66" t="s">
        <v>7</v>
      </c>
      <c r="G1526" s="66" t="s">
        <v>11</v>
      </c>
      <c r="H1526" s="66" t="str">
        <f>TEXT(Data[[#This Row],[Buchung]],"MMM")</f>
        <v>Mrz</v>
      </c>
      <c r="I1526" s="67">
        <f>YEAR(Data[[#This Row],[Buchung]])</f>
        <v>2019</v>
      </c>
      <c r="J1526" s="2">
        <f>ABS(Data[[#This Row],[Betrag]])</f>
        <v>60</v>
      </c>
      <c r="K1526" s="66" t="str">
        <f>IF(Data[[#This Row],[Betrag]]&lt;0,"A","E")</f>
        <v>A</v>
      </c>
    </row>
    <row r="1527" spans="1:11" x14ac:dyDescent="0.25">
      <c r="A1527" s="1">
        <v>43530</v>
      </c>
      <c r="B1527" s="66" t="s">
        <v>54</v>
      </c>
      <c r="C1527" s="66" t="s">
        <v>55</v>
      </c>
      <c r="D1527" t="s">
        <v>66</v>
      </c>
      <c r="E1527">
        <v>-80</v>
      </c>
      <c r="F1527" s="66" t="s">
        <v>7</v>
      </c>
      <c r="G1527" s="66" t="s">
        <v>57</v>
      </c>
      <c r="H1527" s="66" t="str">
        <f>TEXT(Data[[#This Row],[Buchung]],"MMM")</f>
        <v>Mrz</v>
      </c>
      <c r="I1527" s="67">
        <f>YEAR(Data[[#This Row],[Buchung]])</f>
        <v>2019</v>
      </c>
      <c r="J1527" s="2">
        <f>ABS(Data[[#This Row],[Betrag]])</f>
        <v>80</v>
      </c>
      <c r="K1527" s="66" t="str">
        <f>IF(Data[[#This Row],[Betrag]]&lt;0,"A","E")</f>
        <v>A</v>
      </c>
    </row>
    <row r="1528" spans="1:11" x14ac:dyDescent="0.25">
      <c r="A1528" s="1">
        <v>43531</v>
      </c>
      <c r="B1528" s="66" t="s">
        <v>67</v>
      </c>
      <c r="C1528" s="66" t="s">
        <v>59</v>
      </c>
      <c r="D1528" t="s">
        <v>68</v>
      </c>
      <c r="E1528">
        <v>-20</v>
      </c>
      <c r="F1528" s="66" t="s">
        <v>7</v>
      </c>
      <c r="G1528" s="66" t="s">
        <v>10</v>
      </c>
      <c r="H1528" s="66" t="str">
        <f>TEXT(Data[[#This Row],[Buchung]],"MMM")</f>
        <v>Mrz</v>
      </c>
      <c r="I1528" s="67">
        <f>YEAR(Data[[#This Row],[Buchung]])</f>
        <v>2019</v>
      </c>
      <c r="J1528" s="2">
        <f>ABS(Data[[#This Row],[Betrag]])</f>
        <v>20</v>
      </c>
      <c r="K1528" s="66" t="str">
        <f>IF(Data[[#This Row],[Betrag]]&lt;0,"A","E")</f>
        <v>A</v>
      </c>
    </row>
    <row r="1529" spans="1:11" x14ac:dyDescent="0.25">
      <c r="A1529" s="1">
        <v>43532</v>
      </c>
      <c r="B1529" s="66" t="s">
        <v>45</v>
      </c>
      <c r="C1529" s="66" t="s">
        <v>46</v>
      </c>
      <c r="D1529" t="s">
        <v>47</v>
      </c>
      <c r="E1529">
        <v>1000</v>
      </c>
      <c r="F1529" s="66" t="s">
        <v>7</v>
      </c>
      <c r="G1529" s="66" t="s">
        <v>9</v>
      </c>
      <c r="H1529" s="66" t="str">
        <f>TEXT(Data[[#This Row],[Buchung]],"MMM")</f>
        <v>Mrz</v>
      </c>
      <c r="I1529" s="67">
        <f>YEAR(Data[[#This Row],[Buchung]])</f>
        <v>2019</v>
      </c>
      <c r="J1529" s="2">
        <f>ABS(Data[[#This Row],[Betrag]])</f>
        <v>1000</v>
      </c>
      <c r="K1529" s="66" t="str">
        <f>IF(Data[[#This Row],[Betrag]]&lt;0,"A","E")</f>
        <v>E</v>
      </c>
    </row>
    <row r="1530" spans="1:11" x14ac:dyDescent="0.25">
      <c r="A1530" s="1">
        <v>43533</v>
      </c>
      <c r="B1530" s="66" t="s">
        <v>48</v>
      </c>
      <c r="C1530" s="66" t="s">
        <v>49</v>
      </c>
      <c r="D1530" t="s">
        <v>50</v>
      </c>
      <c r="E1530">
        <v>-15</v>
      </c>
      <c r="F1530" s="66" t="s">
        <v>7</v>
      </c>
      <c r="G1530" s="66" t="s">
        <v>8</v>
      </c>
      <c r="H1530" s="66" t="str">
        <f>TEXT(Data[[#This Row],[Buchung]],"MMM")</f>
        <v>Mrz</v>
      </c>
      <c r="I1530" s="67">
        <f>YEAR(Data[[#This Row],[Buchung]])</f>
        <v>2019</v>
      </c>
      <c r="J1530" s="2">
        <f>ABS(Data[[#This Row],[Betrag]])</f>
        <v>15</v>
      </c>
      <c r="K1530" s="66" t="str">
        <f>IF(Data[[#This Row],[Betrag]]&lt;0,"A","E")</f>
        <v>A</v>
      </c>
    </row>
    <row r="1531" spans="1:11" x14ac:dyDescent="0.25">
      <c r="A1531" s="1">
        <v>43534</v>
      </c>
      <c r="B1531" s="66" t="s">
        <v>51</v>
      </c>
      <c r="C1531" s="66" t="s">
        <v>52</v>
      </c>
      <c r="D1531" t="s">
        <v>53</v>
      </c>
      <c r="E1531">
        <v>-350</v>
      </c>
      <c r="F1531" s="66" t="s">
        <v>7</v>
      </c>
      <c r="G1531" s="66" t="s">
        <v>11</v>
      </c>
      <c r="H1531" s="66" t="str">
        <f>TEXT(Data[[#This Row],[Buchung]],"MMM")</f>
        <v>Mrz</v>
      </c>
      <c r="I1531" s="67">
        <f>YEAR(Data[[#This Row],[Buchung]])</f>
        <v>2019</v>
      </c>
      <c r="J1531" s="2">
        <f>ABS(Data[[#This Row],[Betrag]])</f>
        <v>350</v>
      </c>
      <c r="K1531" s="66" t="str">
        <f>IF(Data[[#This Row],[Betrag]]&lt;0,"A","E")</f>
        <v>A</v>
      </c>
    </row>
    <row r="1532" spans="1:11" x14ac:dyDescent="0.25">
      <c r="A1532" s="1">
        <v>43535</v>
      </c>
      <c r="B1532" s="66" t="s">
        <v>54</v>
      </c>
      <c r="C1532" s="66" t="s">
        <v>55</v>
      </c>
      <c r="D1532" t="s">
        <v>56</v>
      </c>
      <c r="E1532">
        <v>-120</v>
      </c>
      <c r="F1532" s="66" t="s">
        <v>7</v>
      </c>
      <c r="G1532" s="66" t="s">
        <v>57</v>
      </c>
      <c r="H1532" s="66" t="str">
        <f>TEXT(Data[[#This Row],[Buchung]],"MMM")</f>
        <v>Mrz</v>
      </c>
      <c r="I1532" s="67">
        <f>YEAR(Data[[#This Row],[Buchung]])</f>
        <v>2019</v>
      </c>
      <c r="J1532" s="2">
        <f>ABS(Data[[#This Row],[Betrag]])</f>
        <v>120</v>
      </c>
      <c r="K1532" s="66" t="str">
        <f>IF(Data[[#This Row],[Betrag]]&lt;0,"A","E")</f>
        <v>A</v>
      </c>
    </row>
    <row r="1533" spans="1:11" x14ac:dyDescent="0.25">
      <c r="A1533" s="1">
        <v>43536</v>
      </c>
      <c r="B1533" s="66" t="s">
        <v>58</v>
      </c>
      <c r="C1533" s="66" t="s">
        <v>59</v>
      </c>
      <c r="D1533" t="s">
        <v>60</v>
      </c>
      <c r="E1533">
        <v>-60</v>
      </c>
      <c r="F1533" s="66" t="s">
        <v>7</v>
      </c>
      <c r="G1533" s="66" t="s">
        <v>10</v>
      </c>
      <c r="H1533" s="66" t="str">
        <f>TEXT(Data[[#This Row],[Buchung]],"MMM")</f>
        <v>Mrz</v>
      </c>
      <c r="I1533" s="67">
        <f>YEAR(Data[[#This Row],[Buchung]])</f>
        <v>2019</v>
      </c>
      <c r="J1533" s="2">
        <f>ABS(Data[[#This Row],[Betrag]])</f>
        <v>60</v>
      </c>
      <c r="K1533" s="66" t="str">
        <f>IF(Data[[#This Row],[Betrag]]&lt;0,"A","E")</f>
        <v>A</v>
      </c>
    </row>
    <row r="1534" spans="1:11" x14ac:dyDescent="0.25">
      <c r="A1534" s="1">
        <v>43537</v>
      </c>
      <c r="B1534" s="66" t="s">
        <v>45</v>
      </c>
      <c r="C1534" s="66" t="s">
        <v>46</v>
      </c>
      <c r="D1534" t="s">
        <v>47</v>
      </c>
      <c r="E1534">
        <v>1000</v>
      </c>
      <c r="F1534" s="66" t="s">
        <v>7</v>
      </c>
      <c r="G1534" s="66" t="s">
        <v>9</v>
      </c>
      <c r="H1534" s="66" t="str">
        <f>TEXT(Data[[#This Row],[Buchung]],"MMM")</f>
        <v>Mrz</v>
      </c>
      <c r="I1534" s="67">
        <f>YEAR(Data[[#This Row],[Buchung]])</f>
        <v>2019</v>
      </c>
      <c r="J1534" s="2">
        <f>ABS(Data[[#This Row],[Betrag]])</f>
        <v>1000</v>
      </c>
      <c r="K1534" s="66" t="str">
        <f>IF(Data[[#This Row],[Betrag]]&lt;0,"A","E")</f>
        <v>E</v>
      </c>
    </row>
    <row r="1535" spans="1:11" x14ac:dyDescent="0.25">
      <c r="A1535" s="1">
        <v>43538</v>
      </c>
      <c r="B1535" s="66" t="s">
        <v>61</v>
      </c>
      <c r="C1535" s="66" t="s">
        <v>49</v>
      </c>
      <c r="D1535" t="s">
        <v>62</v>
      </c>
      <c r="E1535">
        <v>-10</v>
      </c>
      <c r="F1535" s="66" t="s">
        <v>7</v>
      </c>
      <c r="G1535" s="66" t="s">
        <v>8</v>
      </c>
      <c r="H1535" s="66" t="str">
        <f>TEXT(Data[[#This Row],[Buchung]],"MMM")</f>
        <v>Mrz</v>
      </c>
      <c r="I1535" s="67">
        <f>YEAR(Data[[#This Row],[Buchung]])</f>
        <v>2019</v>
      </c>
      <c r="J1535" s="2">
        <f>ABS(Data[[#This Row],[Betrag]])</f>
        <v>10</v>
      </c>
      <c r="K1535" s="66" t="str">
        <f>IF(Data[[#This Row],[Betrag]]&lt;0,"A","E")</f>
        <v>A</v>
      </c>
    </row>
    <row r="1536" spans="1:11" x14ac:dyDescent="0.25">
      <c r="A1536" s="1">
        <v>43539</v>
      </c>
      <c r="B1536" s="66" t="s">
        <v>63</v>
      </c>
      <c r="C1536" s="66" t="s">
        <v>64</v>
      </c>
      <c r="D1536" t="s">
        <v>65</v>
      </c>
      <c r="E1536">
        <v>-70</v>
      </c>
      <c r="F1536" s="66" t="s">
        <v>7</v>
      </c>
      <c r="G1536" s="66" t="s">
        <v>11</v>
      </c>
      <c r="H1536" s="66" t="str">
        <f>TEXT(Data[[#This Row],[Buchung]],"MMM")</f>
        <v>Mrz</v>
      </c>
      <c r="I1536" s="67">
        <f>YEAR(Data[[#This Row],[Buchung]])</f>
        <v>2019</v>
      </c>
      <c r="J1536" s="2">
        <f>ABS(Data[[#This Row],[Betrag]])</f>
        <v>70</v>
      </c>
      <c r="K1536" s="66" t="str">
        <f>IF(Data[[#This Row],[Betrag]]&lt;0,"A","E")</f>
        <v>A</v>
      </c>
    </row>
    <row r="1537" spans="1:11" x14ac:dyDescent="0.25">
      <c r="A1537" s="1">
        <v>43540</v>
      </c>
      <c r="B1537" s="66" t="s">
        <v>54</v>
      </c>
      <c r="C1537" s="66" t="s">
        <v>55</v>
      </c>
      <c r="D1537" t="s">
        <v>66</v>
      </c>
      <c r="E1537">
        <v>-80</v>
      </c>
      <c r="F1537" s="66" t="s">
        <v>7</v>
      </c>
      <c r="G1537" s="66" t="s">
        <v>57</v>
      </c>
      <c r="H1537" s="66" t="str">
        <f>TEXT(Data[[#This Row],[Buchung]],"MMM")</f>
        <v>Mrz</v>
      </c>
      <c r="I1537" s="67">
        <f>YEAR(Data[[#This Row],[Buchung]])</f>
        <v>2019</v>
      </c>
      <c r="J1537" s="2">
        <f>ABS(Data[[#This Row],[Betrag]])</f>
        <v>80</v>
      </c>
      <c r="K1537" s="66" t="str">
        <f>IF(Data[[#This Row],[Betrag]]&lt;0,"A","E")</f>
        <v>A</v>
      </c>
    </row>
    <row r="1538" spans="1:11" x14ac:dyDescent="0.25">
      <c r="A1538" s="1">
        <v>43541</v>
      </c>
      <c r="B1538" s="66" t="s">
        <v>67</v>
      </c>
      <c r="C1538" s="66" t="s">
        <v>59</v>
      </c>
      <c r="D1538" t="s">
        <v>68</v>
      </c>
      <c r="E1538">
        <v>-25</v>
      </c>
      <c r="F1538" s="66" t="s">
        <v>7</v>
      </c>
      <c r="G1538" s="66" t="s">
        <v>10</v>
      </c>
      <c r="H1538" s="66" t="str">
        <f>TEXT(Data[[#This Row],[Buchung]],"MMM")</f>
        <v>Mrz</v>
      </c>
      <c r="I1538" s="67">
        <f>YEAR(Data[[#This Row],[Buchung]])</f>
        <v>2019</v>
      </c>
      <c r="J1538" s="2">
        <f>ABS(Data[[#This Row],[Betrag]])</f>
        <v>25</v>
      </c>
      <c r="K1538" s="66" t="str">
        <f>IF(Data[[#This Row],[Betrag]]&lt;0,"A","E")</f>
        <v>A</v>
      </c>
    </row>
    <row r="1539" spans="1:11" x14ac:dyDescent="0.25">
      <c r="A1539" s="1">
        <v>43542</v>
      </c>
      <c r="B1539" s="66" t="s">
        <v>45</v>
      </c>
      <c r="C1539" s="66" t="s">
        <v>46</v>
      </c>
      <c r="D1539" t="s">
        <v>47</v>
      </c>
      <c r="E1539">
        <v>1000</v>
      </c>
      <c r="F1539" s="66" t="s">
        <v>7</v>
      </c>
      <c r="G1539" s="66" t="s">
        <v>9</v>
      </c>
      <c r="H1539" s="66" t="str">
        <f>TEXT(Data[[#This Row],[Buchung]],"MMM")</f>
        <v>Mrz</v>
      </c>
      <c r="I1539" s="67">
        <f>YEAR(Data[[#This Row],[Buchung]])</f>
        <v>2019</v>
      </c>
      <c r="J1539" s="2">
        <f>ABS(Data[[#This Row],[Betrag]])</f>
        <v>1000</v>
      </c>
      <c r="K1539" s="66" t="str">
        <f>IF(Data[[#This Row],[Betrag]]&lt;0,"A","E")</f>
        <v>E</v>
      </c>
    </row>
    <row r="1540" spans="1:11" x14ac:dyDescent="0.25">
      <c r="A1540" s="1">
        <v>43543</v>
      </c>
      <c r="B1540" s="66" t="s">
        <v>48</v>
      </c>
      <c r="C1540" s="66" t="s">
        <v>49</v>
      </c>
      <c r="D1540" t="s">
        <v>50</v>
      </c>
      <c r="E1540">
        <v>-15</v>
      </c>
      <c r="F1540" s="66" t="s">
        <v>7</v>
      </c>
      <c r="G1540" s="66" t="s">
        <v>8</v>
      </c>
      <c r="H1540" s="66" t="str">
        <f>TEXT(Data[[#This Row],[Buchung]],"MMM")</f>
        <v>Mrz</v>
      </c>
      <c r="I1540" s="67">
        <f>YEAR(Data[[#This Row],[Buchung]])</f>
        <v>2019</v>
      </c>
      <c r="J1540" s="2">
        <f>ABS(Data[[#This Row],[Betrag]])</f>
        <v>15</v>
      </c>
      <c r="K1540" s="66" t="str">
        <f>IF(Data[[#This Row],[Betrag]]&lt;0,"A","E")</f>
        <v>A</v>
      </c>
    </row>
    <row r="1541" spans="1:11" x14ac:dyDescent="0.25">
      <c r="A1541" s="1">
        <v>43544</v>
      </c>
      <c r="B1541" s="66" t="s">
        <v>51</v>
      </c>
      <c r="C1541" s="66" t="s">
        <v>52</v>
      </c>
      <c r="D1541" t="s">
        <v>53</v>
      </c>
      <c r="E1541">
        <v>-350</v>
      </c>
      <c r="F1541" s="66" t="s">
        <v>7</v>
      </c>
      <c r="G1541" s="66" t="s">
        <v>11</v>
      </c>
      <c r="H1541" s="66" t="str">
        <f>TEXT(Data[[#This Row],[Buchung]],"MMM")</f>
        <v>Mrz</v>
      </c>
      <c r="I1541" s="67">
        <f>YEAR(Data[[#This Row],[Buchung]])</f>
        <v>2019</v>
      </c>
      <c r="J1541" s="2">
        <f>ABS(Data[[#This Row],[Betrag]])</f>
        <v>350</v>
      </c>
      <c r="K1541" s="66" t="str">
        <f>IF(Data[[#This Row],[Betrag]]&lt;0,"A","E")</f>
        <v>A</v>
      </c>
    </row>
    <row r="1542" spans="1:11" x14ac:dyDescent="0.25">
      <c r="A1542" s="1">
        <v>43545</v>
      </c>
      <c r="B1542" s="66" t="s">
        <v>54</v>
      </c>
      <c r="C1542" s="66" t="s">
        <v>55</v>
      </c>
      <c r="D1542" t="s">
        <v>56</v>
      </c>
      <c r="E1542">
        <v>-120</v>
      </c>
      <c r="F1542" s="66" t="s">
        <v>7</v>
      </c>
      <c r="G1542" s="66" t="s">
        <v>57</v>
      </c>
      <c r="H1542" s="66" t="str">
        <f>TEXT(Data[[#This Row],[Buchung]],"MMM")</f>
        <v>Mrz</v>
      </c>
      <c r="I1542" s="67">
        <f>YEAR(Data[[#This Row],[Buchung]])</f>
        <v>2019</v>
      </c>
      <c r="J1542" s="2">
        <f>ABS(Data[[#This Row],[Betrag]])</f>
        <v>120</v>
      </c>
      <c r="K1542" s="66" t="str">
        <f>IF(Data[[#This Row],[Betrag]]&lt;0,"A","E")</f>
        <v>A</v>
      </c>
    </row>
    <row r="1543" spans="1:11" x14ac:dyDescent="0.25">
      <c r="A1543" s="1">
        <v>43546</v>
      </c>
      <c r="B1543" s="66" t="s">
        <v>58</v>
      </c>
      <c r="C1543" s="66" t="s">
        <v>59</v>
      </c>
      <c r="D1543" t="s">
        <v>60</v>
      </c>
      <c r="E1543">
        <v>-70</v>
      </c>
      <c r="F1543" s="66" t="s">
        <v>7</v>
      </c>
      <c r="G1543" s="66" t="s">
        <v>10</v>
      </c>
      <c r="H1543" s="66" t="str">
        <f>TEXT(Data[[#This Row],[Buchung]],"MMM")</f>
        <v>Mrz</v>
      </c>
      <c r="I1543" s="67">
        <f>YEAR(Data[[#This Row],[Buchung]])</f>
        <v>2019</v>
      </c>
      <c r="J1543" s="2">
        <f>ABS(Data[[#This Row],[Betrag]])</f>
        <v>70</v>
      </c>
      <c r="K1543" s="66" t="str">
        <f>IF(Data[[#This Row],[Betrag]]&lt;0,"A","E")</f>
        <v>A</v>
      </c>
    </row>
    <row r="1544" spans="1:11" x14ac:dyDescent="0.25">
      <c r="A1544" s="1">
        <v>43547</v>
      </c>
      <c r="B1544" s="66" t="s">
        <v>45</v>
      </c>
      <c r="C1544" s="66" t="s">
        <v>46</v>
      </c>
      <c r="D1544" t="s">
        <v>47</v>
      </c>
      <c r="E1544">
        <v>1000</v>
      </c>
      <c r="F1544" s="66" t="s">
        <v>7</v>
      </c>
      <c r="G1544" s="66" t="s">
        <v>9</v>
      </c>
      <c r="H1544" s="66" t="str">
        <f>TEXT(Data[[#This Row],[Buchung]],"MMM")</f>
        <v>Mrz</v>
      </c>
      <c r="I1544" s="67">
        <f>YEAR(Data[[#This Row],[Buchung]])</f>
        <v>2019</v>
      </c>
      <c r="J1544" s="2">
        <f>ABS(Data[[#This Row],[Betrag]])</f>
        <v>1000</v>
      </c>
      <c r="K1544" s="66" t="str">
        <f>IF(Data[[#This Row],[Betrag]]&lt;0,"A","E")</f>
        <v>E</v>
      </c>
    </row>
    <row r="1545" spans="1:11" x14ac:dyDescent="0.25">
      <c r="A1545" s="1">
        <v>43548</v>
      </c>
      <c r="B1545" s="66" t="s">
        <v>61</v>
      </c>
      <c r="C1545" s="66" t="s">
        <v>49</v>
      </c>
      <c r="D1545" t="s">
        <v>62</v>
      </c>
      <c r="E1545">
        <v>-10</v>
      </c>
      <c r="F1545" s="66" t="s">
        <v>7</v>
      </c>
      <c r="G1545" s="66" t="s">
        <v>8</v>
      </c>
      <c r="H1545" s="66" t="str">
        <f>TEXT(Data[[#This Row],[Buchung]],"MMM")</f>
        <v>Mrz</v>
      </c>
      <c r="I1545" s="67">
        <f>YEAR(Data[[#This Row],[Buchung]])</f>
        <v>2019</v>
      </c>
      <c r="J1545" s="2">
        <f>ABS(Data[[#This Row],[Betrag]])</f>
        <v>10</v>
      </c>
      <c r="K1545" s="66" t="str">
        <f>IF(Data[[#This Row],[Betrag]]&lt;0,"A","E")</f>
        <v>A</v>
      </c>
    </row>
    <row r="1546" spans="1:11" x14ac:dyDescent="0.25">
      <c r="A1546" s="1">
        <v>43549</v>
      </c>
      <c r="B1546" s="66" t="s">
        <v>63</v>
      </c>
      <c r="C1546" s="66" t="s">
        <v>64</v>
      </c>
      <c r="D1546" t="s">
        <v>65</v>
      </c>
      <c r="E1546">
        <v>-60</v>
      </c>
      <c r="F1546" s="66" t="s">
        <v>7</v>
      </c>
      <c r="G1546" s="66" t="s">
        <v>11</v>
      </c>
      <c r="H1546" s="66" t="str">
        <f>TEXT(Data[[#This Row],[Buchung]],"MMM")</f>
        <v>Mrz</v>
      </c>
      <c r="I1546" s="67">
        <f>YEAR(Data[[#This Row],[Buchung]])</f>
        <v>2019</v>
      </c>
      <c r="J1546" s="2">
        <f>ABS(Data[[#This Row],[Betrag]])</f>
        <v>60</v>
      </c>
      <c r="K1546" s="66" t="str">
        <f>IF(Data[[#This Row],[Betrag]]&lt;0,"A","E")</f>
        <v>A</v>
      </c>
    </row>
    <row r="1547" spans="1:11" x14ac:dyDescent="0.25">
      <c r="A1547" s="1">
        <v>43550</v>
      </c>
      <c r="B1547" s="66" t="s">
        <v>54</v>
      </c>
      <c r="C1547" s="66" t="s">
        <v>55</v>
      </c>
      <c r="D1547" t="s">
        <v>66</v>
      </c>
      <c r="E1547">
        <v>-80</v>
      </c>
      <c r="F1547" s="66" t="s">
        <v>7</v>
      </c>
      <c r="G1547" s="66" t="s">
        <v>57</v>
      </c>
      <c r="H1547" s="66" t="str">
        <f>TEXT(Data[[#This Row],[Buchung]],"MMM")</f>
        <v>Mrz</v>
      </c>
      <c r="I1547" s="67">
        <f>YEAR(Data[[#This Row],[Buchung]])</f>
        <v>2019</v>
      </c>
      <c r="J1547" s="2">
        <f>ABS(Data[[#This Row],[Betrag]])</f>
        <v>80</v>
      </c>
      <c r="K1547" s="66" t="str">
        <f>IF(Data[[#This Row],[Betrag]]&lt;0,"A","E")</f>
        <v>A</v>
      </c>
    </row>
    <row r="1548" spans="1:11" x14ac:dyDescent="0.25">
      <c r="A1548" s="1">
        <v>43551</v>
      </c>
      <c r="B1548" s="66" t="s">
        <v>67</v>
      </c>
      <c r="C1548" s="66" t="s">
        <v>59</v>
      </c>
      <c r="D1548" t="s">
        <v>68</v>
      </c>
      <c r="E1548">
        <v>-30</v>
      </c>
      <c r="F1548" s="66" t="s">
        <v>7</v>
      </c>
      <c r="G1548" s="66" t="s">
        <v>10</v>
      </c>
      <c r="H1548" s="66" t="str">
        <f>TEXT(Data[[#This Row],[Buchung]],"MMM")</f>
        <v>Mrz</v>
      </c>
      <c r="I1548" s="67">
        <f>YEAR(Data[[#This Row],[Buchung]])</f>
        <v>2019</v>
      </c>
      <c r="J1548" s="2">
        <f>ABS(Data[[#This Row],[Betrag]])</f>
        <v>30</v>
      </c>
      <c r="K1548" s="66" t="str">
        <f>IF(Data[[#This Row],[Betrag]]&lt;0,"A","E")</f>
        <v>A</v>
      </c>
    </row>
    <row r="1549" spans="1:11" x14ac:dyDescent="0.25">
      <c r="A1549" s="1">
        <v>43552</v>
      </c>
      <c r="B1549" s="66" t="s">
        <v>45</v>
      </c>
      <c r="C1549" s="66" t="s">
        <v>46</v>
      </c>
      <c r="D1549" t="s">
        <v>47</v>
      </c>
      <c r="E1549">
        <v>1000</v>
      </c>
      <c r="F1549" s="66" t="s">
        <v>7</v>
      </c>
      <c r="G1549" s="66" t="s">
        <v>9</v>
      </c>
      <c r="H1549" s="66" t="str">
        <f>TEXT(Data[[#This Row],[Buchung]],"MMM")</f>
        <v>Mrz</v>
      </c>
      <c r="I1549" s="67">
        <f>YEAR(Data[[#This Row],[Buchung]])</f>
        <v>2019</v>
      </c>
      <c r="J1549" s="2">
        <f>ABS(Data[[#This Row],[Betrag]])</f>
        <v>1000</v>
      </c>
      <c r="K1549" s="66" t="str">
        <f>IF(Data[[#This Row],[Betrag]]&lt;0,"A","E")</f>
        <v>E</v>
      </c>
    </row>
    <row r="1550" spans="1:11" x14ac:dyDescent="0.25">
      <c r="A1550" s="1">
        <v>43553</v>
      </c>
      <c r="B1550" s="66" t="s">
        <v>48</v>
      </c>
      <c r="C1550" s="66" t="s">
        <v>49</v>
      </c>
      <c r="D1550" t="s">
        <v>50</v>
      </c>
      <c r="E1550">
        <v>-15</v>
      </c>
      <c r="F1550" s="66" t="s">
        <v>7</v>
      </c>
      <c r="G1550" s="66" t="s">
        <v>8</v>
      </c>
      <c r="H1550" s="66" t="str">
        <f>TEXT(Data[[#This Row],[Buchung]],"MMM")</f>
        <v>Mrz</v>
      </c>
      <c r="I1550" s="67">
        <f>YEAR(Data[[#This Row],[Buchung]])</f>
        <v>2019</v>
      </c>
      <c r="J1550" s="2">
        <f>ABS(Data[[#This Row],[Betrag]])</f>
        <v>15</v>
      </c>
      <c r="K1550" s="66" t="str">
        <f>IF(Data[[#This Row],[Betrag]]&lt;0,"A","E")</f>
        <v>A</v>
      </c>
    </row>
    <row r="1551" spans="1:11" x14ac:dyDescent="0.25">
      <c r="A1551" s="1">
        <v>43554</v>
      </c>
      <c r="B1551" s="66" t="s">
        <v>51</v>
      </c>
      <c r="C1551" s="66" t="s">
        <v>52</v>
      </c>
      <c r="D1551" t="s">
        <v>53</v>
      </c>
      <c r="E1551">
        <v>-350</v>
      </c>
      <c r="F1551" s="66" t="s">
        <v>7</v>
      </c>
      <c r="G1551" s="66" t="s">
        <v>11</v>
      </c>
      <c r="H1551" s="66" t="str">
        <f>TEXT(Data[[#This Row],[Buchung]],"MMM")</f>
        <v>Mrz</v>
      </c>
      <c r="I1551" s="67">
        <f>YEAR(Data[[#This Row],[Buchung]])</f>
        <v>2019</v>
      </c>
      <c r="J1551" s="2">
        <f>ABS(Data[[#This Row],[Betrag]])</f>
        <v>350</v>
      </c>
      <c r="K1551" s="66" t="str">
        <f>IF(Data[[#This Row],[Betrag]]&lt;0,"A","E")</f>
        <v>A</v>
      </c>
    </row>
    <row r="1552" spans="1:11" x14ac:dyDescent="0.25">
      <c r="A1552" s="1">
        <v>43555</v>
      </c>
      <c r="B1552" s="66" t="s">
        <v>54</v>
      </c>
      <c r="C1552" s="66" t="s">
        <v>55</v>
      </c>
      <c r="D1552" t="s">
        <v>56</v>
      </c>
      <c r="E1552">
        <v>-120</v>
      </c>
      <c r="F1552" s="66" t="s">
        <v>7</v>
      </c>
      <c r="G1552" s="66" t="s">
        <v>57</v>
      </c>
      <c r="H1552" s="66" t="str">
        <f>TEXT(Data[[#This Row],[Buchung]],"MMM")</f>
        <v>Mrz</v>
      </c>
      <c r="I1552" s="67">
        <f>YEAR(Data[[#This Row],[Buchung]])</f>
        <v>2019</v>
      </c>
      <c r="J1552" s="2">
        <f>ABS(Data[[#This Row],[Betrag]])</f>
        <v>120</v>
      </c>
      <c r="K1552" s="66" t="str">
        <f>IF(Data[[#This Row],[Betrag]]&lt;0,"A","E")</f>
        <v>A</v>
      </c>
    </row>
    <row r="1553" spans="1:11" x14ac:dyDescent="0.25">
      <c r="A1553" s="1">
        <v>43556</v>
      </c>
      <c r="B1553" s="66" t="s">
        <v>58</v>
      </c>
      <c r="C1553" s="66" t="s">
        <v>59</v>
      </c>
      <c r="D1553" t="s">
        <v>60</v>
      </c>
      <c r="E1553">
        <v>-80</v>
      </c>
      <c r="F1553" s="66" t="s">
        <v>7</v>
      </c>
      <c r="G1553" s="66" t="s">
        <v>10</v>
      </c>
      <c r="H1553" s="66" t="str">
        <f>TEXT(Data[[#This Row],[Buchung]],"MMM")</f>
        <v>Apr</v>
      </c>
      <c r="I1553" s="67">
        <f>YEAR(Data[[#This Row],[Buchung]])</f>
        <v>2019</v>
      </c>
      <c r="J1553" s="2">
        <f>ABS(Data[[#This Row],[Betrag]])</f>
        <v>80</v>
      </c>
      <c r="K1553" s="66" t="str">
        <f>IF(Data[[#This Row],[Betrag]]&lt;0,"A","E")</f>
        <v>A</v>
      </c>
    </row>
    <row r="1554" spans="1:11" x14ac:dyDescent="0.25">
      <c r="A1554" s="1">
        <v>43557</v>
      </c>
      <c r="B1554" s="66" t="s">
        <v>45</v>
      </c>
      <c r="C1554" s="66" t="s">
        <v>46</v>
      </c>
      <c r="D1554" t="s">
        <v>47</v>
      </c>
      <c r="E1554">
        <v>1000</v>
      </c>
      <c r="F1554" s="66" t="s">
        <v>7</v>
      </c>
      <c r="G1554" s="66" t="s">
        <v>9</v>
      </c>
      <c r="H1554" s="66" t="str">
        <f>TEXT(Data[[#This Row],[Buchung]],"MMM")</f>
        <v>Apr</v>
      </c>
      <c r="I1554" s="67">
        <f>YEAR(Data[[#This Row],[Buchung]])</f>
        <v>2019</v>
      </c>
      <c r="J1554" s="2">
        <f>ABS(Data[[#This Row],[Betrag]])</f>
        <v>1000</v>
      </c>
      <c r="K1554" s="66" t="str">
        <f>IF(Data[[#This Row],[Betrag]]&lt;0,"A","E")</f>
        <v>E</v>
      </c>
    </row>
    <row r="1555" spans="1:11" x14ac:dyDescent="0.25">
      <c r="A1555" s="1">
        <v>43558</v>
      </c>
      <c r="B1555" s="66" t="s">
        <v>61</v>
      </c>
      <c r="C1555" s="66" t="s">
        <v>49</v>
      </c>
      <c r="D1555" t="s">
        <v>62</v>
      </c>
      <c r="E1555">
        <v>-10</v>
      </c>
      <c r="F1555" s="66" t="s">
        <v>7</v>
      </c>
      <c r="G1555" s="66" t="s">
        <v>8</v>
      </c>
      <c r="H1555" s="66" t="str">
        <f>TEXT(Data[[#This Row],[Buchung]],"MMM")</f>
        <v>Apr</v>
      </c>
      <c r="I1555" s="67">
        <f>YEAR(Data[[#This Row],[Buchung]])</f>
        <v>2019</v>
      </c>
      <c r="J1555" s="2">
        <f>ABS(Data[[#This Row],[Betrag]])</f>
        <v>10</v>
      </c>
      <c r="K1555" s="66" t="str">
        <f>IF(Data[[#This Row],[Betrag]]&lt;0,"A","E")</f>
        <v>A</v>
      </c>
    </row>
    <row r="1556" spans="1:11" x14ac:dyDescent="0.25">
      <c r="A1556" s="1">
        <v>43559</v>
      </c>
      <c r="B1556" s="66" t="s">
        <v>63</v>
      </c>
      <c r="C1556" s="66" t="s">
        <v>64</v>
      </c>
      <c r="D1556" t="s">
        <v>65</v>
      </c>
      <c r="E1556">
        <v>-65</v>
      </c>
      <c r="F1556" s="66" t="s">
        <v>7</v>
      </c>
      <c r="G1556" s="66" t="s">
        <v>11</v>
      </c>
      <c r="H1556" s="66" t="str">
        <f>TEXT(Data[[#This Row],[Buchung]],"MMM")</f>
        <v>Apr</v>
      </c>
      <c r="I1556" s="67">
        <f>YEAR(Data[[#This Row],[Buchung]])</f>
        <v>2019</v>
      </c>
      <c r="J1556" s="2">
        <f>ABS(Data[[#This Row],[Betrag]])</f>
        <v>65</v>
      </c>
      <c r="K1556" s="66" t="str">
        <f>IF(Data[[#This Row],[Betrag]]&lt;0,"A","E")</f>
        <v>A</v>
      </c>
    </row>
    <row r="1557" spans="1:11" x14ac:dyDescent="0.25">
      <c r="A1557" s="1">
        <v>43560</v>
      </c>
      <c r="B1557" s="66" t="s">
        <v>54</v>
      </c>
      <c r="C1557" s="66" t="s">
        <v>55</v>
      </c>
      <c r="D1557" t="s">
        <v>66</v>
      </c>
      <c r="E1557">
        <v>-80</v>
      </c>
      <c r="F1557" s="66" t="s">
        <v>7</v>
      </c>
      <c r="G1557" s="66" t="s">
        <v>57</v>
      </c>
      <c r="H1557" s="66" t="str">
        <f>TEXT(Data[[#This Row],[Buchung]],"MMM")</f>
        <v>Apr</v>
      </c>
      <c r="I1557" s="67">
        <f>YEAR(Data[[#This Row],[Buchung]])</f>
        <v>2019</v>
      </c>
      <c r="J1557" s="2">
        <f>ABS(Data[[#This Row],[Betrag]])</f>
        <v>80</v>
      </c>
      <c r="K1557" s="66" t="str">
        <f>IF(Data[[#This Row],[Betrag]]&lt;0,"A","E")</f>
        <v>A</v>
      </c>
    </row>
    <row r="1558" spans="1:11" x14ac:dyDescent="0.25">
      <c r="A1558" s="1">
        <v>43561</v>
      </c>
      <c r="B1558" s="66" t="s">
        <v>67</v>
      </c>
      <c r="C1558" s="66" t="s">
        <v>59</v>
      </c>
      <c r="D1558" t="s">
        <v>68</v>
      </c>
      <c r="E1558">
        <v>-35</v>
      </c>
      <c r="F1558" s="66" t="s">
        <v>7</v>
      </c>
      <c r="G1558" s="66" t="s">
        <v>10</v>
      </c>
      <c r="H1558" s="66" t="str">
        <f>TEXT(Data[[#This Row],[Buchung]],"MMM")</f>
        <v>Apr</v>
      </c>
      <c r="I1558" s="67">
        <f>YEAR(Data[[#This Row],[Buchung]])</f>
        <v>2019</v>
      </c>
      <c r="J1558" s="2">
        <f>ABS(Data[[#This Row],[Betrag]])</f>
        <v>35</v>
      </c>
      <c r="K1558" s="66" t="str">
        <f>IF(Data[[#This Row],[Betrag]]&lt;0,"A","E")</f>
        <v>A</v>
      </c>
    </row>
    <row r="1559" spans="1:11" x14ac:dyDescent="0.25">
      <c r="A1559" s="1">
        <v>43562</v>
      </c>
      <c r="B1559" s="66" t="s">
        <v>45</v>
      </c>
      <c r="C1559" s="66" t="s">
        <v>46</v>
      </c>
      <c r="D1559" t="s">
        <v>47</v>
      </c>
      <c r="E1559">
        <v>1000</v>
      </c>
      <c r="F1559" s="66" t="s">
        <v>7</v>
      </c>
      <c r="G1559" s="66" t="s">
        <v>9</v>
      </c>
      <c r="H1559" s="66" t="str">
        <f>TEXT(Data[[#This Row],[Buchung]],"MMM")</f>
        <v>Apr</v>
      </c>
      <c r="I1559" s="67">
        <f>YEAR(Data[[#This Row],[Buchung]])</f>
        <v>2019</v>
      </c>
      <c r="J1559" s="2">
        <f>ABS(Data[[#This Row],[Betrag]])</f>
        <v>1000</v>
      </c>
      <c r="K1559" s="66" t="str">
        <f>IF(Data[[#This Row],[Betrag]]&lt;0,"A","E")</f>
        <v>E</v>
      </c>
    </row>
    <row r="1560" spans="1:11" x14ac:dyDescent="0.25">
      <c r="A1560" s="1">
        <v>43563</v>
      </c>
      <c r="B1560" s="66" t="s">
        <v>45</v>
      </c>
      <c r="C1560" s="66" t="s">
        <v>46</v>
      </c>
      <c r="D1560" t="s">
        <v>47</v>
      </c>
      <c r="E1560">
        <v>1000</v>
      </c>
      <c r="F1560" s="66" t="s">
        <v>7</v>
      </c>
      <c r="G1560" s="66" t="s">
        <v>9</v>
      </c>
      <c r="H1560" s="66" t="str">
        <f>TEXT(Data[[#This Row],[Buchung]],"MMM")</f>
        <v>Apr</v>
      </c>
      <c r="I1560" s="67">
        <f>YEAR(Data[[#This Row],[Buchung]])</f>
        <v>2019</v>
      </c>
      <c r="J1560" s="2">
        <f>ABS(Data[[#This Row],[Betrag]])</f>
        <v>1000</v>
      </c>
      <c r="K1560" s="66" t="str">
        <f>IF(Data[[#This Row],[Betrag]]&lt;0,"A","E")</f>
        <v>E</v>
      </c>
    </row>
    <row r="1561" spans="1:11" x14ac:dyDescent="0.25">
      <c r="A1561" s="1">
        <v>43564</v>
      </c>
      <c r="B1561" s="66" t="s">
        <v>48</v>
      </c>
      <c r="C1561" s="66" t="s">
        <v>49</v>
      </c>
      <c r="D1561" t="s">
        <v>50</v>
      </c>
      <c r="E1561">
        <v>-15</v>
      </c>
      <c r="F1561" s="66" t="s">
        <v>7</v>
      </c>
      <c r="G1561" s="66" t="s">
        <v>8</v>
      </c>
      <c r="H1561" s="66" t="str">
        <f>TEXT(Data[[#This Row],[Buchung]],"MMM")</f>
        <v>Apr</v>
      </c>
      <c r="I1561" s="67">
        <f>YEAR(Data[[#This Row],[Buchung]])</f>
        <v>2019</v>
      </c>
      <c r="J1561" s="2">
        <f>ABS(Data[[#This Row],[Betrag]])</f>
        <v>15</v>
      </c>
      <c r="K1561" s="66" t="str">
        <f>IF(Data[[#This Row],[Betrag]]&lt;0,"A","E")</f>
        <v>A</v>
      </c>
    </row>
    <row r="1562" spans="1:11" x14ac:dyDescent="0.25">
      <c r="A1562" s="1">
        <v>43565</v>
      </c>
      <c r="B1562" s="66" t="s">
        <v>51</v>
      </c>
      <c r="C1562" s="66" t="s">
        <v>52</v>
      </c>
      <c r="D1562" t="s">
        <v>53</v>
      </c>
      <c r="E1562">
        <v>-350</v>
      </c>
      <c r="F1562" s="66" t="s">
        <v>7</v>
      </c>
      <c r="G1562" s="66" t="s">
        <v>11</v>
      </c>
      <c r="H1562" s="66" t="str">
        <f>TEXT(Data[[#This Row],[Buchung]],"MMM")</f>
        <v>Apr</v>
      </c>
      <c r="I1562" s="67">
        <f>YEAR(Data[[#This Row],[Buchung]])</f>
        <v>2019</v>
      </c>
      <c r="J1562" s="2">
        <f>ABS(Data[[#This Row],[Betrag]])</f>
        <v>350</v>
      </c>
      <c r="K1562" s="66" t="str">
        <f>IF(Data[[#This Row],[Betrag]]&lt;0,"A","E")</f>
        <v>A</v>
      </c>
    </row>
    <row r="1563" spans="1:11" x14ac:dyDescent="0.25">
      <c r="A1563" s="1">
        <v>43566</v>
      </c>
      <c r="B1563" s="66" t="s">
        <v>54</v>
      </c>
      <c r="C1563" s="66" t="s">
        <v>55</v>
      </c>
      <c r="D1563" t="s">
        <v>56</v>
      </c>
      <c r="E1563">
        <v>-120</v>
      </c>
      <c r="F1563" s="66" t="s">
        <v>7</v>
      </c>
      <c r="G1563" s="66" t="s">
        <v>57</v>
      </c>
      <c r="H1563" s="66" t="str">
        <f>TEXT(Data[[#This Row],[Buchung]],"MMM")</f>
        <v>Apr</v>
      </c>
      <c r="I1563" s="67">
        <f>YEAR(Data[[#This Row],[Buchung]])</f>
        <v>2019</v>
      </c>
      <c r="J1563" s="2">
        <f>ABS(Data[[#This Row],[Betrag]])</f>
        <v>120</v>
      </c>
      <c r="K1563" s="66" t="str">
        <f>IF(Data[[#This Row],[Betrag]]&lt;0,"A","E")</f>
        <v>A</v>
      </c>
    </row>
    <row r="1564" spans="1:11" x14ac:dyDescent="0.25">
      <c r="A1564" s="1">
        <v>43567</v>
      </c>
      <c r="B1564" s="66" t="s">
        <v>58</v>
      </c>
      <c r="C1564" s="66" t="s">
        <v>59</v>
      </c>
      <c r="D1564" t="s">
        <v>60</v>
      </c>
      <c r="E1564">
        <v>-50</v>
      </c>
      <c r="F1564" s="66" t="s">
        <v>7</v>
      </c>
      <c r="G1564" s="66" t="s">
        <v>10</v>
      </c>
      <c r="H1564" s="66" t="str">
        <f>TEXT(Data[[#This Row],[Buchung]],"MMM")</f>
        <v>Apr</v>
      </c>
      <c r="I1564" s="67">
        <f>YEAR(Data[[#This Row],[Buchung]])</f>
        <v>2019</v>
      </c>
      <c r="J1564" s="2">
        <f>ABS(Data[[#This Row],[Betrag]])</f>
        <v>50</v>
      </c>
      <c r="K1564" s="66" t="str">
        <f>IF(Data[[#This Row],[Betrag]]&lt;0,"A","E")</f>
        <v>A</v>
      </c>
    </row>
    <row r="1565" spans="1:11" x14ac:dyDescent="0.25">
      <c r="A1565" s="1">
        <v>43568</v>
      </c>
      <c r="B1565" s="66" t="s">
        <v>45</v>
      </c>
      <c r="C1565" s="66" t="s">
        <v>46</v>
      </c>
      <c r="D1565" t="s">
        <v>47</v>
      </c>
      <c r="E1565">
        <v>1000</v>
      </c>
      <c r="F1565" s="66" t="s">
        <v>7</v>
      </c>
      <c r="G1565" s="66" t="s">
        <v>9</v>
      </c>
      <c r="H1565" s="66" t="str">
        <f>TEXT(Data[[#This Row],[Buchung]],"MMM")</f>
        <v>Apr</v>
      </c>
      <c r="I1565" s="67">
        <f>YEAR(Data[[#This Row],[Buchung]])</f>
        <v>2019</v>
      </c>
      <c r="J1565" s="2">
        <f>ABS(Data[[#This Row],[Betrag]])</f>
        <v>1000</v>
      </c>
      <c r="K1565" s="66" t="str">
        <f>IF(Data[[#This Row],[Betrag]]&lt;0,"A","E")</f>
        <v>E</v>
      </c>
    </row>
    <row r="1566" spans="1:11" x14ac:dyDescent="0.25">
      <c r="A1566" s="1">
        <v>43569</v>
      </c>
      <c r="B1566" s="66" t="s">
        <v>61</v>
      </c>
      <c r="C1566" s="66" t="s">
        <v>49</v>
      </c>
      <c r="D1566" t="s">
        <v>62</v>
      </c>
      <c r="E1566">
        <v>-10</v>
      </c>
      <c r="F1566" s="66" t="s">
        <v>7</v>
      </c>
      <c r="G1566" s="66" t="s">
        <v>8</v>
      </c>
      <c r="H1566" s="66" t="str">
        <f>TEXT(Data[[#This Row],[Buchung]],"MMM")</f>
        <v>Apr</v>
      </c>
      <c r="I1566" s="67">
        <f>YEAR(Data[[#This Row],[Buchung]])</f>
        <v>2019</v>
      </c>
      <c r="J1566" s="2">
        <f>ABS(Data[[#This Row],[Betrag]])</f>
        <v>10</v>
      </c>
      <c r="K1566" s="66" t="str">
        <f>IF(Data[[#This Row],[Betrag]]&lt;0,"A","E")</f>
        <v>A</v>
      </c>
    </row>
    <row r="1567" spans="1:11" x14ac:dyDescent="0.25">
      <c r="A1567" s="1">
        <v>43570</v>
      </c>
      <c r="B1567" s="66" t="s">
        <v>63</v>
      </c>
      <c r="C1567" s="66" t="s">
        <v>64</v>
      </c>
      <c r="D1567" t="s">
        <v>65</v>
      </c>
      <c r="E1567">
        <v>-60</v>
      </c>
      <c r="F1567" s="66" t="s">
        <v>7</v>
      </c>
      <c r="G1567" s="66" t="s">
        <v>11</v>
      </c>
      <c r="H1567" s="66" t="str">
        <f>TEXT(Data[[#This Row],[Buchung]],"MMM")</f>
        <v>Apr</v>
      </c>
      <c r="I1567" s="67">
        <f>YEAR(Data[[#This Row],[Buchung]])</f>
        <v>2019</v>
      </c>
      <c r="J1567" s="2">
        <f>ABS(Data[[#This Row],[Betrag]])</f>
        <v>60</v>
      </c>
      <c r="K1567" s="66" t="str">
        <f>IF(Data[[#This Row],[Betrag]]&lt;0,"A","E")</f>
        <v>A</v>
      </c>
    </row>
    <row r="1568" spans="1:11" x14ac:dyDescent="0.25">
      <c r="A1568" s="1">
        <v>43571</v>
      </c>
      <c r="B1568" s="66" t="s">
        <v>54</v>
      </c>
      <c r="C1568" s="66" t="s">
        <v>55</v>
      </c>
      <c r="D1568" t="s">
        <v>66</v>
      </c>
      <c r="E1568">
        <v>-80</v>
      </c>
      <c r="F1568" s="66" t="s">
        <v>7</v>
      </c>
      <c r="G1568" s="66" t="s">
        <v>57</v>
      </c>
      <c r="H1568" s="66" t="str">
        <f>TEXT(Data[[#This Row],[Buchung]],"MMM")</f>
        <v>Apr</v>
      </c>
      <c r="I1568" s="67">
        <f>YEAR(Data[[#This Row],[Buchung]])</f>
        <v>2019</v>
      </c>
      <c r="J1568" s="2">
        <f>ABS(Data[[#This Row],[Betrag]])</f>
        <v>80</v>
      </c>
      <c r="K1568" s="66" t="str">
        <f>IF(Data[[#This Row],[Betrag]]&lt;0,"A","E")</f>
        <v>A</v>
      </c>
    </row>
    <row r="1569" spans="1:11" x14ac:dyDescent="0.25">
      <c r="A1569" s="1">
        <v>43572</v>
      </c>
      <c r="B1569" s="66" t="s">
        <v>67</v>
      </c>
      <c r="C1569" s="66" t="s">
        <v>59</v>
      </c>
      <c r="D1569" t="s">
        <v>68</v>
      </c>
      <c r="E1569">
        <v>-20</v>
      </c>
      <c r="F1569" s="66" t="s">
        <v>7</v>
      </c>
      <c r="G1569" s="66" t="s">
        <v>10</v>
      </c>
      <c r="H1569" s="66" t="str">
        <f>TEXT(Data[[#This Row],[Buchung]],"MMM")</f>
        <v>Apr</v>
      </c>
      <c r="I1569" s="67">
        <f>YEAR(Data[[#This Row],[Buchung]])</f>
        <v>2019</v>
      </c>
      <c r="J1569" s="2">
        <f>ABS(Data[[#This Row],[Betrag]])</f>
        <v>20</v>
      </c>
      <c r="K1569" s="66" t="str">
        <f>IF(Data[[#This Row],[Betrag]]&lt;0,"A","E")</f>
        <v>A</v>
      </c>
    </row>
    <row r="1570" spans="1:11" x14ac:dyDescent="0.25">
      <c r="A1570" s="1">
        <v>43573</v>
      </c>
      <c r="B1570" s="66" t="s">
        <v>45</v>
      </c>
      <c r="C1570" s="66" t="s">
        <v>46</v>
      </c>
      <c r="D1570" t="s">
        <v>47</v>
      </c>
      <c r="E1570">
        <v>1000</v>
      </c>
      <c r="F1570" s="66" t="s">
        <v>7</v>
      </c>
      <c r="G1570" s="66" t="s">
        <v>9</v>
      </c>
      <c r="H1570" s="66" t="str">
        <f>TEXT(Data[[#This Row],[Buchung]],"MMM")</f>
        <v>Apr</v>
      </c>
      <c r="I1570" s="67">
        <f>YEAR(Data[[#This Row],[Buchung]])</f>
        <v>2019</v>
      </c>
      <c r="J1570" s="2">
        <f>ABS(Data[[#This Row],[Betrag]])</f>
        <v>1000</v>
      </c>
      <c r="K1570" s="66" t="str">
        <f>IF(Data[[#This Row],[Betrag]]&lt;0,"A","E")</f>
        <v>E</v>
      </c>
    </row>
    <row r="1571" spans="1:11" x14ac:dyDescent="0.25">
      <c r="A1571" s="1">
        <v>43574</v>
      </c>
      <c r="B1571" s="66" t="s">
        <v>48</v>
      </c>
      <c r="C1571" s="66" t="s">
        <v>49</v>
      </c>
      <c r="D1571" t="s">
        <v>50</v>
      </c>
      <c r="E1571">
        <v>-15</v>
      </c>
      <c r="F1571" s="66" t="s">
        <v>7</v>
      </c>
      <c r="G1571" s="66" t="s">
        <v>8</v>
      </c>
      <c r="H1571" s="66" t="str">
        <f>TEXT(Data[[#This Row],[Buchung]],"MMM")</f>
        <v>Apr</v>
      </c>
      <c r="I1571" s="67">
        <f>YEAR(Data[[#This Row],[Buchung]])</f>
        <v>2019</v>
      </c>
      <c r="J1571" s="2">
        <f>ABS(Data[[#This Row],[Betrag]])</f>
        <v>15</v>
      </c>
      <c r="K1571" s="66" t="str">
        <f>IF(Data[[#This Row],[Betrag]]&lt;0,"A","E")</f>
        <v>A</v>
      </c>
    </row>
    <row r="1572" spans="1:11" x14ac:dyDescent="0.25">
      <c r="A1572" s="1">
        <v>43575</v>
      </c>
      <c r="B1572" s="66" t="s">
        <v>51</v>
      </c>
      <c r="C1572" s="66" t="s">
        <v>52</v>
      </c>
      <c r="D1572" t="s">
        <v>53</v>
      </c>
      <c r="E1572">
        <v>-350</v>
      </c>
      <c r="F1572" s="66" t="s">
        <v>7</v>
      </c>
      <c r="G1572" s="66" t="s">
        <v>11</v>
      </c>
      <c r="H1572" s="66" t="str">
        <f>TEXT(Data[[#This Row],[Buchung]],"MMM")</f>
        <v>Apr</v>
      </c>
      <c r="I1572" s="67">
        <f>YEAR(Data[[#This Row],[Buchung]])</f>
        <v>2019</v>
      </c>
      <c r="J1572" s="2">
        <f>ABS(Data[[#This Row],[Betrag]])</f>
        <v>350</v>
      </c>
      <c r="K1572" s="66" t="str">
        <f>IF(Data[[#This Row],[Betrag]]&lt;0,"A","E")</f>
        <v>A</v>
      </c>
    </row>
    <row r="1573" spans="1:11" x14ac:dyDescent="0.25">
      <c r="A1573" s="1">
        <v>43576</v>
      </c>
      <c r="B1573" s="66" t="s">
        <v>54</v>
      </c>
      <c r="C1573" s="66" t="s">
        <v>55</v>
      </c>
      <c r="D1573" t="s">
        <v>56</v>
      </c>
      <c r="E1573">
        <v>-120</v>
      </c>
      <c r="F1573" s="66" t="s">
        <v>7</v>
      </c>
      <c r="G1573" s="66" t="s">
        <v>57</v>
      </c>
      <c r="H1573" s="66" t="str">
        <f>TEXT(Data[[#This Row],[Buchung]],"MMM")</f>
        <v>Apr</v>
      </c>
      <c r="I1573" s="67">
        <f>YEAR(Data[[#This Row],[Buchung]])</f>
        <v>2019</v>
      </c>
      <c r="J1573" s="2">
        <f>ABS(Data[[#This Row],[Betrag]])</f>
        <v>120</v>
      </c>
      <c r="K1573" s="66" t="str">
        <f>IF(Data[[#This Row],[Betrag]]&lt;0,"A","E")</f>
        <v>A</v>
      </c>
    </row>
    <row r="1574" spans="1:11" x14ac:dyDescent="0.25">
      <c r="A1574" s="1">
        <v>43577</v>
      </c>
      <c r="B1574" s="66" t="s">
        <v>58</v>
      </c>
      <c r="C1574" s="66" t="s">
        <v>59</v>
      </c>
      <c r="D1574" t="s">
        <v>60</v>
      </c>
      <c r="E1574">
        <v>-60</v>
      </c>
      <c r="F1574" s="66" t="s">
        <v>7</v>
      </c>
      <c r="G1574" s="66" t="s">
        <v>10</v>
      </c>
      <c r="H1574" s="66" t="str">
        <f>TEXT(Data[[#This Row],[Buchung]],"MMM")</f>
        <v>Apr</v>
      </c>
      <c r="I1574" s="67">
        <f>YEAR(Data[[#This Row],[Buchung]])</f>
        <v>2019</v>
      </c>
      <c r="J1574" s="2">
        <f>ABS(Data[[#This Row],[Betrag]])</f>
        <v>60</v>
      </c>
      <c r="K1574" s="66" t="str">
        <f>IF(Data[[#This Row],[Betrag]]&lt;0,"A","E")</f>
        <v>A</v>
      </c>
    </row>
    <row r="1575" spans="1:11" x14ac:dyDescent="0.25">
      <c r="A1575" s="1">
        <v>43578</v>
      </c>
      <c r="B1575" s="66" t="s">
        <v>45</v>
      </c>
      <c r="C1575" s="66" t="s">
        <v>46</v>
      </c>
      <c r="D1575" t="s">
        <v>47</v>
      </c>
      <c r="E1575">
        <v>1000</v>
      </c>
      <c r="F1575" s="66" t="s">
        <v>7</v>
      </c>
      <c r="G1575" s="66" t="s">
        <v>9</v>
      </c>
      <c r="H1575" s="66" t="str">
        <f>TEXT(Data[[#This Row],[Buchung]],"MMM")</f>
        <v>Apr</v>
      </c>
      <c r="I1575" s="67">
        <f>YEAR(Data[[#This Row],[Buchung]])</f>
        <v>2019</v>
      </c>
      <c r="J1575" s="2">
        <f>ABS(Data[[#This Row],[Betrag]])</f>
        <v>1000</v>
      </c>
      <c r="K1575" s="66" t="str">
        <f>IF(Data[[#This Row],[Betrag]]&lt;0,"A","E")</f>
        <v>E</v>
      </c>
    </row>
    <row r="1576" spans="1:11" x14ac:dyDescent="0.25">
      <c r="A1576" s="1">
        <v>43579</v>
      </c>
      <c r="B1576" s="66" t="s">
        <v>61</v>
      </c>
      <c r="C1576" s="66" t="s">
        <v>49</v>
      </c>
      <c r="D1576" t="s">
        <v>62</v>
      </c>
      <c r="E1576">
        <v>-10</v>
      </c>
      <c r="F1576" s="66" t="s">
        <v>7</v>
      </c>
      <c r="G1576" s="66" t="s">
        <v>8</v>
      </c>
      <c r="H1576" s="66" t="str">
        <f>TEXT(Data[[#This Row],[Buchung]],"MMM")</f>
        <v>Apr</v>
      </c>
      <c r="I1576" s="67">
        <f>YEAR(Data[[#This Row],[Buchung]])</f>
        <v>2019</v>
      </c>
      <c r="J1576" s="2">
        <f>ABS(Data[[#This Row],[Betrag]])</f>
        <v>10</v>
      </c>
      <c r="K1576" s="66" t="str">
        <f>IF(Data[[#This Row],[Betrag]]&lt;0,"A","E")</f>
        <v>A</v>
      </c>
    </row>
    <row r="1577" spans="1:11" x14ac:dyDescent="0.25">
      <c r="A1577" s="1">
        <v>43580</v>
      </c>
      <c r="B1577" s="66" t="s">
        <v>63</v>
      </c>
      <c r="C1577" s="66" t="s">
        <v>64</v>
      </c>
      <c r="D1577" t="s">
        <v>65</v>
      </c>
      <c r="E1577">
        <v>-70</v>
      </c>
      <c r="F1577" s="66" t="s">
        <v>7</v>
      </c>
      <c r="G1577" s="66" t="s">
        <v>11</v>
      </c>
      <c r="H1577" s="66" t="str">
        <f>TEXT(Data[[#This Row],[Buchung]],"MMM")</f>
        <v>Apr</v>
      </c>
      <c r="I1577" s="67">
        <f>YEAR(Data[[#This Row],[Buchung]])</f>
        <v>2019</v>
      </c>
      <c r="J1577" s="2">
        <f>ABS(Data[[#This Row],[Betrag]])</f>
        <v>70</v>
      </c>
      <c r="K1577" s="66" t="str">
        <f>IF(Data[[#This Row],[Betrag]]&lt;0,"A","E")</f>
        <v>A</v>
      </c>
    </row>
    <row r="1578" spans="1:11" x14ac:dyDescent="0.25">
      <c r="A1578" s="1">
        <v>43581</v>
      </c>
      <c r="B1578" s="66" t="s">
        <v>54</v>
      </c>
      <c r="C1578" s="66" t="s">
        <v>55</v>
      </c>
      <c r="D1578" t="s">
        <v>66</v>
      </c>
      <c r="E1578">
        <v>-80</v>
      </c>
      <c r="F1578" s="66" t="s">
        <v>7</v>
      </c>
      <c r="G1578" s="66" t="s">
        <v>57</v>
      </c>
      <c r="H1578" s="66" t="str">
        <f>TEXT(Data[[#This Row],[Buchung]],"MMM")</f>
        <v>Apr</v>
      </c>
      <c r="I1578" s="67">
        <f>YEAR(Data[[#This Row],[Buchung]])</f>
        <v>2019</v>
      </c>
      <c r="J1578" s="2">
        <f>ABS(Data[[#This Row],[Betrag]])</f>
        <v>80</v>
      </c>
      <c r="K1578" s="66" t="str">
        <f>IF(Data[[#This Row],[Betrag]]&lt;0,"A","E")</f>
        <v>A</v>
      </c>
    </row>
    <row r="1579" spans="1:11" x14ac:dyDescent="0.25">
      <c r="A1579" s="1">
        <v>43582</v>
      </c>
      <c r="B1579" s="66" t="s">
        <v>67</v>
      </c>
      <c r="C1579" s="66" t="s">
        <v>59</v>
      </c>
      <c r="D1579" t="s">
        <v>68</v>
      </c>
      <c r="E1579">
        <v>-25</v>
      </c>
      <c r="F1579" s="66" t="s">
        <v>7</v>
      </c>
      <c r="G1579" s="66" t="s">
        <v>10</v>
      </c>
      <c r="H1579" s="66" t="str">
        <f>TEXT(Data[[#This Row],[Buchung]],"MMM")</f>
        <v>Apr</v>
      </c>
      <c r="I1579" s="67">
        <f>YEAR(Data[[#This Row],[Buchung]])</f>
        <v>2019</v>
      </c>
      <c r="J1579" s="2">
        <f>ABS(Data[[#This Row],[Betrag]])</f>
        <v>25</v>
      </c>
      <c r="K1579" s="66" t="str">
        <f>IF(Data[[#This Row],[Betrag]]&lt;0,"A","E")</f>
        <v>A</v>
      </c>
    </row>
    <row r="1580" spans="1:11" x14ac:dyDescent="0.25">
      <c r="A1580" s="1">
        <v>43583</v>
      </c>
      <c r="B1580" s="66" t="s">
        <v>45</v>
      </c>
      <c r="C1580" s="66" t="s">
        <v>46</v>
      </c>
      <c r="D1580" t="s">
        <v>47</v>
      </c>
      <c r="E1580">
        <v>1000</v>
      </c>
      <c r="F1580" s="66" t="s">
        <v>7</v>
      </c>
      <c r="G1580" s="66" t="s">
        <v>9</v>
      </c>
      <c r="H1580" s="66" t="str">
        <f>TEXT(Data[[#This Row],[Buchung]],"MMM")</f>
        <v>Apr</v>
      </c>
      <c r="I1580" s="67">
        <f>YEAR(Data[[#This Row],[Buchung]])</f>
        <v>2019</v>
      </c>
      <c r="J1580" s="2">
        <f>ABS(Data[[#This Row],[Betrag]])</f>
        <v>1000</v>
      </c>
      <c r="K1580" s="66" t="str">
        <f>IF(Data[[#This Row],[Betrag]]&lt;0,"A","E")</f>
        <v>E</v>
      </c>
    </row>
    <row r="1581" spans="1:11" x14ac:dyDescent="0.25">
      <c r="A1581" s="1">
        <v>43584</v>
      </c>
      <c r="B1581" s="66" t="s">
        <v>48</v>
      </c>
      <c r="C1581" s="66" t="s">
        <v>49</v>
      </c>
      <c r="D1581" t="s">
        <v>50</v>
      </c>
      <c r="E1581">
        <v>-15</v>
      </c>
      <c r="F1581" s="66" t="s">
        <v>7</v>
      </c>
      <c r="G1581" s="66" t="s">
        <v>8</v>
      </c>
      <c r="H1581" s="66" t="str">
        <f>TEXT(Data[[#This Row],[Buchung]],"MMM")</f>
        <v>Apr</v>
      </c>
      <c r="I1581" s="67">
        <f>YEAR(Data[[#This Row],[Buchung]])</f>
        <v>2019</v>
      </c>
      <c r="J1581" s="2">
        <f>ABS(Data[[#This Row],[Betrag]])</f>
        <v>15</v>
      </c>
      <c r="K1581" s="66" t="str">
        <f>IF(Data[[#This Row],[Betrag]]&lt;0,"A","E")</f>
        <v>A</v>
      </c>
    </row>
    <row r="1582" spans="1:11" x14ac:dyDescent="0.25">
      <c r="A1582" s="1">
        <v>43585</v>
      </c>
      <c r="B1582" s="66" t="s">
        <v>51</v>
      </c>
      <c r="C1582" s="66" t="s">
        <v>52</v>
      </c>
      <c r="D1582" t="s">
        <v>53</v>
      </c>
      <c r="E1582">
        <v>-350</v>
      </c>
      <c r="F1582" s="66" t="s">
        <v>7</v>
      </c>
      <c r="G1582" s="66" t="s">
        <v>11</v>
      </c>
      <c r="H1582" s="66" t="str">
        <f>TEXT(Data[[#This Row],[Buchung]],"MMM")</f>
        <v>Apr</v>
      </c>
      <c r="I1582" s="67">
        <f>YEAR(Data[[#This Row],[Buchung]])</f>
        <v>2019</v>
      </c>
      <c r="J1582" s="2">
        <f>ABS(Data[[#This Row],[Betrag]])</f>
        <v>350</v>
      </c>
      <c r="K1582" s="66" t="str">
        <f>IF(Data[[#This Row],[Betrag]]&lt;0,"A","E")</f>
        <v>A</v>
      </c>
    </row>
    <row r="1583" spans="1:11" x14ac:dyDescent="0.25">
      <c r="A1583" s="1">
        <v>43586</v>
      </c>
      <c r="B1583" s="66" t="s">
        <v>54</v>
      </c>
      <c r="C1583" s="66" t="s">
        <v>55</v>
      </c>
      <c r="D1583" t="s">
        <v>56</v>
      </c>
      <c r="E1583">
        <v>-120</v>
      </c>
      <c r="F1583" s="66" t="s">
        <v>7</v>
      </c>
      <c r="G1583" s="66" t="s">
        <v>57</v>
      </c>
      <c r="H1583" s="66" t="str">
        <f>TEXT(Data[[#This Row],[Buchung]],"MMM")</f>
        <v>Mai</v>
      </c>
      <c r="I1583" s="67">
        <f>YEAR(Data[[#This Row],[Buchung]])</f>
        <v>2019</v>
      </c>
      <c r="J1583" s="2">
        <f>ABS(Data[[#This Row],[Betrag]])</f>
        <v>120</v>
      </c>
      <c r="K1583" s="66" t="str">
        <f>IF(Data[[#This Row],[Betrag]]&lt;0,"A","E")</f>
        <v>A</v>
      </c>
    </row>
    <row r="1584" spans="1:11" x14ac:dyDescent="0.25">
      <c r="A1584" s="1">
        <v>43587</v>
      </c>
      <c r="B1584" s="66" t="s">
        <v>58</v>
      </c>
      <c r="C1584" s="66" t="s">
        <v>59</v>
      </c>
      <c r="D1584" t="s">
        <v>60</v>
      </c>
      <c r="E1584">
        <v>-70</v>
      </c>
      <c r="F1584" s="66" t="s">
        <v>7</v>
      </c>
      <c r="G1584" s="66" t="s">
        <v>10</v>
      </c>
      <c r="H1584" s="66" t="str">
        <f>TEXT(Data[[#This Row],[Buchung]],"MMM")</f>
        <v>Mai</v>
      </c>
      <c r="I1584" s="67">
        <f>YEAR(Data[[#This Row],[Buchung]])</f>
        <v>2019</v>
      </c>
      <c r="J1584" s="2">
        <f>ABS(Data[[#This Row],[Betrag]])</f>
        <v>70</v>
      </c>
      <c r="K1584" s="66" t="str">
        <f>IF(Data[[#This Row],[Betrag]]&lt;0,"A","E")</f>
        <v>A</v>
      </c>
    </row>
    <row r="1585" spans="1:11" x14ac:dyDescent="0.25">
      <c r="A1585" s="1">
        <v>43588</v>
      </c>
      <c r="B1585" s="66" t="s">
        <v>45</v>
      </c>
      <c r="C1585" s="66" t="s">
        <v>46</v>
      </c>
      <c r="D1585" t="s">
        <v>47</v>
      </c>
      <c r="E1585">
        <v>1000</v>
      </c>
      <c r="F1585" s="66" t="s">
        <v>7</v>
      </c>
      <c r="G1585" s="66" t="s">
        <v>9</v>
      </c>
      <c r="H1585" s="66" t="str">
        <f>TEXT(Data[[#This Row],[Buchung]],"MMM")</f>
        <v>Mai</v>
      </c>
      <c r="I1585" s="67">
        <f>YEAR(Data[[#This Row],[Buchung]])</f>
        <v>2019</v>
      </c>
      <c r="J1585" s="2">
        <f>ABS(Data[[#This Row],[Betrag]])</f>
        <v>1000</v>
      </c>
      <c r="K1585" s="66" t="str">
        <f>IF(Data[[#This Row],[Betrag]]&lt;0,"A","E")</f>
        <v>E</v>
      </c>
    </row>
    <row r="1586" spans="1:11" x14ac:dyDescent="0.25">
      <c r="A1586" s="1">
        <v>43589</v>
      </c>
      <c r="B1586" s="66" t="s">
        <v>61</v>
      </c>
      <c r="C1586" s="66" t="s">
        <v>49</v>
      </c>
      <c r="D1586" t="s">
        <v>62</v>
      </c>
      <c r="E1586">
        <v>-10</v>
      </c>
      <c r="F1586" s="66" t="s">
        <v>7</v>
      </c>
      <c r="G1586" s="66" t="s">
        <v>8</v>
      </c>
      <c r="H1586" s="66" t="str">
        <f>TEXT(Data[[#This Row],[Buchung]],"MMM")</f>
        <v>Mai</v>
      </c>
      <c r="I1586" s="67">
        <f>YEAR(Data[[#This Row],[Buchung]])</f>
        <v>2019</v>
      </c>
      <c r="J1586" s="2">
        <f>ABS(Data[[#This Row],[Betrag]])</f>
        <v>10</v>
      </c>
      <c r="K1586" s="66" t="str">
        <f>IF(Data[[#This Row],[Betrag]]&lt;0,"A","E")</f>
        <v>A</v>
      </c>
    </row>
    <row r="1587" spans="1:11" x14ac:dyDescent="0.25">
      <c r="A1587" s="1">
        <v>43590</v>
      </c>
      <c r="B1587" s="66" t="s">
        <v>63</v>
      </c>
      <c r="C1587" s="66" t="s">
        <v>64</v>
      </c>
      <c r="D1587" t="s">
        <v>65</v>
      </c>
      <c r="E1587">
        <v>-60</v>
      </c>
      <c r="F1587" s="66" t="s">
        <v>7</v>
      </c>
      <c r="G1587" s="66" t="s">
        <v>11</v>
      </c>
      <c r="H1587" s="66" t="str">
        <f>TEXT(Data[[#This Row],[Buchung]],"MMM")</f>
        <v>Mai</v>
      </c>
      <c r="I1587" s="67">
        <f>YEAR(Data[[#This Row],[Buchung]])</f>
        <v>2019</v>
      </c>
      <c r="J1587" s="2">
        <f>ABS(Data[[#This Row],[Betrag]])</f>
        <v>60</v>
      </c>
      <c r="K1587" s="66" t="str">
        <f>IF(Data[[#This Row],[Betrag]]&lt;0,"A","E")</f>
        <v>A</v>
      </c>
    </row>
    <row r="1588" spans="1:11" x14ac:dyDescent="0.25">
      <c r="A1588" s="1">
        <v>43591</v>
      </c>
      <c r="B1588" s="66" t="s">
        <v>54</v>
      </c>
      <c r="C1588" s="66" t="s">
        <v>55</v>
      </c>
      <c r="D1588" t="s">
        <v>66</v>
      </c>
      <c r="E1588">
        <v>-80</v>
      </c>
      <c r="F1588" s="66" t="s">
        <v>7</v>
      </c>
      <c r="G1588" s="66" t="s">
        <v>57</v>
      </c>
      <c r="H1588" s="66" t="str">
        <f>TEXT(Data[[#This Row],[Buchung]],"MMM")</f>
        <v>Mai</v>
      </c>
      <c r="I1588" s="67">
        <f>YEAR(Data[[#This Row],[Buchung]])</f>
        <v>2019</v>
      </c>
      <c r="J1588" s="2">
        <f>ABS(Data[[#This Row],[Betrag]])</f>
        <v>80</v>
      </c>
      <c r="K1588" s="66" t="str">
        <f>IF(Data[[#This Row],[Betrag]]&lt;0,"A","E")</f>
        <v>A</v>
      </c>
    </row>
    <row r="1589" spans="1:11" x14ac:dyDescent="0.25">
      <c r="A1589" s="1">
        <v>43592</v>
      </c>
      <c r="B1589" s="66" t="s">
        <v>67</v>
      </c>
      <c r="C1589" s="66" t="s">
        <v>59</v>
      </c>
      <c r="D1589" t="s">
        <v>68</v>
      </c>
      <c r="E1589">
        <v>-30</v>
      </c>
      <c r="F1589" s="66" t="s">
        <v>7</v>
      </c>
      <c r="G1589" s="66" t="s">
        <v>10</v>
      </c>
      <c r="H1589" s="66" t="str">
        <f>TEXT(Data[[#This Row],[Buchung]],"MMM")</f>
        <v>Mai</v>
      </c>
      <c r="I1589" s="67">
        <f>YEAR(Data[[#This Row],[Buchung]])</f>
        <v>2019</v>
      </c>
      <c r="J1589" s="2">
        <f>ABS(Data[[#This Row],[Betrag]])</f>
        <v>30</v>
      </c>
      <c r="K1589" s="66" t="str">
        <f>IF(Data[[#This Row],[Betrag]]&lt;0,"A","E")</f>
        <v>A</v>
      </c>
    </row>
    <row r="1590" spans="1:11" x14ac:dyDescent="0.25">
      <c r="A1590" s="1">
        <v>43593</v>
      </c>
      <c r="B1590" s="66" t="s">
        <v>45</v>
      </c>
      <c r="C1590" s="66" t="s">
        <v>46</v>
      </c>
      <c r="D1590" t="s">
        <v>47</v>
      </c>
      <c r="E1590">
        <v>1000</v>
      </c>
      <c r="F1590" s="66" t="s">
        <v>7</v>
      </c>
      <c r="G1590" s="66" t="s">
        <v>9</v>
      </c>
      <c r="H1590" s="66" t="str">
        <f>TEXT(Data[[#This Row],[Buchung]],"MMM")</f>
        <v>Mai</v>
      </c>
      <c r="I1590" s="67">
        <f>YEAR(Data[[#This Row],[Buchung]])</f>
        <v>2019</v>
      </c>
      <c r="J1590" s="2">
        <f>ABS(Data[[#This Row],[Betrag]])</f>
        <v>1000</v>
      </c>
      <c r="K1590" s="66" t="str">
        <f>IF(Data[[#This Row],[Betrag]]&lt;0,"A","E")</f>
        <v>E</v>
      </c>
    </row>
    <row r="1591" spans="1:11" x14ac:dyDescent="0.25">
      <c r="A1591" s="1">
        <v>43594</v>
      </c>
      <c r="B1591" s="66" t="s">
        <v>48</v>
      </c>
      <c r="C1591" s="66" t="s">
        <v>49</v>
      </c>
      <c r="D1591" t="s">
        <v>50</v>
      </c>
      <c r="E1591">
        <v>-15</v>
      </c>
      <c r="F1591" s="66" t="s">
        <v>7</v>
      </c>
      <c r="G1591" s="66" t="s">
        <v>8</v>
      </c>
      <c r="H1591" s="66" t="str">
        <f>TEXT(Data[[#This Row],[Buchung]],"MMM")</f>
        <v>Mai</v>
      </c>
      <c r="I1591" s="67">
        <f>YEAR(Data[[#This Row],[Buchung]])</f>
        <v>2019</v>
      </c>
      <c r="J1591" s="2">
        <f>ABS(Data[[#This Row],[Betrag]])</f>
        <v>15</v>
      </c>
      <c r="K1591" s="66" t="str">
        <f>IF(Data[[#This Row],[Betrag]]&lt;0,"A","E")</f>
        <v>A</v>
      </c>
    </row>
    <row r="1592" spans="1:11" x14ac:dyDescent="0.25">
      <c r="A1592" s="1">
        <v>43595</v>
      </c>
      <c r="B1592" s="66" t="s">
        <v>51</v>
      </c>
      <c r="C1592" s="66" t="s">
        <v>52</v>
      </c>
      <c r="D1592" t="s">
        <v>53</v>
      </c>
      <c r="E1592">
        <v>-350</v>
      </c>
      <c r="F1592" s="66" t="s">
        <v>7</v>
      </c>
      <c r="G1592" s="66" t="s">
        <v>11</v>
      </c>
      <c r="H1592" s="66" t="str">
        <f>TEXT(Data[[#This Row],[Buchung]],"MMM")</f>
        <v>Mai</v>
      </c>
      <c r="I1592" s="67">
        <f>YEAR(Data[[#This Row],[Buchung]])</f>
        <v>2019</v>
      </c>
      <c r="J1592" s="2">
        <f>ABS(Data[[#This Row],[Betrag]])</f>
        <v>350</v>
      </c>
      <c r="K1592" s="66" t="str">
        <f>IF(Data[[#This Row],[Betrag]]&lt;0,"A","E")</f>
        <v>A</v>
      </c>
    </row>
    <row r="1593" spans="1:11" x14ac:dyDescent="0.25">
      <c r="A1593" s="1">
        <v>43596</v>
      </c>
      <c r="B1593" s="66" t="s">
        <v>54</v>
      </c>
      <c r="C1593" s="66" t="s">
        <v>55</v>
      </c>
      <c r="D1593" t="s">
        <v>56</v>
      </c>
      <c r="E1593">
        <v>-120</v>
      </c>
      <c r="F1593" s="66" t="s">
        <v>7</v>
      </c>
      <c r="G1593" s="66" t="s">
        <v>57</v>
      </c>
      <c r="H1593" s="66" t="str">
        <f>TEXT(Data[[#This Row],[Buchung]],"MMM")</f>
        <v>Mai</v>
      </c>
      <c r="I1593" s="67">
        <f>YEAR(Data[[#This Row],[Buchung]])</f>
        <v>2019</v>
      </c>
      <c r="J1593" s="2">
        <f>ABS(Data[[#This Row],[Betrag]])</f>
        <v>120</v>
      </c>
      <c r="K1593" s="66" t="str">
        <f>IF(Data[[#This Row],[Betrag]]&lt;0,"A","E")</f>
        <v>A</v>
      </c>
    </row>
    <row r="1594" spans="1:11" x14ac:dyDescent="0.25">
      <c r="A1594" s="1">
        <v>43597</v>
      </c>
      <c r="B1594" s="66" t="s">
        <v>58</v>
      </c>
      <c r="C1594" s="66" t="s">
        <v>59</v>
      </c>
      <c r="D1594" t="s">
        <v>60</v>
      </c>
      <c r="E1594">
        <v>-80</v>
      </c>
      <c r="F1594" s="66" t="s">
        <v>7</v>
      </c>
      <c r="G1594" s="66" t="s">
        <v>10</v>
      </c>
      <c r="H1594" s="66" t="str">
        <f>TEXT(Data[[#This Row],[Buchung]],"MMM")</f>
        <v>Mai</v>
      </c>
      <c r="I1594" s="67">
        <f>YEAR(Data[[#This Row],[Buchung]])</f>
        <v>2019</v>
      </c>
      <c r="J1594" s="2">
        <f>ABS(Data[[#This Row],[Betrag]])</f>
        <v>80</v>
      </c>
      <c r="K1594" s="66" t="str">
        <f>IF(Data[[#This Row],[Betrag]]&lt;0,"A","E")</f>
        <v>A</v>
      </c>
    </row>
    <row r="1595" spans="1:11" x14ac:dyDescent="0.25">
      <c r="A1595" s="1">
        <v>43598</v>
      </c>
      <c r="B1595" s="66" t="s">
        <v>45</v>
      </c>
      <c r="C1595" s="66" t="s">
        <v>46</v>
      </c>
      <c r="D1595" t="s">
        <v>47</v>
      </c>
      <c r="E1595">
        <v>1000</v>
      </c>
      <c r="F1595" s="66" t="s">
        <v>7</v>
      </c>
      <c r="G1595" s="66" t="s">
        <v>9</v>
      </c>
      <c r="H1595" s="66" t="str">
        <f>TEXT(Data[[#This Row],[Buchung]],"MMM")</f>
        <v>Mai</v>
      </c>
      <c r="I1595" s="67">
        <f>YEAR(Data[[#This Row],[Buchung]])</f>
        <v>2019</v>
      </c>
      <c r="J1595" s="2">
        <f>ABS(Data[[#This Row],[Betrag]])</f>
        <v>1000</v>
      </c>
      <c r="K1595" s="66" t="str">
        <f>IF(Data[[#This Row],[Betrag]]&lt;0,"A","E")</f>
        <v>E</v>
      </c>
    </row>
    <row r="1596" spans="1:11" x14ac:dyDescent="0.25">
      <c r="A1596" s="1">
        <v>43599</v>
      </c>
      <c r="B1596" s="66" t="s">
        <v>61</v>
      </c>
      <c r="C1596" s="66" t="s">
        <v>49</v>
      </c>
      <c r="D1596" t="s">
        <v>62</v>
      </c>
      <c r="E1596">
        <v>-10</v>
      </c>
      <c r="F1596" s="66" t="s">
        <v>7</v>
      </c>
      <c r="G1596" s="66" t="s">
        <v>8</v>
      </c>
      <c r="H1596" s="66" t="str">
        <f>TEXT(Data[[#This Row],[Buchung]],"MMM")</f>
        <v>Mai</v>
      </c>
      <c r="I1596" s="67">
        <f>YEAR(Data[[#This Row],[Buchung]])</f>
        <v>2019</v>
      </c>
      <c r="J1596" s="2">
        <f>ABS(Data[[#This Row],[Betrag]])</f>
        <v>10</v>
      </c>
      <c r="K1596" s="66" t="str">
        <f>IF(Data[[#This Row],[Betrag]]&lt;0,"A","E")</f>
        <v>A</v>
      </c>
    </row>
    <row r="1597" spans="1:11" x14ac:dyDescent="0.25">
      <c r="A1597" s="1">
        <v>43600</v>
      </c>
      <c r="B1597" s="66" t="s">
        <v>63</v>
      </c>
      <c r="C1597" s="66" t="s">
        <v>64</v>
      </c>
      <c r="D1597" t="s">
        <v>65</v>
      </c>
      <c r="E1597">
        <v>-65</v>
      </c>
      <c r="F1597" s="66" t="s">
        <v>7</v>
      </c>
      <c r="G1597" s="66" t="s">
        <v>11</v>
      </c>
      <c r="H1597" s="66" t="str">
        <f>TEXT(Data[[#This Row],[Buchung]],"MMM")</f>
        <v>Mai</v>
      </c>
      <c r="I1597" s="67">
        <f>YEAR(Data[[#This Row],[Buchung]])</f>
        <v>2019</v>
      </c>
      <c r="J1597" s="2">
        <f>ABS(Data[[#This Row],[Betrag]])</f>
        <v>65</v>
      </c>
      <c r="K1597" s="66" t="str">
        <f>IF(Data[[#This Row],[Betrag]]&lt;0,"A","E")</f>
        <v>A</v>
      </c>
    </row>
    <row r="1598" spans="1:11" x14ac:dyDescent="0.25">
      <c r="A1598" s="1">
        <v>43601</v>
      </c>
      <c r="B1598" s="66" t="s">
        <v>54</v>
      </c>
      <c r="C1598" s="66" t="s">
        <v>55</v>
      </c>
      <c r="D1598" t="s">
        <v>66</v>
      </c>
      <c r="E1598">
        <v>-80</v>
      </c>
      <c r="F1598" s="66" t="s">
        <v>7</v>
      </c>
      <c r="G1598" s="66" t="s">
        <v>57</v>
      </c>
      <c r="H1598" s="66" t="str">
        <f>TEXT(Data[[#This Row],[Buchung]],"MMM")</f>
        <v>Mai</v>
      </c>
      <c r="I1598" s="67">
        <f>YEAR(Data[[#This Row],[Buchung]])</f>
        <v>2019</v>
      </c>
      <c r="J1598" s="2">
        <f>ABS(Data[[#This Row],[Betrag]])</f>
        <v>80</v>
      </c>
      <c r="K1598" s="66" t="str">
        <f>IF(Data[[#This Row],[Betrag]]&lt;0,"A","E")</f>
        <v>A</v>
      </c>
    </row>
    <row r="1599" spans="1:11" x14ac:dyDescent="0.25">
      <c r="A1599" s="1">
        <v>43602</v>
      </c>
      <c r="B1599" s="66" t="s">
        <v>67</v>
      </c>
      <c r="C1599" s="66" t="s">
        <v>59</v>
      </c>
      <c r="D1599" t="s">
        <v>68</v>
      </c>
      <c r="E1599">
        <v>-35</v>
      </c>
      <c r="F1599" s="66" t="s">
        <v>7</v>
      </c>
      <c r="G1599" s="66" t="s">
        <v>10</v>
      </c>
      <c r="H1599" s="66" t="str">
        <f>TEXT(Data[[#This Row],[Buchung]],"MMM")</f>
        <v>Mai</v>
      </c>
      <c r="I1599" s="67">
        <f>YEAR(Data[[#This Row],[Buchung]])</f>
        <v>2019</v>
      </c>
      <c r="J1599" s="2">
        <f>ABS(Data[[#This Row],[Betrag]])</f>
        <v>35</v>
      </c>
      <c r="K1599" s="66" t="str">
        <f>IF(Data[[#This Row],[Betrag]]&lt;0,"A","E")</f>
        <v>A</v>
      </c>
    </row>
    <row r="1600" spans="1:11" x14ac:dyDescent="0.25">
      <c r="A1600" s="1">
        <v>43603</v>
      </c>
      <c r="B1600" s="66" t="s">
        <v>45</v>
      </c>
      <c r="C1600" s="66" t="s">
        <v>46</v>
      </c>
      <c r="D1600" t="s">
        <v>47</v>
      </c>
      <c r="E1600">
        <v>1000</v>
      </c>
      <c r="F1600" s="66" t="s">
        <v>7</v>
      </c>
      <c r="G1600" s="66" t="s">
        <v>9</v>
      </c>
      <c r="H1600" s="66" t="str">
        <f>TEXT(Data[[#This Row],[Buchung]],"MMM")</f>
        <v>Mai</v>
      </c>
      <c r="I1600" s="67">
        <f>YEAR(Data[[#This Row],[Buchung]])</f>
        <v>2019</v>
      </c>
      <c r="J1600" s="2">
        <f>ABS(Data[[#This Row],[Betrag]])</f>
        <v>1000</v>
      </c>
      <c r="K1600" s="66" t="str">
        <f>IF(Data[[#This Row],[Betrag]]&lt;0,"A","E")</f>
        <v>E</v>
      </c>
    </row>
    <row r="1601" spans="1:11" x14ac:dyDescent="0.25">
      <c r="A1601" s="1">
        <v>43604</v>
      </c>
      <c r="B1601" s="66" t="s">
        <v>45</v>
      </c>
      <c r="C1601" s="66" t="s">
        <v>46</v>
      </c>
      <c r="D1601" t="s">
        <v>47</v>
      </c>
      <c r="E1601">
        <v>1000</v>
      </c>
      <c r="F1601" s="66" t="s">
        <v>7</v>
      </c>
      <c r="G1601" s="66" t="s">
        <v>9</v>
      </c>
      <c r="H1601" s="66" t="str">
        <f>TEXT(Data[[#This Row],[Buchung]],"MMM")</f>
        <v>Mai</v>
      </c>
      <c r="I1601" s="67">
        <f>YEAR(Data[[#This Row],[Buchung]])</f>
        <v>2019</v>
      </c>
      <c r="J1601" s="2">
        <f>ABS(Data[[#This Row],[Betrag]])</f>
        <v>1000</v>
      </c>
      <c r="K1601" s="66" t="str">
        <f>IF(Data[[#This Row],[Betrag]]&lt;0,"A","E")</f>
        <v>E</v>
      </c>
    </row>
    <row r="1602" spans="1:11" x14ac:dyDescent="0.25">
      <c r="A1602" s="1">
        <v>43605</v>
      </c>
      <c r="B1602" s="66" t="s">
        <v>48</v>
      </c>
      <c r="C1602" s="66" t="s">
        <v>49</v>
      </c>
      <c r="D1602" t="s">
        <v>50</v>
      </c>
      <c r="E1602">
        <v>-15</v>
      </c>
      <c r="F1602" s="66" t="s">
        <v>7</v>
      </c>
      <c r="G1602" s="66" t="s">
        <v>8</v>
      </c>
      <c r="H1602" s="66" t="str">
        <f>TEXT(Data[[#This Row],[Buchung]],"MMM")</f>
        <v>Mai</v>
      </c>
      <c r="I1602" s="67">
        <f>YEAR(Data[[#This Row],[Buchung]])</f>
        <v>2019</v>
      </c>
      <c r="J1602" s="2">
        <f>ABS(Data[[#This Row],[Betrag]])</f>
        <v>15</v>
      </c>
      <c r="K1602" s="66" t="str">
        <f>IF(Data[[#This Row],[Betrag]]&lt;0,"A","E")</f>
        <v>A</v>
      </c>
    </row>
    <row r="1603" spans="1:11" x14ac:dyDescent="0.25">
      <c r="A1603" s="1">
        <v>43606</v>
      </c>
      <c r="B1603" s="66" t="s">
        <v>51</v>
      </c>
      <c r="C1603" s="66" t="s">
        <v>52</v>
      </c>
      <c r="D1603" t="s">
        <v>53</v>
      </c>
      <c r="E1603">
        <v>-350</v>
      </c>
      <c r="F1603" s="66" t="s">
        <v>7</v>
      </c>
      <c r="G1603" s="66" t="s">
        <v>11</v>
      </c>
      <c r="H1603" s="66" t="str">
        <f>TEXT(Data[[#This Row],[Buchung]],"MMM")</f>
        <v>Mai</v>
      </c>
      <c r="I1603" s="67">
        <f>YEAR(Data[[#This Row],[Buchung]])</f>
        <v>2019</v>
      </c>
      <c r="J1603" s="2">
        <f>ABS(Data[[#This Row],[Betrag]])</f>
        <v>350</v>
      </c>
      <c r="K1603" s="66" t="str">
        <f>IF(Data[[#This Row],[Betrag]]&lt;0,"A","E")</f>
        <v>A</v>
      </c>
    </row>
    <row r="1604" spans="1:11" x14ac:dyDescent="0.25">
      <c r="A1604" s="1">
        <v>43607</v>
      </c>
      <c r="B1604" s="66" t="s">
        <v>54</v>
      </c>
      <c r="C1604" s="66" t="s">
        <v>55</v>
      </c>
      <c r="D1604" t="s">
        <v>56</v>
      </c>
      <c r="E1604">
        <v>-120</v>
      </c>
      <c r="F1604" s="66" t="s">
        <v>7</v>
      </c>
      <c r="G1604" s="66" t="s">
        <v>57</v>
      </c>
      <c r="H1604" s="66" t="str">
        <f>TEXT(Data[[#This Row],[Buchung]],"MMM")</f>
        <v>Mai</v>
      </c>
      <c r="I1604" s="67">
        <f>YEAR(Data[[#This Row],[Buchung]])</f>
        <v>2019</v>
      </c>
      <c r="J1604" s="2">
        <f>ABS(Data[[#This Row],[Betrag]])</f>
        <v>120</v>
      </c>
      <c r="K1604" s="66" t="str">
        <f>IF(Data[[#This Row],[Betrag]]&lt;0,"A","E")</f>
        <v>A</v>
      </c>
    </row>
    <row r="1605" spans="1:11" x14ac:dyDescent="0.25">
      <c r="A1605" s="1">
        <v>43608</v>
      </c>
      <c r="B1605" s="66" t="s">
        <v>58</v>
      </c>
      <c r="C1605" s="66" t="s">
        <v>59</v>
      </c>
      <c r="D1605" t="s">
        <v>60</v>
      </c>
      <c r="E1605">
        <v>-50</v>
      </c>
      <c r="F1605" s="66" t="s">
        <v>7</v>
      </c>
      <c r="G1605" s="66" t="s">
        <v>10</v>
      </c>
      <c r="H1605" s="66" t="str">
        <f>TEXT(Data[[#This Row],[Buchung]],"MMM")</f>
        <v>Mai</v>
      </c>
      <c r="I1605" s="67">
        <f>YEAR(Data[[#This Row],[Buchung]])</f>
        <v>2019</v>
      </c>
      <c r="J1605" s="2">
        <f>ABS(Data[[#This Row],[Betrag]])</f>
        <v>50</v>
      </c>
      <c r="K1605" s="66" t="str">
        <f>IF(Data[[#This Row],[Betrag]]&lt;0,"A","E")</f>
        <v>A</v>
      </c>
    </row>
    <row r="1606" spans="1:11" x14ac:dyDescent="0.25">
      <c r="A1606" s="1">
        <v>43609</v>
      </c>
      <c r="B1606" s="66" t="s">
        <v>45</v>
      </c>
      <c r="C1606" s="66" t="s">
        <v>46</v>
      </c>
      <c r="D1606" t="s">
        <v>47</v>
      </c>
      <c r="E1606">
        <v>1000</v>
      </c>
      <c r="F1606" s="66" t="s">
        <v>7</v>
      </c>
      <c r="G1606" s="66" t="s">
        <v>9</v>
      </c>
      <c r="H1606" s="66" t="str">
        <f>TEXT(Data[[#This Row],[Buchung]],"MMM")</f>
        <v>Mai</v>
      </c>
      <c r="I1606" s="67">
        <f>YEAR(Data[[#This Row],[Buchung]])</f>
        <v>2019</v>
      </c>
      <c r="J1606" s="2">
        <f>ABS(Data[[#This Row],[Betrag]])</f>
        <v>1000</v>
      </c>
      <c r="K1606" s="66" t="str">
        <f>IF(Data[[#This Row],[Betrag]]&lt;0,"A","E")</f>
        <v>E</v>
      </c>
    </row>
    <row r="1607" spans="1:11" x14ac:dyDescent="0.25">
      <c r="A1607" s="1">
        <v>43610</v>
      </c>
      <c r="B1607" s="66" t="s">
        <v>61</v>
      </c>
      <c r="C1607" s="66" t="s">
        <v>49</v>
      </c>
      <c r="D1607" t="s">
        <v>62</v>
      </c>
      <c r="E1607">
        <v>-10</v>
      </c>
      <c r="F1607" s="66" t="s">
        <v>7</v>
      </c>
      <c r="G1607" s="66" t="s">
        <v>8</v>
      </c>
      <c r="H1607" s="66" t="str">
        <f>TEXT(Data[[#This Row],[Buchung]],"MMM")</f>
        <v>Mai</v>
      </c>
      <c r="I1607" s="67">
        <f>YEAR(Data[[#This Row],[Buchung]])</f>
        <v>2019</v>
      </c>
      <c r="J1607" s="2">
        <f>ABS(Data[[#This Row],[Betrag]])</f>
        <v>10</v>
      </c>
      <c r="K1607" s="66" t="str">
        <f>IF(Data[[#This Row],[Betrag]]&lt;0,"A","E")</f>
        <v>A</v>
      </c>
    </row>
    <row r="1608" spans="1:11" x14ac:dyDescent="0.25">
      <c r="A1608" s="1">
        <v>43611</v>
      </c>
      <c r="B1608" s="66" t="s">
        <v>63</v>
      </c>
      <c r="C1608" s="66" t="s">
        <v>64</v>
      </c>
      <c r="D1608" t="s">
        <v>65</v>
      </c>
      <c r="E1608">
        <v>-60</v>
      </c>
      <c r="F1608" s="66" t="s">
        <v>7</v>
      </c>
      <c r="G1608" s="66" t="s">
        <v>11</v>
      </c>
      <c r="H1608" s="66" t="str">
        <f>TEXT(Data[[#This Row],[Buchung]],"MMM")</f>
        <v>Mai</v>
      </c>
      <c r="I1608" s="67">
        <f>YEAR(Data[[#This Row],[Buchung]])</f>
        <v>2019</v>
      </c>
      <c r="J1608" s="2">
        <f>ABS(Data[[#This Row],[Betrag]])</f>
        <v>60</v>
      </c>
      <c r="K1608" s="66" t="str">
        <f>IF(Data[[#This Row],[Betrag]]&lt;0,"A","E")</f>
        <v>A</v>
      </c>
    </row>
    <row r="1609" spans="1:11" x14ac:dyDescent="0.25">
      <c r="A1609" s="1">
        <v>43612</v>
      </c>
      <c r="B1609" s="66" t="s">
        <v>54</v>
      </c>
      <c r="C1609" s="66" t="s">
        <v>55</v>
      </c>
      <c r="D1609" t="s">
        <v>66</v>
      </c>
      <c r="E1609">
        <v>-80</v>
      </c>
      <c r="F1609" s="66" t="s">
        <v>7</v>
      </c>
      <c r="G1609" s="66" t="s">
        <v>57</v>
      </c>
      <c r="H1609" s="66" t="str">
        <f>TEXT(Data[[#This Row],[Buchung]],"MMM")</f>
        <v>Mai</v>
      </c>
      <c r="I1609" s="67">
        <f>YEAR(Data[[#This Row],[Buchung]])</f>
        <v>2019</v>
      </c>
      <c r="J1609" s="2">
        <f>ABS(Data[[#This Row],[Betrag]])</f>
        <v>80</v>
      </c>
      <c r="K1609" s="66" t="str">
        <f>IF(Data[[#This Row],[Betrag]]&lt;0,"A","E")</f>
        <v>A</v>
      </c>
    </row>
    <row r="1610" spans="1:11" x14ac:dyDescent="0.25">
      <c r="A1610" s="1">
        <v>43613</v>
      </c>
      <c r="B1610" s="66" t="s">
        <v>67</v>
      </c>
      <c r="C1610" s="66" t="s">
        <v>59</v>
      </c>
      <c r="D1610" t="s">
        <v>68</v>
      </c>
      <c r="E1610">
        <v>-20</v>
      </c>
      <c r="F1610" s="66" t="s">
        <v>7</v>
      </c>
      <c r="G1610" s="66" t="s">
        <v>10</v>
      </c>
      <c r="H1610" s="66" t="str">
        <f>TEXT(Data[[#This Row],[Buchung]],"MMM")</f>
        <v>Mai</v>
      </c>
      <c r="I1610" s="67">
        <f>YEAR(Data[[#This Row],[Buchung]])</f>
        <v>2019</v>
      </c>
      <c r="J1610" s="2">
        <f>ABS(Data[[#This Row],[Betrag]])</f>
        <v>20</v>
      </c>
      <c r="K1610" s="66" t="str">
        <f>IF(Data[[#This Row],[Betrag]]&lt;0,"A","E")</f>
        <v>A</v>
      </c>
    </row>
    <row r="1611" spans="1:11" x14ac:dyDescent="0.25">
      <c r="A1611" s="1">
        <v>43614</v>
      </c>
      <c r="B1611" s="66" t="s">
        <v>45</v>
      </c>
      <c r="C1611" s="66" t="s">
        <v>46</v>
      </c>
      <c r="D1611" t="s">
        <v>47</v>
      </c>
      <c r="E1611">
        <v>1000</v>
      </c>
      <c r="F1611" s="66" t="s">
        <v>7</v>
      </c>
      <c r="G1611" s="66" t="s">
        <v>9</v>
      </c>
      <c r="H1611" s="66" t="str">
        <f>TEXT(Data[[#This Row],[Buchung]],"MMM")</f>
        <v>Mai</v>
      </c>
      <c r="I1611" s="67">
        <f>YEAR(Data[[#This Row],[Buchung]])</f>
        <v>2019</v>
      </c>
      <c r="J1611" s="2">
        <f>ABS(Data[[#This Row],[Betrag]])</f>
        <v>1000</v>
      </c>
      <c r="K1611" s="66" t="str">
        <f>IF(Data[[#This Row],[Betrag]]&lt;0,"A","E")</f>
        <v>E</v>
      </c>
    </row>
    <row r="1612" spans="1:11" x14ac:dyDescent="0.25">
      <c r="A1612" s="1">
        <v>43615</v>
      </c>
      <c r="B1612" s="66" t="s">
        <v>48</v>
      </c>
      <c r="C1612" s="66" t="s">
        <v>49</v>
      </c>
      <c r="D1612" t="s">
        <v>50</v>
      </c>
      <c r="E1612">
        <v>-15</v>
      </c>
      <c r="F1612" s="66" t="s">
        <v>7</v>
      </c>
      <c r="G1612" s="66" t="s">
        <v>8</v>
      </c>
      <c r="H1612" s="66" t="str">
        <f>TEXT(Data[[#This Row],[Buchung]],"MMM")</f>
        <v>Mai</v>
      </c>
      <c r="I1612" s="67">
        <f>YEAR(Data[[#This Row],[Buchung]])</f>
        <v>2019</v>
      </c>
      <c r="J1612" s="2">
        <f>ABS(Data[[#This Row],[Betrag]])</f>
        <v>15</v>
      </c>
      <c r="K1612" s="66" t="str">
        <f>IF(Data[[#This Row],[Betrag]]&lt;0,"A","E")</f>
        <v>A</v>
      </c>
    </row>
    <row r="1613" spans="1:11" x14ac:dyDescent="0.25">
      <c r="A1613" s="1">
        <v>43616</v>
      </c>
      <c r="B1613" s="66" t="s">
        <v>51</v>
      </c>
      <c r="C1613" s="66" t="s">
        <v>52</v>
      </c>
      <c r="D1613" t="s">
        <v>53</v>
      </c>
      <c r="E1613">
        <v>-350</v>
      </c>
      <c r="F1613" s="66" t="s">
        <v>7</v>
      </c>
      <c r="G1613" s="66" t="s">
        <v>11</v>
      </c>
      <c r="H1613" s="66" t="str">
        <f>TEXT(Data[[#This Row],[Buchung]],"MMM")</f>
        <v>Mai</v>
      </c>
      <c r="I1613" s="67">
        <f>YEAR(Data[[#This Row],[Buchung]])</f>
        <v>2019</v>
      </c>
      <c r="J1613" s="2">
        <f>ABS(Data[[#This Row],[Betrag]])</f>
        <v>350</v>
      </c>
      <c r="K1613" s="66" t="str">
        <f>IF(Data[[#This Row],[Betrag]]&lt;0,"A","E")</f>
        <v>A</v>
      </c>
    </row>
    <row r="1614" spans="1:11" x14ac:dyDescent="0.25">
      <c r="A1614" s="1">
        <v>43617</v>
      </c>
      <c r="B1614" s="66" t="s">
        <v>54</v>
      </c>
      <c r="C1614" s="66" t="s">
        <v>55</v>
      </c>
      <c r="D1614" t="s">
        <v>56</v>
      </c>
      <c r="E1614">
        <v>-120</v>
      </c>
      <c r="F1614" s="66" t="s">
        <v>7</v>
      </c>
      <c r="G1614" s="66" t="s">
        <v>57</v>
      </c>
      <c r="H1614" s="66" t="str">
        <f>TEXT(Data[[#This Row],[Buchung]],"MMM")</f>
        <v>Jun</v>
      </c>
      <c r="I1614" s="67">
        <f>YEAR(Data[[#This Row],[Buchung]])</f>
        <v>2019</v>
      </c>
      <c r="J1614" s="2">
        <f>ABS(Data[[#This Row],[Betrag]])</f>
        <v>120</v>
      </c>
      <c r="K1614" s="66" t="str">
        <f>IF(Data[[#This Row],[Betrag]]&lt;0,"A","E")</f>
        <v>A</v>
      </c>
    </row>
    <row r="1615" spans="1:11" x14ac:dyDescent="0.25">
      <c r="A1615" s="1">
        <v>43618</v>
      </c>
      <c r="B1615" s="66" t="s">
        <v>58</v>
      </c>
      <c r="C1615" s="66" t="s">
        <v>59</v>
      </c>
      <c r="D1615" t="s">
        <v>60</v>
      </c>
      <c r="E1615">
        <v>-60</v>
      </c>
      <c r="F1615" s="66" t="s">
        <v>7</v>
      </c>
      <c r="G1615" s="66" t="s">
        <v>10</v>
      </c>
      <c r="H1615" s="66" t="str">
        <f>TEXT(Data[[#This Row],[Buchung]],"MMM")</f>
        <v>Jun</v>
      </c>
      <c r="I1615" s="67">
        <f>YEAR(Data[[#This Row],[Buchung]])</f>
        <v>2019</v>
      </c>
      <c r="J1615" s="2">
        <f>ABS(Data[[#This Row],[Betrag]])</f>
        <v>60</v>
      </c>
      <c r="K1615" s="66" t="str">
        <f>IF(Data[[#This Row],[Betrag]]&lt;0,"A","E")</f>
        <v>A</v>
      </c>
    </row>
    <row r="1616" spans="1:11" x14ac:dyDescent="0.25">
      <c r="A1616" s="1">
        <v>43619</v>
      </c>
      <c r="B1616" s="66" t="s">
        <v>45</v>
      </c>
      <c r="C1616" s="66" t="s">
        <v>46</v>
      </c>
      <c r="D1616" t="s">
        <v>47</v>
      </c>
      <c r="E1616">
        <v>1000</v>
      </c>
      <c r="F1616" s="66" t="s">
        <v>7</v>
      </c>
      <c r="G1616" s="66" t="s">
        <v>9</v>
      </c>
      <c r="H1616" s="66" t="str">
        <f>TEXT(Data[[#This Row],[Buchung]],"MMM")</f>
        <v>Jun</v>
      </c>
      <c r="I1616" s="67">
        <f>YEAR(Data[[#This Row],[Buchung]])</f>
        <v>2019</v>
      </c>
      <c r="J1616" s="2">
        <f>ABS(Data[[#This Row],[Betrag]])</f>
        <v>1000</v>
      </c>
      <c r="K1616" s="66" t="str">
        <f>IF(Data[[#This Row],[Betrag]]&lt;0,"A","E")</f>
        <v>E</v>
      </c>
    </row>
    <row r="1617" spans="1:11" x14ac:dyDescent="0.25">
      <c r="A1617" s="1">
        <v>43620</v>
      </c>
      <c r="B1617" s="66" t="s">
        <v>61</v>
      </c>
      <c r="C1617" s="66" t="s">
        <v>49</v>
      </c>
      <c r="D1617" t="s">
        <v>62</v>
      </c>
      <c r="E1617">
        <v>-10</v>
      </c>
      <c r="F1617" s="66" t="s">
        <v>7</v>
      </c>
      <c r="G1617" s="66" t="s">
        <v>8</v>
      </c>
      <c r="H1617" s="66" t="str">
        <f>TEXT(Data[[#This Row],[Buchung]],"MMM")</f>
        <v>Jun</v>
      </c>
      <c r="I1617" s="67">
        <f>YEAR(Data[[#This Row],[Buchung]])</f>
        <v>2019</v>
      </c>
      <c r="J1617" s="2">
        <f>ABS(Data[[#This Row],[Betrag]])</f>
        <v>10</v>
      </c>
      <c r="K1617" s="66" t="str">
        <f>IF(Data[[#This Row],[Betrag]]&lt;0,"A","E")</f>
        <v>A</v>
      </c>
    </row>
    <row r="1618" spans="1:11" x14ac:dyDescent="0.25">
      <c r="A1618" s="1">
        <v>43621</v>
      </c>
      <c r="B1618" s="66" t="s">
        <v>63</v>
      </c>
      <c r="C1618" s="66" t="s">
        <v>64</v>
      </c>
      <c r="D1618" t="s">
        <v>65</v>
      </c>
      <c r="E1618">
        <v>-70</v>
      </c>
      <c r="F1618" s="66" t="s">
        <v>7</v>
      </c>
      <c r="G1618" s="66" t="s">
        <v>11</v>
      </c>
      <c r="H1618" s="66" t="str">
        <f>TEXT(Data[[#This Row],[Buchung]],"MMM")</f>
        <v>Jun</v>
      </c>
      <c r="I1618" s="67">
        <f>YEAR(Data[[#This Row],[Buchung]])</f>
        <v>2019</v>
      </c>
      <c r="J1618" s="2">
        <f>ABS(Data[[#This Row],[Betrag]])</f>
        <v>70</v>
      </c>
      <c r="K1618" s="66" t="str">
        <f>IF(Data[[#This Row],[Betrag]]&lt;0,"A","E")</f>
        <v>A</v>
      </c>
    </row>
    <row r="1619" spans="1:11" x14ac:dyDescent="0.25">
      <c r="A1619" s="1">
        <v>43622</v>
      </c>
      <c r="B1619" s="66" t="s">
        <v>54</v>
      </c>
      <c r="C1619" s="66" t="s">
        <v>55</v>
      </c>
      <c r="D1619" t="s">
        <v>66</v>
      </c>
      <c r="E1619">
        <v>-80</v>
      </c>
      <c r="F1619" s="66" t="s">
        <v>7</v>
      </c>
      <c r="G1619" s="66" t="s">
        <v>57</v>
      </c>
      <c r="H1619" s="66" t="str">
        <f>TEXT(Data[[#This Row],[Buchung]],"MMM")</f>
        <v>Jun</v>
      </c>
      <c r="I1619" s="67">
        <f>YEAR(Data[[#This Row],[Buchung]])</f>
        <v>2019</v>
      </c>
      <c r="J1619" s="2">
        <f>ABS(Data[[#This Row],[Betrag]])</f>
        <v>80</v>
      </c>
      <c r="K1619" s="66" t="str">
        <f>IF(Data[[#This Row],[Betrag]]&lt;0,"A","E")</f>
        <v>A</v>
      </c>
    </row>
    <row r="1620" spans="1:11" x14ac:dyDescent="0.25">
      <c r="A1620" s="1">
        <v>43623</v>
      </c>
      <c r="B1620" s="66" t="s">
        <v>67</v>
      </c>
      <c r="C1620" s="66" t="s">
        <v>59</v>
      </c>
      <c r="D1620" t="s">
        <v>68</v>
      </c>
      <c r="E1620">
        <v>-25</v>
      </c>
      <c r="F1620" s="66" t="s">
        <v>7</v>
      </c>
      <c r="G1620" s="66" t="s">
        <v>10</v>
      </c>
      <c r="H1620" s="66" t="str">
        <f>TEXT(Data[[#This Row],[Buchung]],"MMM")</f>
        <v>Jun</v>
      </c>
      <c r="I1620" s="67">
        <f>YEAR(Data[[#This Row],[Buchung]])</f>
        <v>2019</v>
      </c>
      <c r="J1620" s="2">
        <f>ABS(Data[[#This Row],[Betrag]])</f>
        <v>25</v>
      </c>
      <c r="K1620" s="66" t="str">
        <f>IF(Data[[#This Row],[Betrag]]&lt;0,"A","E")</f>
        <v>A</v>
      </c>
    </row>
    <row r="1621" spans="1:11" x14ac:dyDescent="0.25">
      <c r="A1621" s="1">
        <v>43624</v>
      </c>
      <c r="B1621" s="66" t="s">
        <v>45</v>
      </c>
      <c r="C1621" s="66" t="s">
        <v>46</v>
      </c>
      <c r="D1621" t="s">
        <v>47</v>
      </c>
      <c r="E1621">
        <v>1000</v>
      </c>
      <c r="F1621" s="66" t="s">
        <v>7</v>
      </c>
      <c r="G1621" s="66" t="s">
        <v>9</v>
      </c>
      <c r="H1621" s="66" t="str">
        <f>TEXT(Data[[#This Row],[Buchung]],"MMM")</f>
        <v>Jun</v>
      </c>
      <c r="I1621" s="67">
        <f>YEAR(Data[[#This Row],[Buchung]])</f>
        <v>2019</v>
      </c>
      <c r="J1621" s="2">
        <f>ABS(Data[[#This Row],[Betrag]])</f>
        <v>1000</v>
      </c>
      <c r="K1621" s="66" t="str">
        <f>IF(Data[[#This Row],[Betrag]]&lt;0,"A","E")</f>
        <v>E</v>
      </c>
    </row>
    <row r="1622" spans="1:11" x14ac:dyDescent="0.25">
      <c r="A1622" s="1">
        <v>43625</v>
      </c>
      <c r="B1622" s="66" t="s">
        <v>48</v>
      </c>
      <c r="C1622" s="66" t="s">
        <v>49</v>
      </c>
      <c r="D1622" t="s">
        <v>50</v>
      </c>
      <c r="E1622">
        <v>-15</v>
      </c>
      <c r="F1622" s="66" t="s">
        <v>7</v>
      </c>
      <c r="G1622" s="66" t="s">
        <v>8</v>
      </c>
      <c r="H1622" s="66" t="str">
        <f>TEXT(Data[[#This Row],[Buchung]],"MMM")</f>
        <v>Jun</v>
      </c>
      <c r="I1622" s="67">
        <f>YEAR(Data[[#This Row],[Buchung]])</f>
        <v>2019</v>
      </c>
      <c r="J1622" s="2">
        <f>ABS(Data[[#This Row],[Betrag]])</f>
        <v>15</v>
      </c>
      <c r="K1622" s="66" t="str">
        <f>IF(Data[[#This Row],[Betrag]]&lt;0,"A","E")</f>
        <v>A</v>
      </c>
    </row>
    <row r="1623" spans="1:11" x14ac:dyDescent="0.25">
      <c r="A1623" s="1">
        <v>43626</v>
      </c>
      <c r="B1623" s="66" t="s">
        <v>51</v>
      </c>
      <c r="C1623" s="66" t="s">
        <v>52</v>
      </c>
      <c r="D1623" t="s">
        <v>53</v>
      </c>
      <c r="E1623">
        <v>-350</v>
      </c>
      <c r="F1623" s="66" t="s">
        <v>7</v>
      </c>
      <c r="G1623" s="66" t="s">
        <v>11</v>
      </c>
      <c r="H1623" s="66" t="str">
        <f>TEXT(Data[[#This Row],[Buchung]],"MMM")</f>
        <v>Jun</v>
      </c>
      <c r="I1623" s="67">
        <f>YEAR(Data[[#This Row],[Buchung]])</f>
        <v>2019</v>
      </c>
      <c r="J1623" s="2">
        <f>ABS(Data[[#This Row],[Betrag]])</f>
        <v>350</v>
      </c>
      <c r="K1623" s="66" t="str">
        <f>IF(Data[[#This Row],[Betrag]]&lt;0,"A","E")</f>
        <v>A</v>
      </c>
    </row>
    <row r="1624" spans="1:11" x14ac:dyDescent="0.25">
      <c r="A1624" s="1">
        <v>43627</v>
      </c>
      <c r="B1624" s="66" t="s">
        <v>54</v>
      </c>
      <c r="C1624" s="66" t="s">
        <v>55</v>
      </c>
      <c r="D1624" t="s">
        <v>56</v>
      </c>
      <c r="E1624">
        <v>-120</v>
      </c>
      <c r="F1624" s="66" t="s">
        <v>7</v>
      </c>
      <c r="G1624" s="66" t="s">
        <v>57</v>
      </c>
      <c r="H1624" s="66" t="str">
        <f>TEXT(Data[[#This Row],[Buchung]],"MMM")</f>
        <v>Jun</v>
      </c>
      <c r="I1624" s="67">
        <f>YEAR(Data[[#This Row],[Buchung]])</f>
        <v>2019</v>
      </c>
      <c r="J1624" s="2">
        <f>ABS(Data[[#This Row],[Betrag]])</f>
        <v>120</v>
      </c>
      <c r="K1624" s="66" t="str">
        <f>IF(Data[[#This Row],[Betrag]]&lt;0,"A","E")</f>
        <v>A</v>
      </c>
    </row>
    <row r="1625" spans="1:11" x14ac:dyDescent="0.25">
      <c r="A1625" s="1">
        <v>43628</v>
      </c>
      <c r="B1625" s="66" t="s">
        <v>58</v>
      </c>
      <c r="C1625" s="66" t="s">
        <v>59</v>
      </c>
      <c r="D1625" t="s">
        <v>60</v>
      </c>
      <c r="E1625">
        <v>-70</v>
      </c>
      <c r="F1625" s="66" t="s">
        <v>7</v>
      </c>
      <c r="G1625" s="66" t="s">
        <v>10</v>
      </c>
      <c r="H1625" s="66" t="str">
        <f>TEXT(Data[[#This Row],[Buchung]],"MMM")</f>
        <v>Jun</v>
      </c>
      <c r="I1625" s="67">
        <f>YEAR(Data[[#This Row],[Buchung]])</f>
        <v>2019</v>
      </c>
      <c r="J1625" s="2">
        <f>ABS(Data[[#This Row],[Betrag]])</f>
        <v>70</v>
      </c>
      <c r="K1625" s="66" t="str">
        <f>IF(Data[[#This Row],[Betrag]]&lt;0,"A","E")</f>
        <v>A</v>
      </c>
    </row>
    <row r="1626" spans="1:11" x14ac:dyDescent="0.25">
      <c r="A1626" s="1">
        <v>43629</v>
      </c>
      <c r="B1626" s="66" t="s">
        <v>45</v>
      </c>
      <c r="C1626" s="66" t="s">
        <v>46</v>
      </c>
      <c r="D1626" t="s">
        <v>47</v>
      </c>
      <c r="E1626">
        <v>1000</v>
      </c>
      <c r="F1626" s="66" t="s">
        <v>7</v>
      </c>
      <c r="G1626" s="66" t="s">
        <v>9</v>
      </c>
      <c r="H1626" s="66" t="str">
        <f>TEXT(Data[[#This Row],[Buchung]],"MMM")</f>
        <v>Jun</v>
      </c>
      <c r="I1626" s="67">
        <f>YEAR(Data[[#This Row],[Buchung]])</f>
        <v>2019</v>
      </c>
      <c r="J1626" s="2">
        <f>ABS(Data[[#This Row],[Betrag]])</f>
        <v>1000</v>
      </c>
      <c r="K1626" s="66" t="str">
        <f>IF(Data[[#This Row],[Betrag]]&lt;0,"A","E")</f>
        <v>E</v>
      </c>
    </row>
    <row r="1627" spans="1:11" x14ac:dyDescent="0.25">
      <c r="A1627" s="1">
        <v>43630</v>
      </c>
      <c r="B1627" s="66" t="s">
        <v>61</v>
      </c>
      <c r="C1627" s="66" t="s">
        <v>49</v>
      </c>
      <c r="D1627" t="s">
        <v>62</v>
      </c>
      <c r="E1627">
        <v>-10</v>
      </c>
      <c r="F1627" s="66" t="s">
        <v>7</v>
      </c>
      <c r="G1627" s="66" t="s">
        <v>8</v>
      </c>
      <c r="H1627" s="66" t="str">
        <f>TEXT(Data[[#This Row],[Buchung]],"MMM")</f>
        <v>Jun</v>
      </c>
      <c r="I1627" s="67">
        <f>YEAR(Data[[#This Row],[Buchung]])</f>
        <v>2019</v>
      </c>
      <c r="J1627" s="2">
        <f>ABS(Data[[#This Row],[Betrag]])</f>
        <v>10</v>
      </c>
      <c r="K1627" s="66" t="str">
        <f>IF(Data[[#This Row],[Betrag]]&lt;0,"A","E")</f>
        <v>A</v>
      </c>
    </row>
    <row r="1628" spans="1:11" x14ac:dyDescent="0.25">
      <c r="A1628" s="1">
        <v>43631</v>
      </c>
      <c r="B1628" s="66" t="s">
        <v>63</v>
      </c>
      <c r="C1628" s="66" t="s">
        <v>64</v>
      </c>
      <c r="D1628" t="s">
        <v>65</v>
      </c>
      <c r="E1628">
        <v>-60</v>
      </c>
      <c r="F1628" s="66" t="s">
        <v>7</v>
      </c>
      <c r="G1628" s="66" t="s">
        <v>11</v>
      </c>
      <c r="H1628" s="66" t="str">
        <f>TEXT(Data[[#This Row],[Buchung]],"MMM")</f>
        <v>Jun</v>
      </c>
      <c r="I1628" s="67">
        <f>YEAR(Data[[#This Row],[Buchung]])</f>
        <v>2019</v>
      </c>
      <c r="J1628" s="2">
        <f>ABS(Data[[#This Row],[Betrag]])</f>
        <v>60</v>
      </c>
      <c r="K1628" s="66" t="str">
        <f>IF(Data[[#This Row],[Betrag]]&lt;0,"A","E")</f>
        <v>A</v>
      </c>
    </row>
    <row r="1629" spans="1:11" x14ac:dyDescent="0.25">
      <c r="A1629" s="1">
        <v>43632</v>
      </c>
      <c r="B1629" s="66" t="s">
        <v>54</v>
      </c>
      <c r="C1629" s="66" t="s">
        <v>55</v>
      </c>
      <c r="D1629" t="s">
        <v>66</v>
      </c>
      <c r="E1629">
        <v>-80</v>
      </c>
      <c r="F1629" s="66" t="s">
        <v>7</v>
      </c>
      <c r="G1629" s="66" t="s">
        <v>57</v>
      </c>
      <c r="H1629" s="66" t="str">
        <f>TEXT(Data[[#This Row],[Buchung]],"MMM")</f>
        <v>Jun</v>
      </c>
      <c r="I1629" s="67">
        <f>YEAR(Data[[#This Row],[Buchung]])</f>
        <v>2019</v>
      </c>
      <c r="J1629" s="2">
        <f>ABS(Data[[#This Row],[Betrag]])</f>
        <v>80</v>
      </c>
      <c r="K1629" s="66" t="str">
        <f>IF(Data[[#This Row],[Betrag]]&lt;0,"A","E")</f>
        <v>A</v>
      </c>
    </row>
    <row r="1630" spans="1:11" x14ac:dyDescent="0.25">
      <c r="A1630" s="1">
        <v>43633</v>
      </c>
      <c r="B1630" s="66" t="s">
        <v>67</v>
      </c>
      <c r="C1630" s="66" t="s">
        <v>59</v>
      </c>
      <c r="D1630" t="s">
        <v>68</v>
      </c>
      <c r="E1630">
        <v>-30</v>
      </c>
      <c r="F1630" s="66" t="s">
        <v>7</v>
      </c>
      <c r="G1630" s="66" t="s">
        <v>10</v>
      </c>
      <c r="H1630" s="66" t="str">
        <f>TEXT(Data[[#This Row],[Buchung]],"MMM")</f>
        <v>Jun</v>
      </c>
      <c r="I1630" s="67">
        <f>YEAR(Data[[#This Row],[Buchung]])</f>
        <v>2019</v>
      </c>
      <c r="J1630" s="2">
        <f>ABS(Data[[#This Row],[Betrag]])</f>
        <v>30</v>
      </c>
      <c r="K1630" s="66" t="str">
        <f>IF(Data[[#This Row],[Betrag]]&lt;0,"A","E")</f>
        <v>A</v>
      </c>
    </row>
    <row r="1631" spans="1:11" x14ac:dyDescent="0.25">
      <c r="A1631" s="1">
        <v>43634</v>
      </c>
      <c r="B1631" s="66" t="s">
        <v>45</v>
      </c>
      <c r="C1631" s="66" t="s">
        <v>46</v>
      </c>
      <c r="D1631" t="s">
        <v>47</v>
      </c>
      <c r="E1631">
        <v>1000</v>
      </c>
      <c r="F1631" s="66" t="s">
        <v>7</v>
      </c>
      <c r="G1631" s="66" t="s">
        <v>9</v>
      </c>
      <c r="H1631" s="66" t="str">
        <f>TEXT(Data[[#This Row],[Buchung]],"MMM")</f>
        <v>Jun</v>
      </c>
      <c r="I1631" s="67">
        <f>YEAR(Data[[#This Row],[Buchung]])</f>
        <v>2019</v>
      </c>
      <c r="J1631" s="2">
        <f>ABS(Data[[#This Row],[Betrag]])</f>
        <v>1000</v>
      </c>
      <c r="K1631" s="66" t="str">
        <f>IF(Data[[#This Row],[Betrag]]&lt;0,"A","E")</f>
        <v>E</v>
      </c>
    </row>
    <row r="1632" spans="1:11" x14ac:dyDescent="0.25">
      <c r="A1632" s="1">
        <v>43635</v>
      </c>
      <c r="B1632" s="66" t="s">
        <v>48</v>
      </c>
      <c r="C1632" s="66" t="s">
        <v>49</v>
      </c>
      <c r="D1632" t="s">
        <v>50</v>
      </c>
      <c r="E1632">
        <v>-15</v>
      </c>
      <c r="F1632" s="66" t="s">
        <v>7</v>
      </c>
      <c r="G1632" s="66" t="s">
        <v>8</v>
      </c>
      <c r="H1632" s="66" t="str">
        <f>TEXT(Data[[#This Row],[Buchung]],"MMM")</f>
        <v>Jun</v>
      </c>
      <c r="I1632" s="67">
        <f>YEAR(Data[[#This Row],[Buchung]])</f>
        <v>2019</v>
      </c>
      <c r="J1632" s="2">
        <f>ABS(Data[[#This Row],[Betrag]])</f>
        <v>15</v>
      </c>
      <c r="K1632" s="66" t="str">
        <f>IF(Data[[#This Row],[Betrag]]&lt;0,"A","E")</f>
        <v>A</v>
      </c>
    </row>
    <row r="1633" spans="1:11" x14ac:dyDescent="0.25">
      <c r="A1633" s="1">
        <v>43636</v>
      </c>
      <c r="B1633" s="66" t="s">
        <v>51</v>
      </c>
      <c r="C1633" s="66" t="s">
        <v>52</v>
      </c>
      <c r="D1633" t="s">
        <v>53</v>
      </c>
      <c r="E1633">
        <v>-350</v>
      </c>
      <c r="F1633" s="66" t="s">
        <v>7</v>
      </c>
      <c r="G1633" s="66" t="s">
        <v>11</v>
      </c>
      <c r="H1633" s="66" t="str">
        <f>TEXT(Data[[#This Row],[Buchung]],"MMM")</f>
        <v>Jun</v>
      </c>
      <c r="I1633" s="67">
        <f>YEAR(Data[[#This Row],[Buchung]])</f>
        <v>2019</v>
      </c>
      <c r="J1633" s="2">
        <f>ABS(Data[[#This Row],[Betrag]])</f>
        <v>350</v>
      </c>
      <c r="K1633" s="66" t="str">
        <f>IF(Data[[#This Row],[Betrag]]&lt;0,"A","E")</f>
        <v>A</v>
      </c>
    </row>
    <row r="1634" spans="1:11" x14ac:dyDescent="0.25">
      <c r="A1634" s="1">
        <v>43637</v>
      </c>
      <c r="B1634" s="66" t="s">
        <v>54</v>
      </c>
      <c r="C1634" s="66" t="s">
        <v>55</v>
      </c>
      <c r="D1634" t="s">
        <v>56</v>
      </c>
      <c r="E1634">
        <v>-120</v>
      </c>
      <c r="F1634" s="66" t="s">
        <v>7</v>
      </c>
      <c r="G1634" s="66" t="s">
        <v>57</v>
      </c>
      <c r="H1634" s="66" t="str">
        <f>TEXT(Data[[#This Row],[Buchung]],"MMM")</f>
        <v>Jun</v>
      </c>
      <c r="I1634" s="67">
        <f>YEAR(Data[[#This Row],[Buchung]])</f>
        <v>2019</v>
      </c>
      <c r="J1634" s="2">
        <f>ABS(Data[[#This Row],[Betrag]])</f>
        <v>120</v>
      </c>
      <c r="K1634" s="66" t="str">
        <f>IF(Data[[#This Row],[Betrag]]&lt;0,"A","E")</f>
        <v>A</v>
      </c>
    </row>
    <row r="1635" spans="1:11" x14ac:dyDescent="0.25">
      <c r="A1635" s="1">
        <v>43638</v>
      </c>
      <c r="B1635" s="66" t="s">
        <v>58</v>
      </c>
      <c r="C1635" s="66" t="s">
        <v>59</v>
      </c>
      <c r="D1635" t="s">
        <v>60</v>
      </c>
      <c r="E1635">
        <v>-80</v>
      </c>
      <c r="F1635" s="66" t="s">
        <v>7</v>
      </c>
      <c r="G1635" s="66" t="s">
        <v>10</v>
      </c>
      <c r="H1635" s="66" t="str">
        <f>TEXT(Data[[#This Row],[Buchung]],"MMM")</f>
        <v>Jun</v>
      </c>
      <c r="I1635" s="67">
        <f>YEAR(Data[[#This Row],[Buchung]])</f>
        <v>2019</v>
      </c>
      <c r="J1635" s="2">
        <f>ABS(Data[[#This Row],[Betrag]])</f>
        <v>80</v>
      </c>
      <c r="K1635" s="66" t="str">
        <f>IF(Data[[#This Row],[Betrag]]&lt;0,"A","E")</f>
        <v>A</v>
      </c>
    </row>
    <row r="1636" spans="1:11" x14ac:dyDescent="0.25">
      <c r="A1636" s="1">
        <v>43639</v>
      </c>
      <c r="B1636" s="66" t="s">
        <v>45</v>
      </c>
      <c r="C1636" s="66" t="s">
        <v>46</v>
      </c>
      <c r="D1636" t="s">
        <v>47</v>
      </c>
      <c r="E1636">
        <v>1000</v>
      </c>
      <c r="F1636" s="66" t="s">
        <v>7</v>
      </c>
      <c r="G1636" s="66" t="s">
        <v>9</v>
      </c>
      <c r="H1636" s="66" t="str">
        <f>TEXT(Data[[#This Row],[Buchung]],"MMM")</f>
        <v>Jun</v>
      </c>
      <c r="I1636" s="67">
        <f>YEAR(Data[[#This Row],[Buchung]])</f>
        <v>2019</v>
      </c>
      <c r="J1636" s="2">
        <f>ABS(Data[[#This Row],[Betrag]])</f>
        <v>1000</v>
      </c>
      <c r="K1636" s="66" t="str">
        <f>IF(Data[[#This Row],[Betrag]]&lt;0,"A","E")</f>
        <v>E</v>
      </c>
    </row>
    <row r="1637" spans="1:11" x14ac:dyDescent="0.25">
      <c r="A1637" s="1">
        <v>43640</v>
      </c>
      <c r="B1637" s="66" t="s">
        <v>61</v>
      </c>
      <c r="C1637" s="66" t="s">
        <v>49</v>
      </c>
      <c r="D1637" t="s">
        <v>62</v>
      </c>
      <c r="E1637">
        <v>-10</v>
      </c>
      <c r="F1637" s="66" t="s">
        <v>7</v>
      </c>
      <c r="G1637" s="66" t="s">
        <v>8</v>
      </c>
      <c r="H1637" s="66" t="str">
        <f>TEXT(Data[[#This Row],[Buchung]],"MMM")</f>
        <v>Jun</v>
      </c>
      <c r="I1637" s="67">
        <f>YEAR(Data[[#This Row],[Buchung]])</f>
        <v>2019</v>
      </c>
      <c r="J1637" s="2">
        <f>ABS(Data[[#This Row],[Betrag]])</f>
        <v>10</v>
      </c>
      <c r="K1637" s="66" t="str">
        <f>IF(Data[[#This Row],[Betrag]]&lt;0,"A","E")</f>
        <v>A</v>
      </c>
    </row>
    <row r="1638" spans="1:11" x14ac:dyDescent="0.25">
      <c r="A1638" s="1">
        <v>43641</v>
      </c>
      <c r="B1638" s="66" t="s">
        <v>63</v>
      </c>
      <c r="C1638" s="66" t="s">
        <v>64</v>
      </c>
      <c r="D1638" t="s">
        <v>65</v>
      </c>
      <c r="E1638">
        <v>-65</v>
      </c>
      <c r="F1638" s="66" t="s">
        <v>7</v>
      </c>
      <c r="G1638" s="66" t="s">
        <v>11</v>
      </c>
      <c r="H1638" s="66" t="str">
        <f>TEXT(Data[[#This Row],[Buchung]],"MMM")</f>
        <v>Jun</v>
      </c>
      <c r="I1638" s="67">
        <f>YEAR(Data[[#This Row],[Buchung]])</f>
        <v>2019</v>
      </c>
      <c r="J1638" s="2">
        <f>ABS(Data[[#This Row],[Betrag]])</f>
        <v>65</v>
      </c>
      <c r="K1638" s="66" t="str">
        <f>IF(Data[[#This Row],[Betrag]]&lt;0,"A","E")</f>
        <v>A</v>
      </c>
    </row>
    <row r="1639" spans="1:11" x14ac:dyDescent="0.25">
      <c r="A1639" s="1">
        <v>43642</v>
      </c>
      <c r="B1639" s="66" t="s">
        <v>54</v>
      </c>
      <c r="C1639" s="66" t="s">
        <v>55</v>
      </c>
      <c r="D1639" t="s">
        <v>66</v>
      </c>
      <c r="E1639">
        <v>-80</v>
      </c>
      <c r="F1639" s="66" t="s">
        <v>7</v>
      </c>
      <c r="G1639" s="66" t="s">
        <v>57</v>
      </c>
      <c r="H1639" s="66" t="str">
        <f>TEXT(Data[[#This Row],[Buchung]],"MMM")</f>
        <v>Jun</v>
      </c>
      <c r="I1639" s="67">
        <f>YEAR(Data[[#This Row],[Buchung]])</f>
        <v>2019</v>
      </c>
      <c r="J1639" s="2">
        <f>ABS(Data[[#This Row],[Betrag]])</f>
        <v>80</v>
      </c>
      <c r="K1639" s="66" t="str">
        <f>IF(Data[[#This Row],[Betrag]]&lt;0,"A","E")</f>
        <v>A</v>
      </c>
    </row>
    <row r="1640" spans="1:11" x14ac:dyDescent="0.25">
      <c r="A1640" s="1">
        <v>43643</v>
      </c>
      <c r="B1640" s="66" t="s">
        <v>67</v>
      </c>
      <c r="C1640" s="66" t="s">
        <v>59</v>
      </c>
      <c r="D1640" t="s">
        <v>68</v>
      </c>
      <c r="E1640">
        <v>-35</v>
      </c>
      <c r="F1640" s="66" t="s">
        <v>7</v>
      </c>
      <c r="G1640" s="66" t="s">
        <v>10</v>
      </c>
      <c r="H1640" s="66" t="str">
        <f>TEXT(Data[[#This Row],[Buchung]],"MMM")</f>
        <v>Jun</v>
      </c>
      <c r="I1640" s="67">
        <f>YEAR(Data[[#This Row],[Buchung]])</f>
        <v>2019</v>
      </c>
      <c r="J1640" s="2">
        <f>ABS(Data[[#This Row],[Betrag]])</f>
        <v>35</v>
      </c>
      <c r="K1640" s="66" t="str">
        <f>IF(Data[[#This Row],[Betrag]]&lt;0,"A","E")</f>
        <v>A</v>
      </c>
    </row>
    <row r="1641" spans="1:11" x14ac:dyDescent="0.25">
      <c r="A1641" s="1">
        <v>43644</v>
      </c>
      <c r="B1641" s="66" t="s">
        <v>45</v>
      </c>
      <c r="C1641" s="66" t="s">
        <v>46</v>
      </c>
      <c r="D1641" t="s">
        <v>47</v>
      </c>
      <c r="E1641">
        <v>1000</v>
      </c>
      <c r="F1641" s="66" t="s">
        <v>7</v>
      </c>
      <c r="G1641" s="66" t="s">
        <v>9</v>
      </c>
      <c r="H1641" s="66" t="str">
        <f>TEXT(Data[[#This Row],[Buchung]],"MMM")</f>
        <v>Jun</v>
      </c>
      <c r="I1641" s="67">
        <f>YEAR(Data[[#This Row],[Buchung]])</f>
        <v>2019</v>
      </c>
      <c r="J1641" s="2">
        <f>ABS(Data[[#This Row],[Betrag]])</f>
        <v>1000</v>
      </c>
      <c r="K1641" s="66" t="str">
        <f>IF(Data[[#This Row],[Betrag]]&lt;0,"A","E")</f>
        <v>E</v>
      </c>
    </row>
    <row r="1642" spans="1:11" x14ac:dyDescent="0.25">
      <c r="A1642" s="1">
        <v>43645</v>
      </c>
      <c r="B1642" s="66" t="s">
        <v>45</v>
      </c>
      <c r="C1642" s="66" t="s">
        <v>46</v>
      </c>
      <c r="D1642" t="s">
        <v>47</v>
      </c>
      <c r="E1642">
        <v>1000</v>
      </c>
      <c r="F1642" s="66" t="s">
        <v>7</v>
      </c>
      <c r="G1642" s="66" t="s">
        <v>9</v>
      </c>
      <c r="H1642" s="66" t="str">
        <f>TEXT(Data[[#This Row],[Buchung]],"MMM")</f>
        <v>Jun</v>
      </c>
      <c r="I1642" s="67">
        <f>YEAR(Data[[#This Row],[Buchung]])</f>
        <v>2019</v>
      </c>
      <c r="J1642" s="2">
        <f>ABS(Data[[#This Row],[Betrag]])</f>
        <v>1000</v>
      </c>
      <c r="K1642" s="66" t="str">
        <f>IF(Data[[#This Row],[Betrag]]&lt;0,"A","E")</f>
        <v>E</v>
      </c>
    </row>
    <row r="1643" spans="1:11" x14ac:dyDescent="0.25">
      <c r="A1643" s="1">
        <v>43646</v>
      </c>
      <c r="B1643" s="66" t="s">
        <v>48</v>
      </c>
      <c r="C1643" s="66" t="s">
        <v>49</v>
      </c>
      <c r="D1643" t="s">
        <v>50</v>
      </c>
      <c r="E1643">
        <v>-15</v>
      </c>
      <c r="F1643" s="66" t="s">
        <v>7</v>
      </c>
      <c r="G1643" s="66" t="s">
        <v>8</v>
      </c>
      <c r="H1643" s="66" t="str">
        <f>TEXT(Data[[#This Row],[Buchung]],"MMM")</f>
        <v>Jun</v>
      </c>
      <c r="I1643" s="67">
        <f>YEAR(Data[[#This Row],[Buchung]])</f>
        <v>2019</v>
      </c>
      <c r="J1643" s="2">
        <f>ABS(Data[[#This Row],[Betrag]])</f>
        <v>15</v>
      </c>
      <c r="K1643" s="66" t="str">
        <f>IF(Data[[#This Row],[Betrag]]&lt;0,"A","E")</f>
        <v>A</v>
      </c>
    </row>
    <row r="1644" spans="1:11" x14ac:dyDescent="0.25">
      <c r="A1644" s="1">
        <v>43647</v>
      </c>
      <c r="B1644" s="66" t="s">
        <v>51</v>
      </c>
      <c r="C1644" s="66" t="s">
        <v>52</v>
      </c>
      <c r="D1644" t="s">
        <v>53</v>
      </c>
      <c r="E1644">
        <v>-350</v>
      </c>
      <c r="F1644" s="66" t="s">
        <v>7</v>
      </c>
      <c r="G1644" s="66" t="s">
        <v>11</v>
      </c>
      <c r="H1644" s="66" t="str">
        <f>TEXT(Data[[#This Row],[Buchung]],"MMM")</f>
        <v>Jul</v>
      </c>
      <c r="I1644" s="67">
        <f>YEAR(Data[[#This Row],[Buchung]])</f>
        <v>2019</v>
      </c>
      <c r="J1644" s="2">
        <f>ABS(Data[[#This Row],[Betrag]])</f>
        <v>350</v>
      </c>
      <c r="K1644" s="66" t="str">
        <f>IF(Data[[#This Row],[Betrag]]&lt;0,"A","E")</f>
        <v>A</v>
      </c>
    </row>
    <row r="1645" spans="1:11" x14ac:dyDescent="0.25">
      <c r="A1645" s="1">
        <v>43648</v>
      </c>
      <c r="B1645" s="66" t="s">
        <v>54</v>
      </c>
      <c r="C1645" s="66" t="s">
        <v>55</v>
      </c>
      <c r="D1645" t="s">
        <v>56</v>
      </c>
      <c r="E1645">
        <v>-120</v>
      </c>
      <c r="F1645" s="66" t="s">
        <v>7</v>
      </c>
      <c r="G1645" s="66" t="s">
        <v>57</v>
      </c>
      <c r="H1645" s="66" t="str">
        <f>TEXT(Data[[#This Row],[Buchung]],"MMM")</f>
        <v>Jul</v>
      </c>
      <c r="I1645" s="67">
        <f>YEAR(Data[[#This Row],[Buchung]])</f>
        <v>2019</v>
      </c>
      <c r="J1645" s="2">
        <f>ABS(Data[[#This Row],[Betrag]])</f>
        <v>120</v>
      </c>
      <c r="K1645" s="66" t="str">
        <f>IF(Data[[#This Row],[Betrag]]&lt;0,"A","E")</f>
        <v>A</v>
      </c>
    </row>
    <row r="1646" spans="1:11" x14ac:dyDescent="0.25">
      <c r="A1646" s="1">
        <v>43649</v>
      </c>
      <c r="B1646" s="66" t="s">
        <v>58</v>
      </c>
      <c r="C1646" s="66" t="s">
        <v>59</v>
      </c>
      <c r="D1646" t="s">
        <v>60</v>
      </c>
      <c r="E1646">
        <v>-50</v>
      </c>
      <c r="F1646" s="66" t="s">
        <v>7</v>
      </c>
      <c r="G1646" s="66" t="s">
        <v>10</v>
      </c>
      <c r="H1646" s="66" t="str">
        <f>TEXT(Data[[#This Row],[Buchung]],"MMM")</f>
        <v>Jul</v>
      </c>
      <c r="I1646" s="67">
        <f>YEAR(Data[[#This Row],[Buchung]])</f>
        <v>2019</v>
      </c>
      <c r="J1646" s="2">
        <f>ABS(Data[[#This Row],[Betrag]])</f>
        <v>50</v>
      </c>
      <c r="K1646" s="66" t="str">
        <f>IF(Data[[#This Row],[Betrag]]&lt;0,"A","E")</f>
        <v>A</v>
      </c>
    </row>
    <row r="1647" spans="1:11" x14ac:dyDescent="0.25">
      <c r="A1647" s="1">
        <v>43650</v>
      </c>
      <c r="B1647" s="66" t="s">
        <v>45</v>
      </c>
      <c r="C1647" s="66" t="s">
        <v>46</v>
      </c>
      <c r="D1647" t="s">
        <v>47</v>
      </c>
      <c r="E1647">
        <v>1000</v>
      </c>
      <c r="F1647" s="66" t="s">
        <v>7</v>
      </c>
      <c r="G1647" s="66" t="s">
        <v>9</v>
      </c>
      <c r="H1647" s="66" t="str">
        <f>TEXT(Data[[#This Row],[Buchung]],"MMM")</f>
        <v>Jul</v>
      </c>
      <c r="I1647" s="67">
        <f>YEAR(Data[[#This Row],[Buchung]])</f>
        <v>2019</v>
      </c>
      <c r="J1647" s="2">
        <f>ABS(Data[[#This Row],[Betrag]])</f>
        <v>1000</v>
      </c>
      <c r="K1647" s="66" t="str">
        <f>IF(Data[[#This Row],[Betrag]]&lt;0,"A","E")</f>
        <v>E</v>
      </c>
    </row>
    <row r="1648" spans="1:11" x14ac:dyDescent="0.25">
      <c r="A1648" s="1">
        <v>43651</v>
      </c>
      <c r="B1648" s="66" t="s">
        <v>61</v>
      </c>
      <c r="C1648" s="66" t="s">
        <v>49</v>
      </c>
      <c r="D1648" t="s">
        <v>62</v>
      </c>
      <c r="E1648">
        <v>-10</v>
      </c>
      <c r="F1648" s="66" t="s">
        <v>7</v>
      </c>
      <c r="G1648" s="66" t="s">
        <v>8</v>
      </c>
      <c r="H1648" s="66" t="str">
        <f>TEXT(Data[[#This Row],[Buchung]],"MMM")</f>
        <v>Jul</v>
      </c>
      <c r="I1648" s="67">
        <f>YEAR(Data[[#This Row],[Buchung]])</f>
        <v>2019</v>
      </c>
      <c r="J1648" s="2">
        <f>ABS(Data[[#This Row],[Betrag]])</f>
        <v>10</v>
      </c>
      <c r="K1648" s="66" t="str">
        <f>IF(Data[[#This Row],[Betrag]]&lt;0,"A","E")</f>
        <v>A</v>
      </c>
    </row>
    <row r="1649" spans="1:11" x14ac:dyDescent="0.25">
      <c r="A1649" s="1">
        <v>43652</v>
      </c>
      <c r="B1649" s="66" t="s">
        <v>63</v>
      </c>
      <c r="C1649" s="66" t="s">
        <v>64</v>
      </c>
      <c r="D1649" t="s">
        <v>65</v>
      </c>
      <c r="E1649">
        <v>-60</v>
      </c>
      <c r="F1649" s="66" t="s">
        <v>7</v>
      </c>
      <c r="G1649" s="66" t="s">
        <v>11</v>
      </c>
      <c r="H1649" s="66" t="str">
        <f>TEXT(Data[[#This Row],[Buchung]],"MMM")</f>
        <v>Jul</v>
      </c>
      <c r="I1649" s="67">
        <f>YEAR(Data[[#This Row],[Buchung]])</f>
        <v>2019</v>
      </c>
      <c r="J1649" s="2">
        <f>ABS(Data[[#This Row],[Betrag]])</f>
        <v>60</v>
      </c>
      <c r="K1649" s="66" t="str">
        <f>IF(Data[[#This Row],[Betrag]]&lt;0,"A","E")</f>
        <v>A</v>
      </c>
    </row>
    <row r="1650" spans="1:11" x14ac:dyDescent="0.25">
      <c r="A1650" s="1">
        <v>43653</v>
      </c>
      <c r="B1650" s="66" t="s">
        <v>54</v>
      </c>
      <c r="C1650" s="66" t="s">
        <v>55</v>
      </c>
      <c r="D1650" t="s">
        <v>66</v>
      </c>
      <c r="E1650">
        <v>-80</v>
      </c>
      <c r="F1650" s="66" t="s">
        <v>7</v>
      </c>
      <c r="G1650" s="66" t="s">
        <v>57</v>
      </c>
      <c r="H1650" s="66" t="str">
        <f>TEXT(Data[[#This Row],[Buchung]],"MMM")</f>
        <v>Jul</v>
      </c>
      <c r="I1650" s="67">
        <f>YEAR(Data[[#This Row],[Buchung]])</f>
        <v>2019</v>
      </c>
      <c r="J1650" s="2">
        <f>ABS(Data[[#This Row],[Betrag]])</f>
        <v>80</v>
      </c>
      <c r="K1650" s="66" t="str">
        <f>IF(Data[[#This Row],[Betrag]]&lt;0,"A","E")</f>
        <v>A</v>
      </c>
    </row>
    <row r="1651" spans="1:11" x14ac:dyDescent="0.25">
      <c r="A1651" s="1">
        <v>43654</v>
      </c>
      <c r="B1651" s="66" t="s">
        <v>67</v>
      </c>
      <c r="C1651" s="66" t="s">
        <v>59</v>
      </c>
      <c r="D1651" t="s">
        <v>68</v>
      </c>
      <c r="E1651">
        <v>-20</v>
      </c>
      <c r="F1651" s="66" t="s">
        <v>7</v>
      </c>
      <c r="G1651" s="66" t="s">
        <v>10</v>
      </c>
      <c r="H1651" s="66" t="str">
        <f>TEXT(Data[[#This Row],[Buchung]],"MMM")</f>
        <v>Jul</v>
      </c>
      <c r="I1651" s="67">
        <f>YEAR(Data[[#This Row],[Buchung]])</f>
        <v>2019</v>
      </c>
      <c r="J1651" s="2">
        <f>ABS(Data[[#This Row],[Betrag]])</f>
        <v>20</v>
      </c>
      <c r="K1651" s="66" t="str">
        <f>IF(Data[[#This Row],[Betrag]]&lt;0,"A","E")</f>
        <v>A</v>
      </c>
    </row>
    <row r="1652" spans="1:11" x14ac:dyDescent="0.25">
      <c r="A1652" s="1">
        <v>43655</v>
      </c>
      <c r="B1652" s="66" t="s">
        <v>45</v>
      </c>
      <c r="C1652" s="66" t="s">
        <v>46</v>
      </c>
      <c r="D1652" t="s">
        <v>47</v>
      </c>
      <c r="E1652">
        <v>1000</v>
      </c>
      <c r="F1652" s="66" t="s">
        <v>7</v>
      </c>
      <c r="G1652" s="66" t="s">
        <v>9</v>
      </c>
      <c r="H1652" s="66" t="str">
        <f>TEXT(Data[[#This Row],[Buchung]],"MMM")</f>
        <v>Jul</v>
      </c>
      <c r="I1652" s="67">
        <f>YEAR(Data[[#This Row],[Buchung]])</f>
        <v>2019</v>
      </c>
      <c r="J1652" s="2">
        <f>ABS(Data[[#This Row],[Betrag]])</f>
        <v>1000</v>
      </c>
      <c r="K1652" s="66" t="str">
        <f>IF(Data[[#This Row],[Betrag]]&lt;0,"A","E")</f>
        <v>E</v>
      </c>
    </row>
    <row r="1653" spans="1:11" x14ac:dyDescent="0.25">
      <c r="A1653" s="1">
        <v>43656</v>
      </c>
      <c r="B1653" s="66" t="s">
        <v>48</v>
      </c>
      <c r="C1653" s="66" t="s">
        <v>49</v>
      </c>
      <c r="D1653" t="s">
        <v>50</v>
      </c>
      <c r="E1653">
        <v>-15</v>
      </c>
      <c r="F1653" s="66" t="s">
        <v>7</v>
      </c>
      <c r="G1653" s="66" t="s">
        <v>8</v>
      </c>
      <c r="H1653" s="66" t="str">
        <f>TEXT(Data[[#This Row],[Buchung]],"MMM")</f>
        <v>Jul</v>
      </c>
      <c r="I1653" s="67">
        <f>YEAR(Data[[#This Row],[Buchung]])</f>
        <v>2019</v>
      </c>
      <c r="J1653" s="2">
        <f>ABS(Data[[#This Row],[Betrag]])</f>
        <v>15</v>
      </c>
      <c r="K1653" s="66" t="str">
        <f>IF(Data[[#This Row],[Betrag]]&lt;0,"A","E")</f>
        <v>A</v>
      </c>
    </row>
    <row r="1654" spans="1:11" x14ac:dyDescent="0.25">
      <c r="A1654" s="1">
        <v>43657</v>
      </c>
      <c r="B1654" s="66" t="s">
        <v>51</v>
      </c>
      <c r="C1654" s="66" t="s">
        <v>52</v>
      </c>
      <c r="D1654" t="s">
        <v>53</v>
      </c>
      <c r="E1654">
        <v>-350</v>
      </c>
      <c r="F1654" s="66" t="s">
        <v>7</v>
      </c>
      <c r="G1654" s="66" t="s">
        <v>11</v>
      </c>
      <c r="H1654" s="66" t="str">
        <f>TEXT(Data[[#This Row],[Buchung]],"MMM")</f>
        <v>Jul</v>
      </c>
      <c r="I1654" s="67">
        <f>YEAR(Data[[#This Row],[Buchung]])</f>
        <v>2019</v>
      </c>
      <c r="J1654" s="2">
        <f>ABS(Data[[#This Row],[Betrag]])</f>
        <v>350</v>
      </c>
      <c r="K1654" s="66" t="str">
        <f>IF(Data[[#This Row],[Betrag]]&lt;0,"A","E")</f>
        <v>A</v>
      </c>
    </row>
    <row r="1655" spans="1:11" x14ac:dyDescent="0.25">
      <c r="A1655" s="1">
        <v>43658</v>
      </c>
      <c r="B1655" s="66" t="s">
        <v>54</v>
      </c>
      <c r="C1655" s="66" t="s">
        <v>55</v>
      </c>
      <c r="D1655" t="s">
        <v>56</v>
      </c>
      <c r="E1655">
        <v>-120</v>
      </c>
      <c r="F1655" s="66" t="s">
        <v>7</v>
      </c>
      <c r="G1655" s="66" t="s">
        <v>57</v>
      </c>
      <c r="H1655" s="66" t="str">
        <f>TEXT(Data[[#This Row],[Buchung]],"MMM")</f>
        <v>Jul</v>
      </c>
      <c r="I1655" s="67">
        <f>YEAR(Data[[#This Row],[Buchung]])</f>
        <v>2019</v>
      </c>
      <c r="J1655" s="2">
        <f>ABS(Data[[#This Row],[Betrag]])</f>
        <v>120</v>
      </c>
      <c r="K1655" s="66" t="str">
        <f>IF(Data[[#This Row],[Betrag]]&lt;0,"A","E")</f>
        <v>A</v>
      </c>
    </row>
    <row r="1656" spans="1:11" x14ac:dyDescent="0.25">
      <c r="A1656" s="1">
        <v>43659</v>
      </c>
      <c r="B1656" s="66" t="s">
        <v>58</v>
      </c>
      <c r="C1656" s="66" t="s">
        <v>59</v>
      </c>
      <c r="D1656" t="s">
        <v>60</v>
      </c>
      <c r="E1656">
        <v>-60</v>
      </c>
      <c r="F1656" s="66" t="s">
        <v>7</v>
      </c>
      <c r="G1656" s="66" t="s">
        <v>10</v>
      </c>
      <c r="H1656" s="66" t="str">
        <f>TEXT(Data[[#This Row],[Buchung]],"MMM")</f>
        <v>Jul</v>
      </c>
      <c r="I1656" s="67">
        <f>YEAR(Data[[#This Row],[Buchung]])</f>
        <v>2019</v>
      </c>
      <c r="J1656" s="2">
        <f>ABS(Data[[#This Row],[Betrag]])</f>
        <v>60</v>
      </c>
      <c r="K1656" s="66" t="str">
        <f>IF(Data[[#This Row],[Betrag]]&lt;0,"A","E")</f>
        <v>A</v>
      </c>
    </row>
    <row r="1657" spans="1:11" x14ac:dyDescent="0.25">
      <c r="A1657" s="1">
        <v>43660</v>
      </c>
      <c r="B1657" s="66" t="s">
        <v>45</v>
      </c>
      <c r="C1657" s="66" t="s">
        <v>46</v>
      </c>
      <c r="D1657" t="s">
        <v>47</v>
      </c>
      <c r="E1657">
        <v>1000</v>
      </c>
      <c r="F1657" s="66" t="s">
        <v>7</v>
      </c>
      <c r="G1657" s="66" t="s">
        <v>9</v>
      </c>
      <c r="H1657" s="66" t="str">
        <f>TEXT(Data[[#This Row],[Buchung]],"MMM")</f>
        <v>Jul</v>
      </c>
      <c r="I1657" s="67">
        <f>YEAR(Data[[#This Row],[Buchung]])</f>
        <v>2019</v>
      </c>
      <c r="J1657" s="2">
        <f>ABS(Data[[#This Row],[Betrag]])</f>
        <v>1000</v>
      </c>
      <c r="K1657" s="66" t="str">
        <f>IF(Data[[#This Row],[Betrag]]&lt;0,"A","E")</f>
        <v>E</v>
      </c>
    </row>
    <row r="1658" spans="1:11" x14ac:dyDescent="0.25">
      <c r="A1658" s="1">
        <v>43661</v>
      </c>
      <c r="B1658" s="66" t="s">
        <v>61</v>
      </c>
      <c r="C1658" s="66" t="s">
        <v>49</v>
      </c>
      <c r="D1658" t="s">
        <v>62</v>
      </c>
      <c r="E1658">
        <v>-10</v>
      </c>
      <c r="F1658" s="66" t="s">
        <v>7</v>
      </c>
      <c r="G1658" s="66" t="s">
        <v>8</v>
      </c>
      <c r="H1658" s="66" t="str">
        <f>TEXT(Data[[#This Row],[Buchung]],"MMM")</f>
        <v>Jul</v>
      </c>
      <c r="I1658" s="67">
        <f>YEAR(Data[[#This Row],[Buchung]])</f>
        <v>2019</v>
      </c>
      <c r="J1658" s="2">
        <f>ABS(Data[[#This Row],[Betrag]])</f>
        <v>10</v>
      </c>
      <c r="K1658" s="66" t="str">
        <f>IF(Data[[#This Row],[Betrag]]&lt;0,"A","E")</f>
        <v>A</v>
      </c>
    </row>
    <row r="1659" spans="1:11" x14ac:dyDescent="0.25">
      <c r="A1659" s="1">
        <v>43662</v>
      </c>
      <c r="B1659" s="66" t="s">
        <v>63</v>
      </c>
      <c r="C1659" s="66" t="s">
        <v>64</v>
      </c>
      <c r="D1659" t="s">
        <v>65</v>
      </c>
      <c r="E1659">
        <v>-70</v>
      </c>
      <c r="F1659" s="66" t="s">
        <v>7</v>
      </c>
      <c r="G1659" s="66" t="s">
        <v>11</v>
      </c>
      <c r="H1659" s="66" t="str">
        <f>TEXT(Data[[#This Row],[Buchung]],"MMM")</f>
        <v>Jul</v>
      </c>
      <c r="I1659" s="67">
        <f>YEAR(Data[[#This Row],[Buchung]])</f>
        <v>2019</v>
      </c>
      <c r="J1659" s="2">
        <f>ABS(Data[[#This Row],[Betrag]])</f>
        <v>70</v>
      </c>
      <c r="K1659" s="66" t="str">
        <f>IF(Data[[#This Row],[Betrag]]&lt;0,"A","E")</f>
        <v>A</v>
      </c>
    </row>
    <row r="1660" spans="1:11" x14ac:dyDescent="0.25">
      <c r="A1660" s="1">
        <v>43663</v>
      </c>
      <c r="B1660" s="66" t="s">
        <v>54</v>
      </c>
      <c r="C1660" s="66" t="s">
        <v>55</v>
      </c>
      <c r="D1660" t="s">
        <v>66</v>
      </c>
      <c r="E1660">
        <v>-80</v>
      </c>
      <c r="F1660" s="66" t="s">
        <v>7</v>
      </c>
      <c r="G1660" s="66" t="s">
        <v>57</v>
      </c>
      <c r="H1660" s="66" t="str">
        <f>TEXT(Data[[#This Row],[Buchung]],"MMM")</f>
        <v>Jul</v>
      </c>
      <c r="I1660" s="67">
        <f>YEAR(Data[[#This Row],[Buchung]])</f>
        <v>2019</v>
      </c>
      <c r="J1660" s="2">
        <f>ABS(Data[[#This Row],[Betrag]])</f>
        <v>80</v>
      </c>
      <c r="K1660" s="66" t="str">
        <f>IF(Data[[#This Row],[Betrag]]&lt;0,"A","E")</f>
        <v>A</v>
      </c>
    </row>
    <row r="1661" spans="1:11" x14ac:dyDescent="0.25">
      <c r="A1661" s="1">
        <v>43664</v>
      </c>
      <c r="B1661" s="66" t="s">
        <v>67</v>
      </c>
      <c r="C1661" s="66" t="s">
        <v>59</v>
      </c>
      <c r="D1661" t="s">
        <v>68</v>
      </c>
      <c r="E1661">
        <v>-25</v>
      </c>
      <c r="F1661" s="66" t="s">
        <v>7</v>
      </c>
      <c r="G1661" s="66" t="s">
        <v>10</v>
      </c>
      <c r="H1661" s="66" t="str">
        <f>TEXT(Data[[#This Row],[Buchung]],"MMM")</f>
        <v>Jul</v>
      </c>
      <c r="I1661" s="67">
        <f>YEAR(Data[[#This Row],[Buchung]])</f>
        <v>2019</v>
      </c>
      <c r="J1661" s="2">
        <f>ABS(Data[[#This Row],[Betrag]])</f>
        <v>25</v>
      </c>
      <c r="K1661" s="66" t="str">
        <f>IF(Data[[#This Row],[Betrag]]&lt;0,"A","E")</f>
        <v>A</v>
      </c>
    </row>
    <row r="1662" spans="1:11" x14ac:dyDescent="0.25">
      <c r="A1662" s="1">
        <v>43665</v>
      </c>
      <c r="B1662" s="66" t="s">
        <v>45</v>
      </c>
      <c r="C1662" s="66" t="s">
        <v>46</v>
      </c>
      <c r="D1662" t="s">
        <v>47</v>
      </c>
      <c r="E1662">
        <v>1000</v>
      </c>
      <c r="F1662" s="66" t="s">
        <v>7</v>
      </c>
      <c r="G1662" s="66" t="s">
        <v>9</v>
      </c>
      <c r="H1662" s="66" t="str">
        <f>TEXT(Data[[#This Row],[Buchung]],"MMM")</f>
        <v>Jul</v>
      </c>
      <c r="I1662" s="67">
        <f>YEAR(Data[[#This Row],[Buchung]])</f>
        <v>2019</v>
      </c>
      <c r="J1662" s="2">
        <f>ABS(Data[[#This Row],[Betrag]])</f>
        <v>1000</v>
      </c>
      <c r="K1662" s="66" t="str">
        <f>IF(Data[[#This Row],[Betrag]]&lt;0,"A","E")</f>
        <v>E</v>
      </c>
    </row>
    <row r="1663" spans="1:11" x14ac:dyDescent="0.25">
      <c r="A1663" s="1">
        <v>43666</v>
      </c>
      <c r="B1663" s="66" t="s">
        <v>48</v>
      </c>
      <c r="C1663" s="66" t="s">
        <v>49</v>
      </c>
      <c r="D1663" t="s">
        <v>50</v>
      </c>
      <c r="E1663">
        <v>-15</v>
      </c>
      <c r="F1663" s="66" t="s">
        <v>7</v>
      </c>
      <c r="G1663" s="66" t="s">
        <v>8</v>
      </c>
      <c r="H1663" s="66" t="str">
        <f>TEXT(Data[[#This Row],[Buchung]],"MMM")</f>
        <v>Jul</v>
      </c>
      <c r="I1663" s="67">
        <f>YEAR(Data[[#This Row],[Buchung]])</f>
        <v>2019</v>
      </c>
      <c r="J1663" s="2">
        <f>ABS(Data[[#This Row],[Betrag]])</f>
        <v>15</v>
      </c>
      <c r="K1663" s="66" t="str">
        <f>IF(Data[[#This Row],[Betrag]]&lt;0,"A","E")</f>
        <v>A</v>
      </c>
    </row>
    <row r="1664" spans="1:11" x14ac:dyDescent="0.25">
      <c r="A1664" s="1">
        <v>43667</v>
      </c>
      <c r="B1664" s="66" t="s">
        <v>51</v>
      </c>
      <c r="C1664" s="66" t="s">
        <v>52</v>
      </c>
      <c r="D1664" t="s">
        <v>53</v>
      </c>
      <c r="E1664">
        <v>-350</v>
      </c>
      <c r="F1664" s="66" t="s">
        <v>7</v>
      </c>
      <c r="G1664" s="66" t="s">
        <v>11</v>
      </c>
      <c r="H1664" s="66" t="str">
        <f>TEXT(Data[[#This Row],[Buchung]],"MMM")</f>
        <v>Jul</v>
      </c>
      <c r="I1664" s="67">
        <f>YEAR(Data[[#This Row],[Buchung]])</f>
        <v>2019</v>
      </c>
      <c r="J1664" s="2">
        <f>ABS(Data[[#This Row],[Betrag]])</f>
        <v>350</v>
      </c>
      <c r="K1664" s="66" t="str">
        <f>IF(Data[[#This Row],[Betrag]]&lt;0,"A","E")</f>
        <v>A</v>
      </c>
    </row>
    <row r="1665" spans="1:11" x14ac:dyDescent="0.25">
      <c r="A1665" s="1">
        <v>43668</v>
      </c>
      <c r="B1665" s="66" t="s">
        <v>54</v>
      </c>
      <c r="C1665" s="66" t="s">
        <v>55</v>
      </c>
      <c r="D1665" t="s">
        <v>56</v>
      </c>
      <c r="E1665">
        <v>-120</v>
      </c>
      <c r="F1665" s="66" t="s">
        <v>7</v>
      </c>
      <c r="G1665" s="66" t="s">
        <v>57</v>
      </c>
      <c r="H1665" s="66" t="str">
        <f>TEXT(Data[[#This Row],[Buchung]],"MMM")</f>
        <v>Jul</v>
      </c>
      <c r="I1665" s="67">
        <f>YEAR(Data[[#This Row],[Buchung]])</f>
        <v>2019</v>
      </c>
      <c r="J1665" s="2">
        <f>ABS(Data[[#This Row],[Betrag]])</f>
        <v>120</v>
      </c>
      <c r="K1665" s="66" t="str">
        <f>IF(Data[[#This Row],[Betrag]]&lt;0,"A","E")</f>
        <v>A</v>
      </c>
    </row>
    <row r="1666" spans="1:11" x14ac:dyDescent="0.25">
      <c r="A1666" s="1">
        <v>43669</v>
      </c>
      <c r="B1666" s="66" t="s">
        <v>58</v>
      </c>
      <c r="C1666" s="66" t="s">
        <v>59</v>
      </c>
      <c r="D1666" t="s">
        <v>60</v>
      </c>
      <c r="E1666">
        <v>-70</v>
      </c>
      <c r="F1666" s="66" t="s">
        <v>7</v>
      </c>
      <c r="G1666" s="66" t="s">
        <v>10</v>
      </c>
      <c r="H1666" s="66" t="str">
        <f>TEXT(Data[[#This Row],[Buchung]],"MMM")</f>
        <v>Jul</v>
      </c>
      <c r="I1666" s="67">
        <f>YEAR(Data[[#This Row],[Buchung]])</f>
        <v>2019</v>
      </c>
      <c r="J1666" s="2">
        <f>ABS(Data[[#This Row],[Betrag]])</f>
        <v>70</v>
      </c>
      <c r="K1666" s="66" t="str">
        <f>IF(Data[[#This Row],[Betrag]]&lt;0,"A","E")</f>
        <v>A</v>
      </c>
    </row>
    <row r="1667" spans="1:11" x14ac:dyDescent="0.25">
      <c r="A1667" s="1">
        <v>43670</v>
      </c>
      <c r="B1667" s="66" t="s">
        <v>45</v>
      </c>
      <c r="C1667" s="66" t="s">
        <v>46</v>
      </c>
      <c r="D1667" t="s">
        <v>47</v>
      </c>
      <c r="E1667">
        <v>1000</v>
      </c>
      <c r="F1667" s="66" t="s">
        <v>7</v>
      </c>
      <c r="G1667" s="66" t="s">
        <v>9</v>
      </c>
      <c r="H1667" s="66" t="str">
        <f>TEXT(Data[[#This Row],[Buchung]],"MMM")</f>
        <v>Jul</v>
      </c>
      <c r="I1667" s="67">
        <f>YEAR(Data[[#This Row],[Buchung]])</f>
        <v>2019</v>
      </c>
      <c r="J1667" s="2">
        <f>ABS(Data[[#This Row],[Betrag]])</f>
        <v>1000</v>
      </c>
      <c r="K1667" s="66" t="str">
        <f>IF(Data[[#This Row],[Betrag]]&lt;0,"A","E")</f>
        <v>E</v>
      </c>
    </row>
    <row r="1668" spans="1:11" x14ac:dyDescent="0.25">
      <c r="A1668" s="1">
        <v>43671</v>
      </c>
      <c r="B1668" s="66" t="s">
        <v>61</v>
      </c>
      <c r="C1668" s="66" t="s">
        <v>49</v>
      </c>
      <c r="D1668" t="s">
        <v>62</v>
      </c>
      <c r="E1668">
        <v>-10</v>
      </c>
      <c r="F1668" s="66" t="s">
        <v>7</v>
      </c>
      <c r="G1668" s="66" t="s">
        <v>8</v>
      </c>
      <c r="H1668" s="66" t="str">
        <f>TEXT(Data[[#This Row],[Buchung]],"MMM")</f>
        <v>Jul</v>
      </c>
      <c r="I1668" s="67">
        <f>YEAR(Data[[#This Row],[Buchung]])</f>
        <v>2019</v>
      </c>
      <c r="J1668" s="2">
        <f>ABS(Data[[#This Row],[Betrag]])</f>
        <v>10</v>
      </c>
      <c r="K1668" s="66" t="str">
        <f>IF(Data[[#This Row],[Betrag]]&lt;0,"A","E")</f>
        <v>A</v>
      </c>
    </row>
    <row r="1669" spans="1:11" x14ac:dyDescent="0.25">
      <c r="A1669" s="1">
        <v>43672</v>
      </c>
      <c r="B1669" s="66" t="s">
        <v>63</v>
      </c>
      <c r="C1669" s="66" t="s">
        <v>64</v>
      </c>
      <c r="D1669" t="s">
        <v>65</v>
      </c>
      <c r="E1669">
        <v>-60</v>
      </c>
      <c r="F1669" s="66" t="s">
        <v>7</v>
      </c>
      <c r="G1669" s="66" t="s">
        <v>11</v>
      </c>
      <c r="H1669" s="66" t="str">
        <f>TEXT(Data[[#This Row],[Buchung]],"MMM")</f>
        <v>Jul</v>
      </c>
      <c r="I1669" s="67">
        <f>YEAR(Data[[#This Row],[Buchung]])</f>
        <v>2019</v>
      </c>
      <c r="J1669" s="2">
        <f>ABS(Data[[#This Row],[Betrag]])</f>
        <v>60</v>
      </c>
      <c r="K1669" s="66" t="str">
        <f>IF(Data[[#This Row],[Betrag]]&lt;0,"A","E")</f>
        <v>A</v>
      </c>
    </row>
    <row r="1670" spans="1:11" x14ac:dyDescent="0.25">
      <c r="A1670" s="1">
        <v>43673</v>
      </c>
      <c r="B1670" s="66" t="s">
        <v>54</v>
      </c>
      <c r="C1670" s="66" t="s">
        <v>55</v>
      </c>
      <c r="D1670" t="s">
        <v>66</v>
      </c>
      <c r="E1670">
        <v>-80</v>
      </c>
      <c r="F1670" s="66" t="s">
        <v>7</v>
      </c>
      <c r="G1670" s="66" t="s">
        <v>57</v>
      </c>
      <c r="H1670" s="66" t="str">
        <f>TEXT(Data[[#This Row],[Buchung]],"MMM")</f>
        <v>Jul</v>
      </c>
      <c r="I1670" s="67">
        <f>YEAR(Data[[#This Row],[Buchung]])</f>
        <v>2019</v>
      </c>
      <c r="J1670" s="2">
        <f>ABS(Data[[#This Row],[Betrag]])</f>
        <v>80</v>
      </c>
      <c r="K1670" s="66" t="str">
        <f>IF(Data[[#This Row],[Betrag]]&lt;0,"A","E")</f>
        <v>A</v>
      </c>
    </row>
    <row r="1671" spans="1:11" x14ac:dyDescent="0.25">
      <c r="A1671" s="1">
        <v>43674</v>
      </c>
      <c r="B1671" s="66" t="s">
        <v>67</v>
      </c>
      <c r="C1671" s="66" t="s">
        <v>59</v>
      </c>
      <c r="D1671" t="s">
        <v>68</v>
      </c>
      <c r="E1671">
        <v>-30</v>
      </c>
      <c r="F1671" s="66" t="s">
        <v>7</v>
      </c>
      <c r="G1671" s="66" t="s">
        <v>10</v>
      </c>
      <c r="H1671" s="66" t="str">
        <f>TEXT(Data[[#This Row],[Buchung]],"MMM")</f>
        <v>Jul</v>
      </c>
      <c r="I1671" s="67">
        <f>YEAR(Data[[#This Row],[Buchung]])</f>
        <v>2019</v>
      </c>
      <c r="J1671" s="2">
        <f>ABS(Data[[#This Row],[Betrag]])</f>
        <v>30</v>
      </c>
      <c r="K1671" s="66" t="str">
        <f>IF(Data[[#This Row],[Betrag]]&lt;0,"A","E")</f>
        <v>A</v>
      </c>
    </row>
    <row r="1672" spans="1:11" x14ac:dyDescent="0.25">
      <c r="A1672" s="1">
        <v>43675</v>
      </c>
      <c r="B1672" s="66" t="s">
        <v>45</v>
      </c>
      <c r="C1672" s="66" t="s">
        <v>46</v>
      </c>
      <c r="D1672" t="s">
        <v>47</v>
      </c>
      <c r="E1672">
        <v>1000</v>
      </c>
      <c r="F1672" s="66" t="s">
        <v>7</v>
      </c>
      <c r="G1672" s="66" t="s">
        <v>9</v>
      </c>
      <c r="H1672" s="66" t="str">
        <f>TEXT(Data[[#This Row],[Buchung]],"MMM")</f>
        <v>Jul</v>
      </c>
      <c r="I1672" s="67">
        <f>YEAR(Data[[#This Row],[Buchung]])</f>
        <v>2019</v>
      </c>
      <c r="J1672" s="2">
        <f>ABS(Data[[#This Row],[Betrag]])</f>
        <v>1000</v>
      </c>
      <c r="K1672" s="66" t="str">
        <f>IF(Data[[#This Row],[Betrag]]&lt;0,"A","E")</f>
        <v>E</v>
      </c>
    </row>
    <row r="1673" spans="1:11" x14ac:dyDescent="0.25">
      <c r="A1673" s="1">
        <v>43676</v>
      </c>
      <c r="B1673" s="66" t="s">
        <v>48</v>
      </c>
      <c r="C1673" s="66" t="s">
        <v>49</v>
      </c>
      <c r="D1673" t="s">
        <v>50</v>
      </c>
      <c r="E1673">
        <v>-15</v>
      </c>
      <c r="F1673" s="66" t="s">
        <v>7</v>
      </c>
      <c r="G1673" s="66" t="s">
        <v>8</v>
      </c>
      <c r="H1673" s="66" t="str">
        <f>TEXT(Data[[#This Row],[Buchung]],"MMM")</f>
        <v>Jul</v>
      </c>
      <c r="I1673" s="67">
        <f>YEAR(Data[[#This Row],[Buchung]])</f>
        <v>2019</v>
      </c>
      <c r="J1673" s="2">
        <f>ABS(Data[[#This Row],[Betrag]])</f>
        <v>15</v>
      </c>
      <c r="K1673" s="66" t="str">
        <f>IF(Data[[#This Row],[Betrag]]&lt;0,"A","E")</f>
        <v>A</v>
      </c>
    </row>
    <row r="1674" spans="1:11" x14ac:dyDescent="0.25">
      <c r="A1674" s="1">
        <v>43677</v>
      </c>
      <c r="B1674" s="66" t="s">
        <v>51</v>
      </c>
      <c r="C1674" s="66" t="s">
        <v>52</v>
      </c>
      <c r="D1674" t="s">
        <v>53</v>
      </c>
      <c r="E1674">
        <v>-350</v>
      </c>
      <c r="F1674" s="66" t="s">
        <v>7</v>
      </c>
      <c r="G1674" s="66" t="s">
        <v>11</v>
      </c>
      <c r="H1674" s="66" t="str">
        <f>TEXT(Data[[#This Row],[Buchung]],"MMM")</f>
        <v>Jul</v>
      </c>
      <c r="I1674" s="67">
        <f>YEAR(Data[[#This Row],[Buchung]])</f>
        <v>2019</v>
      </c>
      <c r="J1674" s="2">
        <f>ABS(Data[[#This Row],[Betrag]])</f>
        <v>350</v>
      </c>
      <c r="K1674" s="66" t="str">
        <f>IF(Data[[#This Row],[Betrag]]&lt;0,"A","E")</f>
        <v>A</v>
      </c>
    </row>
    <row r="1675" spans="1:11" x14ac:dyDescent="0.25">
      <c r="A1675" s="1">
        <v>43678</v>
      </c>
      <c r="B1675" s="66" t="s">
        <v>54</v>
      </c>
      <c r="C1675" s="66" t="s">
        <v>55</v>
      </c>
      <c r="D1675" t="s">
        <v>56</v>
      </c>
      <c r="E1675">
        <v>-120</v>
      </c>
      <c r="F1675" s="66" t="s">
        <v>7</v>
      </c>
      <c r="G1675" s="66" t="s">
        <v>57</v>
      </c>
      <c r="H1675" s="66" t="str">
        <f>TEXT(Data[[#This Row],[Buchung]],"MMM")</f>
        <v>Aug</v>
      </c>
      <c r="I1675" s="67">
        <f>YEAR(Data[[#This Row],[Buchung]])</f>
        <v>2019</v>
      </c>
      <c r="J1675" s="2">
        <f>ABS(Data[[#This Row],[Betrag]])</f>
        <v>120</v>
      </c>
      <c r="K1675" s="66" t="str">
        <f>IF(Data[[#This Row],[Betrag]]&lt;0,"A","E")</f>
        <v>A</v>
      </c>
    </row>
    <row r="1676" spans="1:11" x14ac:dyDescent="0.25">
      <c r="A1676" s="1">
        <v>43679</v>
      </c>
      <c r="B1676" s="66" t="s">
        <v>58</v>
      </c>
      <c r="C1676" s="66" t="s">
        <v>59</v>
      </c>
      <c r="D1676" t="s">
        <v>60</v>
      </c>
      <c r="E1676">
        <v>-80</v>
      </c>
      <c r="F1676" s="66" t="s">
        <v>7</v>
      </c>
      <c r="G1676" s="66" t="s">
        <v>10</v>
      </c>
      <c r="H1676" s="66" t="str">
        <f>TEXT(Data[[#This Row],[Buchung]],"MMM")</f>
        <v>Aug</v>
      </c>
      <c r="I1676" s="67">
        <f>YEAR(Data[[#This Row],[Buchung]])</f>
        <v>2019</v>
      </c>
      <c r="J1676" s="2">
        <f>ABS(Data[[#This Row],[Betrag]])</f>
        <v>80</v>
      </c>
      <c r="K1676" s="66" t="str">
        <f>IF(Data[[#This Row],[Betrag]]&lt;0,"A","E")</f>
        <v>A</v>
      </c>
    </row>
    <row r="1677" spans="1:11" x14ac:dyDescent="0.25">
      <c r="A1677" s="1">
        <v>43680</v>
      </c>
      <c r="B1677" s="66" t="s">
        <v>45</v>
      </c>
      <c r="C1677" s="66" t="s">
        <v>46</v>
      </c>
      <c r="D1677" t="s">
        <v>47</v>
      </c>
      <c r="E1677">
        <v>1000</v>
      </c>
      <c r="F1677" s="66" t="s">
        <v>7</v>
      </c>
      <c r="G1677" s="66" t="s">
        <v>9</v>
      </c>
      <c r="H1677" s="66" t="str">
        <f>TEXT(Data[[#This Row],[Buchung]],"MMM")</f>
        <v>Aug</v>
      </c>
      <c r="I1677" s="67">
        <f>YEAR(Data[[#This Row],[Buchung]])</f>
        <v>2019</v>
      </c>
      <c r="J1677" s="2">
        <f>ABS(Data[[#This Row],[Betrag]])</f>
        <v>1000</v>
      </c>
      <c r="K1677" s="66" t="str">
        <f>IF(Data[[#This Row],[Betrag]]&lt;0,"A","E")</f>
        <v>E</v>
      </c>
    </row>
    <row r="1678" spans="1:11" x14ac:dyDescent="0.25">
      <c r="A1678" s="1">
        <v>43681</v>
      </c>
      <c r="B1678" s="66" t="s">
        <v>61</v>
      </c>
      <c r="C1678" s="66" t="s">
        <v>49</v>
      </c>
      <c r="D1678" t="s">
        <v>62</v>
      </c>
      <c r="E1678">
        <v>-10</v>
      </c>
      <c r="F1678" s="66" t="s">
        <v>7</v>
      </c>
      <c r="G1678" s="66" t="s">
        <v>8</v>
      </c>
      <c r="H1678" s="66" t="str">
        <f>TEXT(Data[[#This Row],[Buchung]],"MMM")</f>
        <v>Aug</v>
      </c>
      <c r="I1678" s="67">
        <f>YEAR(Data[[#This Row],[Buchung]])</f>
        <v>2019</v>
      </c>
      <c r="J1678" s="2">
        <f>ABS(Data[[#This Row],[Betrag]])</f>
        <v>10</v>
      </c>
      <c r="K1678" s="66" t="str">
        <f>IF(Data[[#This Row],[Betrag]]&lt;0,"A","E")</f>
        <v>A</v>
      </c>
    </row>
    <row r="1679" spans="1:11" x14ac:dyDescent="0.25">
      <c r="A1679" s="1">
        <v>43682</v>
      </c>
      <c r="B1679" s="66" t="s">
        <v>63</v>
      </c>
      <c r="C1679" s="66" t="s">
        <v>64</v>
      </c>
      <c r="D1679" t="s">
        <v>65</v>
      </c>
      <c r="E1679">
        <v>-65</v>
      </c>
      <c r="F1679" s="66" t="s">
        <v>7</v>
      </c>
      <c r="G1679" s="66" t="s">
        <v>11</v>
      </c>
      <c r="H1679" s="66" t="str">
        <f>TEXT(Data[[#This Row],[Buchung]],"MMM")</f>
        <v>Aug</v>
      </c>
      <c r="I1679" s="67">
        <f>YEAR(Data[[#This Row],[Buchung]])</f>
        <v>2019</v>
      </c>
      <c r="J1679" s="2">
        <f>ABS(Data[[#This Row],[Betrag]])</f>
        <v>65</v>
      </c>
      <c r="K1679" s="66" t="str">
        <f>IF(Data[[#This Row],[Betrag]]&lt;0,"A","E")</f>
        <v>A</v>
      </c>
    </row>
    <row r="1680" spans="1:11" x14ac:dyDescent="0.25">
      <c r="A1680" s="1">
        <v>43683</v>
      </c>
      <c r="B1680" s="66" t="s">
        <v>54</v>
      </c>
      <c r="C1680" s="66" t="s">
        <v>55</v>
      </c>
      <c r="D1680" t="s">
        <v>66</v>
      </c>
      <c r="E1680">
        <v>-80</v>
      </c>
      <c r="F1680" s="66" t="s">
        <v>7</v>
      </c>
      <c r="G1680" s="66" t="s">
        <v>57</v>
      </c>
      <c r="H1680" s="66" t="str">
        <f>TEXT(Data[[#This Row],[Buchung]],"MMM")</f>
        <v>Aug</v>
      </c>
      <c r="I1680" s="67">
        <f>YEAR(Data[[#This Row],[Buchung]])</f>
        <v>2019</v>
      </c>
      <c r="J1680" s="2">
        <f>ABS(Data[[#This Row],[Betrag]])</f>
        <v>80</v>
      </c>
      <c r="K1680" s="66" t="str">
        <f>IF(Data[[#This Row],[Betrag]]&lt;0,"A","E")</f>
        <v>A</v>
      </c>
    </row>
    <row r="1681" spans="1:11" x14ac:dyDescent="0.25">
      <c r="A1681" s="1">
        <v>43684</v>
      </c>
      <c r="B1681" s="66" t="s">
        <v>67</v>
      </c>
      <c r="C1681" s="66" t="s">
        <v>59</v>
      </c>
      <c r="D1681" t="s">
        <v>68</v>
      </c>
      <c r="E1681">
        <v>-35</v>
      </c>
      <c r="F1681" s="66" t="s">
        <v>7</v>
      </c>
      <c r="G1681" s="66" t="s">
        <v>10</v>
      </c>
      <c r="H1681" s="66" t="str">
        <f>TEXT(Data[[#This Row],[Buchung]],"MMM")</f>
        <v>Aug</v>
      </c>
      <c r="I1681" s="67">
        <f>YEAR(Data[[#This Row],[Buchung]])</f>
        <v>2019</v>
      </c>
      <c r="J1681" s="2">
        <f>ABS(Data[[#This Row],[Betrag]])</f>
        <v>35</v>
      </c>
      <c r="K1681" s="66" t="str">
        <f>IF(Data[[#This Row],[Betrag]]&lt;0,"A","E")</f>
        <v>A</v>
      </c>
    </row>
    <row r="1682" spans="1:11" x14ac:dyDescent="0.25">
      <c r="A1682" s="1">
        <v>43685</v>
      </c>
      <c r="B1682" s="66" t="s">
        <v>45</v>
      </c>
      <c r="C1682" s="66" t="s">
        <v>46</v>
      </c>
      <c r="D1682" t="s">
        <v>47</v>
      </c>
      <c r="E1682">
        <v>1000</v>
      </c>
      <c r="F1682" s="66" t="s">
        <v>7</v>
      </c>
      <c r="G1682" s="66" t="s">
        <v>9</v>
      </c>
      <c r="H1682" s="66" t="str">
        <f>TEXT(Data[[#This Row],[Buchung]],"MMM")</f>
        <v>Aug</v>
      </c>
      <c r="I1682" s="67">
        <f>YEAR(Data[[#This Row],[Buchung]])</f>
        <v>2019</v>
      </c>
      <c r="J1682" s="2">
        <f>ABS(Data[[#This Row],[Betrag]])</f>
        <v>1000</v>
      </c>
      <c r="K1682" s="66" t="str">
        <f>IF(Data[[#This Row],[Betrag]]&lt;0,"A","E")</f>
        <v>E</v>
      </c>
    </row>
    <row r="1683" spans="1:11" x14ac:dyDescent="0.25">
      <c r="A1683" s="1">
        <v>43686</v>
      </c>
      <c r="B1683" s="66" t="s">
        <v>45</v>
      </c>
      <c r="C1683" s="66" t="s">
        <v>46</v>
      </c>
      <c r="D1683" t="s">
        <v>47</v>
      </c>
      <c r="E1683">
        <v>1000</v>
      </c>
      <c r="F1683" s="66" t="s">
        <v>7</v>
      </c>
      <c r="G1683" s="66" t="s">
        <v>9</v>
      </c>
      <c r="H1683" s="66" t="str">
        <f>TEXT(Data[[#This Row],[Buchung]],"MMM")</f>
        <v>Aug</v>
      </c>
      <c r="I1683" s="67">
        <f>YEAR(Data[[#This Row],[Buchung]])</f>
        <v>2019</v>
      </c>
      <c r="J1683" s="2">
        <f>ABS(Data[[#This Row],[Betrag]])</f>
        <v>1000</v>
      </c>
      <c r="K1683" s="66" t="str">
        <f>IF(Data[[#This Row],[Betrag]]&lt;0,"A","E")</f>
        <v>E</v>
      </c>
    </row>
    <row r="1684" spans="1:11" x14ac:dyDescent="0.25">
      <c r="A1684" s="1">
        <v>43687</v>
      </c>
      <c r="B1684" s="66" t="s">
        <v>48</v>
      </c>
      <c r="C1684" s="66" t="s">
        <v>49</v>
      </c>
      <c r="D1684" t="s">
        <v>50</v>
      </c>
      <c r="E1684">
        <v>-15</v>
      </c>
      <c r="F1684" s="66" t="s">
        <v>7</v>
      </c>
      <c r="G1684" s="66" t="s">
        <v>8</v>
      </c>
      <c r="H1684" s="66" t="str">
        <f>TEXT(Data[[#This Row],[Buchung]],"MMM")</f>
        <v>Aug</v>
      </c>
      <c r="I1684" s="67">
        <f>YEAR(Data[[#This Row],[Buchung]])</f>
        <v>2019</v>
      </c>
      <c r="J1684" s="2">
        <f>ABS(Data[[#This Row],[Betrag]])</f>
        <v>15</v>
      </c>
      <c r="K1684" s="66" t="str">
        <f>IF(Data[[#This Row],[Betrag]]&lt;0,"A","E")</f>
        <v>A</v>
      </c>
    </row>
    <row r="1685" spans="1:11" x14ac:dyDescent="0.25">
      <c r="A1685" s="1">
        <v>43688</v>
      </c>
      <c r="B1685" s="66" t="s">
        <v>51</v>
      </c>
      <c r="C1685" s="66" t="s">
        <v>52</v>
      </c>
      <c r="D1685" t="s">
        <v>53</v>
      </c>
      <c r="E1685">
        <v>-350</v>
      </c>
      <c r="F1685" s="66" t="s">
        <v>7</v>
      </c>
      <c r="G1685" s="66" t="s">
        <v>11</v>
      </c>
      <c r="H1685" s="66" t="str">
        <f>TEXT(Data[[#This Row],[Buchung]],"MMM")</f>
        <v>Aug</v>
      </c>
      <c r="I1685" s="67">
        <f>YEAR(Data[[#This Row],[Buchung]])</f>
        <v>2019</v>
      </c>
      <c r="J1685" s="2">
        <f>ABS(Data[[#This Row],[Betrag]])</f>
        <v>350</v>
      </c>
      <c r="K1685" s="66" t="str">
        <f>IF(Data[[#This Row],[Betrag]]&lt;0,"A","E")</f>
        <v>A</v>
      </c>
    </row>
    <row r="1686" spans="1:11" x14ac:dyDescent="0.25">
      <c r="A1686" s="1">
        <v>43689</v>
      </c>
      <c r="B1686" s="66" t="s">
        <v>54</v>
      </c>
      <c r="C1686" s="66" t="s">
        <v>55</v>
      </c>
      <c r="D1686" t="s">
        <v>56</v>
      </c>
      <c r="E1686">
        <v>-120</v>
      </c>
      <c r="F1686" s="66" t="s">
        <v>7</v>
      </c>
      <c r="G1686" s="66" t="s">
        <v>57</v>
      </c>
      <c r="H1686" s="66" t="str">
        <f>TEXT(Data[[#This Row],[Buchung]],"MMM")</f>
        <v>Aug</v>
      </c>
      <c r="I1686" s="67">
        <f>YEAR(Data[[#This Row],[Buchung]])</f>
        <v>2019</v>
      </c>
      <c r="J1686" s="2">
        <f>ABS(Data[[#This Row],[Betrag]])</f>
        <v>120</v>
      </c>
      <c r="K1686" s="66" t="str">
        <f>IF(Data[[#This Row],[Betrag]]&lt;0,"A","E")</f>
        <v>A</v>
      </c>
    </row>
    <row r="1687" spans="1:11" x14ac:dyDescent="0.25">
      <c r="A1687" s="1">
        <v>43690</v>
      </c>
      <c r="B1687" s="66" t="s">
        <v>58</v>
      </c>
      <c r="C1687" s="66" t="s">
        <v>59</v>
      </c>
      <c r="D1687" t="s">
        <v>60</v>
      </c>
      <c r="E1687">
        <v>-50</v>
      </c>
      <c r="F1687" s="66" t="s">
        <v>7</v>
      </c>
      <c r="G1687" s="66" t="s">
        <v>10</v>
      </c>
      <c r="H1687" s="66" t="str">
        <f>TEXT(Data[[#This Row],[Buchung]],"MMM")</f>
        <v>Aug</v>
      </c>
      <c r="I1687" s="67">
        <f>YEAR(Data[[#This Row],[Buchung]])</f>
        <v>2019</v>
      </c>
      <c r="J1687" s="2">
        <f>ABS(Data[[#This Row],[Betrag]])</f>
        <v>50</v>
      </c>
      <c r="K1687" s="66" t="str">
        <f>IF(Data[[#This Row],[Betrag]]&lt;0,"A","E")</f>
        <v>A</v>
      </c>
    </row>
    <row r="1688" spans="1:11" x14ac:dyDescent="0.25">
      <c r="A1688" s="1">
        <v>43691</v>
      </c>
      <c r="B1688" s="66" t="s">
        <v>45</v>
      </c>
      <c r="C1688" s="66" t="s">
        <v>46</v>
      </c>
      <c r="D1688" t="s">
        <v>47</v>
      </c>
      <c r="E1688">
        <v>1000</v>
      </c>
      <c r="F1688" s="66" t="s">
        <v>7</v>
      </c>
      <c r="G1688" s="66" t="s">
        <v>9</v>
      </c>
      <c r="H1688" s="66" t="str">
        <f>TEXT(Data[[#This Row],[Buchung]],"MMM")</f>
        <v>Aug</v>
      </c>
      <c r="I1688" s="67">
        <f>YEAR(Data[[#This Row],[Buchung]])</f>
        <v>2019</v>
      </c>
      <c r="J1688" s="2">
        <f>ABS(Data[[#This Row],[Betrag]])</f>
        <v>1000</v>
      </c>
      <c r="K1688" s="66" t="str">
        <f>IF(Data[[#This Row],[Betrag]]&lt;0,"A","E")</f>
        <v>E</v>
      </c>
    </row>
    <row r="1689" spans="1:11" x14ac:dyDescent="0.25">
      <c r="A1689" s="1">
        <v>43692</v>
      </c>
      <c r="B1689" s="66" t="s">
        <v>61</v>
      </c>
      <c r="C1689" s="66" t="s">
        <v>49</v>
      </c>
      <c r="D1689" t="s">
        <v>62</v>
      </c>
      <c r="E1689">
        <v>-10</v>
      </c>
      <c r="F1689" s="66" t="s">
        <v>7</v>
      </c>
      <c r="G1689" s="66" t="s">
        <v>8</v>
      </c>
      <c r="H1689" s="66" t="str">
        <f>TEXT(Data[[#This Row],[Buchung]],"MMM")</f>
        <v>Aug</v>
      </c>
      <c r="I1689" s="67">
        <f>YEAR(Data[[#This Row],[Buchung]])</f>
        <v>2019</v>
      </c>
      <c r="J1689" s="2">
        <f>ABS(Data[[#This Row],[Betrag]])</f>
        <v>10</v>
      </c>
      <c r="K1689" s="66" t="str">
        <f>IF(Data[[#This Row],[Betrag]]&lt;0,"A","E")</f>
        <v>A</v>
      </c>
    </row>
    <row r="1690" spans="1:11" x14ac:dyDescent="0.25">
      <c r="A1690" s="1">
        <v>43693</v>
      </c>
      <c r="B1690" s="66" t="s">
        <v>63</v>
      </c>
      <c r="C1690" s="66" t="s">
        <v>64</v>
      </c>
      <c r="D1690" t="s">
        <v>65</v>
      </c>
      <c r="E1690">
        <v>-60</v>
      </c>
      <c r="F1690" s="66" t="s">
        <v>7</v>
      </c>
      <c r="G1690" s="66" t="s">
        <v>11</v>
      </c>
      <c r="H1690" s="66" t="str">
        <f>TEXT(Data[[#This Row],[Buchung]],"MMM")</f>
        <v>Aug</v>
      </c>
      <c r="I1690" s="67">
        <f>YEAR(Data[[#This Row],[Buchung]])</f>
        <v>2019</v>
      </c>
      <c r="J1690" s="2">
        <f>ABS(Data[[#This Row],[Betrag]])</f>
        <v>60</v>
      </c>
      <c r="K1690" s="66" t="str">
        <f>IF(Data[[#This Row],[Betrag]]&lt;0,"A","E")</f>
        <v>A</v>
      </c>
    </row>
    <row r="1691" spans="1:11" x14ac:dyDescent="0.25">
      <c r="A1691" s="1">
        <v>43694</v>
      </c>
      <c r="B1691" s="66" t="s">
        <v>54</v>
      </c>
      <c r="C1691" s="66" t="s">
        <v>55</v>
      </c>
      <c r="D1691" t="s">
        <v>66</v>
      </c>
      <c r="E1691">
        <v>-80</v>
      </c>
      <c r="F1691" s="66" t="s">
        <v>7</v>
      </c>
      <c r="G1691" s="66" t="s">
        <v>57</v>
      </c>
      <c r="H1691" s="66" t="str">
        <f>TEXT(Data[[#This Row],[Buchung]],"MMM")</f>
        <v>Aug</v>
      </c>
      <c r="I1691" s="67">
        <f>YEAR(Data[[#This Row],[Buchung]])</f>
        <v>2019</v>
      </c>
      <c r="J1691" s="2">
        <f>ABS(Data[[#This Row],[Betrag]])</f>
        <v>80</v>
      </c>
      <c r="K1691" s="66" t="str">
        <f>IF(Data[[#This Row],[Betrag]]&lt;0,"A","E")</f>
        <v>A</v>
      </c>
    </row>
    <row r="1692" spans="1:11" x14ac:dyDescent="0.25">
      <c r="A1692" s="1">
        <v>43695</v>
      </c>
      <c r="B1692" s="66" t="s">
        <v>67</v>
      </c>
      <c r="C1692" s="66" t="s">
        <v>59</v>
      </c>
      <c r="D1692" t="s">
        <v>68</v>
      </c>
      <c r="E1692">
        <v>-20</v>
      </c>
      <c r="F1692" s="66" t="s">
        <v>7</v>
      </c>
      <c r="G1692" s="66" t="s">
        <v>10</v>
      </c>
      <c r="H1692" s="66" t="str">
        <f>TEXT(Data[[#This Row],[Buchung]],"MMM")</f>
        <v>Aug</v>
      </c>
      <c r="I1692" s="67">
        <f>YEAR(Data[[#This Row],[Buchung]])</f>
        <v>2019</v>
      </c>
      <c r="J1692" s="2">
        <f>ABS(Data[[#This Row],[Betrag]])</f>
        <v>20</v>
      </c>
      <c r="K1692" s="66" t="str">
        <f>IF(Data[[#This Row],[Betrag]]&lt;0,"A","E")</f>
        <v>A</v>
      </c>
    </row>
    <row r="1693" spans="1:11" x14ac:dyDescent="0.25">
      <c r="A1693" s="1">
        <v>43696</v>
      </c>
      <c r="B1693" s="66" t="s">
        <v>45</v>
      </c>
      <c r="C1693" s="66" t="s">
        <v>46</v>
      </c>
      <c r="D1693" t="s">
        <v>47</v>
      </c>
      <c r="E1693">
        <v>1000</v>
      </c>
      <c r="F1693" s="66" t="s">
        <v>7</v>
      </c>
      <c r="G1693" s="66" t="s">
        <v>9</v>
      </c>
      <c r="H1693" s="66" t="str">
        <f>TEXT(Data[[#This Row],[Buchung]],"MMM")</f>
        <v>Aug</v>
      </c>
      <c r="I1693" s="67">
        <f>YEAR(Data[[#This Row],[Buchung]])</f>
        <v>2019</v>
      </c>
      <c r="J1693" s="2">
        <f>ABS(Data[[#This Row],[Betrag]])</f>
        <v>1000</v>
      </c>
      <c r="K1693" s="66" t="str">
        <f>IF(Data[[#This Row],[Betrag]]&lt;0,"A","E")</f>
        <v>E</v>
      </c>
    </row>
    <row r="1694" spans="1:11" x14ac:dyDescent="0.25">
      <c r="A1694" s="1">
        <v>43697</v>
      </c>
      <c r="B1694" s="66" t="s">
        <v>48</v>
      </c>
      <c r="C1694" s="66" t="s">
        <v>49</v>
      </c>
      <c r="D1694" t="s">
        <v>50</v>
      </c>
      <c r="E1694">
        <v>-15</v>
      </c>
      <c r="F1694" s="66" t="s">
        <v>7</v>
      </c>
      <c r="G1694" s="66" t="s">
        <v>8</v>
      </c>
      <c r="H1694" s="66" t="str">
        <f>TEXT(Data[[#This Row],[Buchung]],"MMM")</f>
        <v>Aug</v>
      </c>
      <c r="I1694" s="67">
        <f>YEAR(Data[[#This Row],[Buchung]])</f>
        <v>2019</v>
      </c>
      <c r="J1694" s="2">
        <f>ABS(Data[[#This Row],[Betrag]])</f>
        <v>15</v>
      </c>
      <c r="K1694" s="66" t="str">
        <f>IF(Data[[#This Row],[Betrag]]&lt;0,"A","E")</f>
        <v>A</v>
      </c>
    </row>
    <row r="1695" spans="1:11" x14ac:dyDescent="0.25">
      <c r="A1695" s="1">
        <v>43698</v>
      </c>
      <c r="B1695" s="66" t="s">
        <v>51</v>
      </c>
      <c r="C1695" s="66" t="s">
        <v>52</v>
      </c>
      <c r="D1695" t="s">
        <v>53</v>
      </c>
      <c r="E1695">
        <v>-350</v>
      </c>
      <c r="F1695" s="66" t="s">
        <v>7</v>
      </c>
      <c r="G1695" s="66" t="s">
        <v>11</v>
      </c>
      <c r="H1695" s="66" t="str">
        <f>TEXT(Data[[#This Row],[Buchung]],"MMM")</f>
        <v>Aug</v>
      </c>
      <c r="I1695" s="67">
        <f>YEAR(Data[[#This Row],[Buchung]])</f>
        <v>2019</v>
      </c>
      <c r="J1695" s="2">
        <f>ABS(Data[[#This Row],[Betrag]])</f>
        <v>350</v>
      </c>
      <c r="K1695" s="66" t="str">
        <f>IF(Data[[#This Row],[Betrag]]&lt;0,"A","E")</f>
        <v>A</v>
      </c>
    </row>
    <row r="1696" spans="1:11" x14ac:dyDescent="0.25">
      <c r="A1696" s="1">
        <v>43699</v>
      </c>
      <c r="B1696" s="66" t="s">
        <v>54</v>
      </c>
      <c r="C1696" s="66" t="s">
        <v>55</v>
      </c>
      <c r="D1696" t="s">
        <v>56</v>
      </c>
      <c r="E1696">
        <v>-120</v>
      </c>
      <c r="F1696" s="66" t="s">
        <v>7</v>
      </c>
      <c r="G1696" s="66" t="s">
        <v>57</v>
      </c>
      <c r="H1696" s="66" t="str">
        <f>TEXT(Data[[#This Row],[Buchung]],"MMM")</f>
        <v>Aug</v>
      </c>
      <c r="I1696" s="67">
        <f>YEAR(Data[[#This Row],[Buchung]])</f>
        <v>2019</v>
      </c>
      <c r="J1696" s="2">
        <f>ABS(Data[[#This Row],[Betrag]])</f>
        <v>120</v>
      </c>
      <c r="K1696" s="66" t="str">
        <f>IF(Data[[#This Row],[Betrag]]&lt;0,"A","E")</f>
        <v>A</v>
      </c>
    </row>
    <row r="1697" spans="1:11" x14ac:dyDescent="0.25">
      <c r="A1697" s="1">
        <v>43700</v>
      </c>
      <c r="B1697" s="66" t="s">
        <v>58</v>
      </c>
      <c r="C1697" s="66" t="s">
        <v>59</v>
      </c>
      <c r="D1697" t="s">
        <v>60</v>
      </c>
      <c r="E1697">
        <v>-60</v>
      </c>
      <c r="F1697" s="66" t="s">
        <v>7</v>
      </c>
      <c r="G1697" s="66" t="s">
        <v>10</v>
      </c>
      <c r="H1697" s="66" t="str">
        <f>TEXT(Data[[#This Row],[Buchung]],"MMM")</f>
        <v>Aug</v>
      </c>
      <c r="I1697" s="67">
        <f>YEAR(Data[[#This Row],[Buchung]])</f>
        <v>2019</v>
      </c>
      <c r="J1697" s="2">
        <f>ABS(Data[[#This Row],[Betrag]])</f>
        <v>60</v>
      </c>
      <c r="K1697" s="66" t="str">
        <f>IF(Data[[#This Row],[Betrag]]&lt;0,"A","E")</f>
        <v>A</v>
      </c>
    </row>
    <row r="1698" spans="1:11" x14ac:dyDescent="0.25">
      <c r="A1698" s="1">
        <v>43701</v>
      </c>
      <c r="B1698" s="66" t="s">
        <v>45</v>
      </c>
      <c r="C1698" s="66" t="s">
        <v>46</v>
      </c>
      <c r="D1698" t="s">
        <v>47</v>
      </c>
      <c r="E1698">
        <v>1000</v>
      </c>
      <c r="F1698" s="66" t="s">
        <v>7</v>
      </c>
      <c r="G1698" s="66" t="s">
        <v>9</v>
      </c>
      <c r="H1698" s="66" t="str">
        <f>TEXT(Data[[#This Row],[Buchung]],"MMM")</f>
        <v>Aug</v>
      </c>
      <c r="I1698" s="67">
        <f>YEAR(Data[[#This Row],[Buchung]])</f>
        <v>2019</v>
      </c>
      <c r="J1698" s="2">
        <f>ABS(Data[[#This Row],[Betrag]])</f>
        <v>1000</v>
      </c>
      <c r="K1698" s="66" t="str">
        <f>IF(Data[[#This Row],[Betrag]]&lt;0,"A","E")</f>
        <v>E</v>
      </c>
    </row>
    <row r="1699" spans="1:11" x14ac:dyDescent="0.25">
      <c r="A1699" s="1">
        <v>43702</v>
      </c>
      <c r="B1699" s="66" t="s">
        <v>61</v>
      </c>
      <c r="C1699" s="66" t="s">
        <v>49</v>
      </c>
      <c r="D1699" t="s">
        <v>62</v>
      </c>
      <c r="E1699">
        <v>-10</v>
      </c>
      <c r="F1699" s="66" t="s">
        <v>7</v>
      </c>
      <c r="G1699" s="66" t="s">
        <v>8</v>
      </c>
      <c r="H1699" s="66" t="str">
        <f>TEXT(Data[[#This Row],[Buchung]],"MMM")</f>
        <v>Aug</v>
      </c>
      <c r="I1699" s="67">
        <f>YEAR(Data[[#This Row],[Buchung]])</f>
        <v>2019</v>
      </c>
      <c r="J1699" s="2">
        <f>ABS(Data[[#This Row],[Betrag]])</f>
        <v>10</v>
      </c>
      <c r="K1699" s="66" t="str">
        <f>IF(Data[[#This Row],[Betrag]]&lt;0,"A","E")</f>
        <v>A</v>
      </c>
    </row>
    <row r="1700" spans="1:11" x14ac:dyDescent="0.25">
      <c r="A1700" s="1">
        <v>43703</v>
      </c>
      <c r="B1700" s="66" t="s">
        <v>63</v>
      </c>
      <c r="C1700" s="66" t="s">
        <v>64</v>
      </c>
      <c r="D1700" t="s">
        <v>65</v>
      </c>
      <c r="E1700">
        <v>-70</v>
      </c>
      <c r="F1700" s="66" t="s">
        <v>7</v>
      </c>
      <c r="G1700" s="66" t="s">
        <v>11</v>
      </c>
      <c r="H1700" s="66" t="str">
        <f>TEXT(Data[[#This Row],[Buchung]],"MMM")</f>
        <v>Aug</v>
      </c>
      <c r="I1700" s="67">
        <f>YEAR(Data[[#This Row],[Buchung]])</f>
        <v>2019</v>
      </c>
      <c r="J1700" s="2">
        <f>ABS(Data[[#This Row],[Betrag]])</f>
        <v>70</v>
      </c>
      <c r="K1700" s="66" t="str">
        <f>IF(Data[[#This Row],[Betrag]]&lt;0,"A","E")</f>
        <v>A</v>
      </c>
    </row>
    <row r="1701" spans="1:11" x14ac:dyDescent="0.25">
      <c r="A1701" s="1">
        <v>43704</v>
      </c>
      <c r="B1701" s="66" t="s">
        <v>54</v>
      </c>
      <c r="C1701" s="66" t="s">
        <v>55</v>
      </c>
      <c r="D1701" t="s">
        <v>66</v>
      </c>
      <c r="E1701">
        <v>-80</v>
      </c>
      <c r="F1701" s="66" t="s">
        <v>7</v>
      </c>
      <c r="G1701" s="66" t="s">
        <v>57</v>
      </c>
      <c r="H1701" s="66" t="str">
        <f>TEXT(Data[[#This Row],[Buchung]],"MMM")</f>
        <v>Aug</v>
      </c>
      <c r="I1701" s="67">
        <f>YEAR(Data[[#This Row],[Buchung]])</f>
        <v>2019</v>
      </c>
      <c r="J1701" s="2">
        <f>ABS(Data[[#This Row],[Betrag]])</f>
        <v>80</v>
      </c>
      <c r="K1701" s="66" t="str">
        <f>IF(Data[[#This Row],[Betrag]]&lt;0,"A","E")</f>
        <v>A</v>
      </c>
    </row>
    <row r="1702" spans="1:11" x14ac:dyDescent="0.25">
      <c r="A1702" s="1">
        <v>43705</v>
      </c>
      <c r="B1702" s="66" t="s">
        <v>67</v>
      </c>
      <c r="C1702" s="66" t="s">
        <v>59</v>
      </c>
      <c r="D1702" t="s">
        <v>68</v>
      </c>
      <c r="E1702">
        <v>-25</v>
      </c>
      <c r="F1702" s="66" t="s">
        <v>7</v>
      </c>
      <c r="G1702" s="66" t="s">
        <v>10</v>
      </c>
      <c r="H1702" s="66" t="str">
        <f>TEXT(Data[[#This Row],[Buchung]],"MMM")</f>
        <v>Aug</v>
      </c>
      <c r="I1702" s="67">
        <f>YEAR(Data[[#This Row],[Buchung]])</f>
        <v>2019</v>
      </c>
      <c r="J1702" s="2">
        <f>ABS(Data[[#This Row],[Betrag]])</f>
        <v>25</v>
      </c>
      <c r="K1702" s="66" t="str">
        <f>IF(Data[[#This Row],[Betrag]]&lt;0,"A","E")</f>
        <v>A</v>
      </c>
    </row>
    <row r="1703" spans="1:11" x14ac:dyDescent="0.25">
      <c r="A1703" s="1">
        <v>43706</v>
      </c>
      <c r="B1703" s="66" t="s">
        <v>45</v>
      </c>
      <c r="C1703" s="66" t="s">
        <v>46</v>
      </c>
      <c r="D1703" t="s">
        <v>47</v>
      </c>
      <c r="E1703">
        <v>1000</v>
      </c>
      <c r="F1703" s="66" t="s">
        <v>7</v>
      </c>
      <c r="G1703" s="66" t="s">
        <v>9</v>
      </c>
      <c r="H1703" s="66" t="str">
        <f>TEXT(Data[[#This Row],[Buchung]],"MMM")</f>
        <v>Aug</v>
      </c>
      <c r="I1703" s="67">
        <f>YEAR(Data[[#This Row],[Buchung]])</f>
        <v>2019</v>
      </c>
      <c r="J1703" s="2">
        <f>ABS(Data[[#This Row],[Betrag]])</f>
        <v>1000</v>
      </c>
      <c r="K1703" s="66" t="str">
        <f>IF(Data[[#This Row],[Betrag]]&lt;0,"A","E")</f>
        <v>E</v>
      </c>
    </row>
    <row r="1704" spans="1:11" x14ac:dyDescent="0.25">
      <c r="A1704" s="1">
        <v>43707</v>
      </c>
      <c r="B1704" s="66" t="s">
        <v>48</v>
      </c>
      <c r="C1704" s="66" t="s">
        <v>49</v>
      </c>
      <c r="D1704" t="s">
        <v>50</v>
      </c>
      <c r="E1704">
        <v>-15</v>
      </c>
      <c r="F1704" s="66" t="s">
        <v>7</v>
      </c>
      <c r="G1704" s="66" t="s">
        <v>8</v>
      </c>
      <c r="H1704" s="66" t="str">
        <f>TEXT(Data[[#This Row],[Buchung]],"MMM")</f>
        <v>Aug</v>
      </c>
      <c r="I1704" s="67">
        <f>YEAR(Data[[#This Row],[Buchung]])</f>
        <v>2019</v>
      </c>
      <c r="J1704" s="2">
        <f>ABS(Data[[#This Row],[Betrag]])</f>
        <v>15</v>
      </c>
      <c r="K1704" s="66" t="str">
        <f>IF(Data[[#This Row],[Betrag]]&lt;0,"A","E")</f>
        <v>A</v>
      </c>
    </row>
    <row r="1705" spans="1:11" x14ac:dyDescent="0.25">
      <c r="A1705" s="1">
        <v>43708</v>
      </c>
      <c r="B1705" s="66" t="s">
        <v>51</v>
      </c>
      <c r="C1705" s="66" t="s">
        <v>52</v>
      </c>
      <c r="D1705" t="s">
        <v>53</v>
      </c>
      <c r="E1705">
        <v>-350</v>
      </c>
      <c r="F1705" s="66" t="s">
        <v>7</v>
      </c>
      <c r="G1705" s="66" t="s">
        <v>11</v>
      </c>
      <c r="H1705" s="66" t="str">
        <f>TEXT(Data[[#This Row],[Buchung]],"MMM")</f>
        <v>Aug</v>
      </c>
      <c r="I1705" s="67">
        <f>YEAR(Data[[#This Row],[Buchung]])</f>
        <v>2019</v>
      </c>
      <c r="J1705" s="2">
        <f>ABS(Data[[#This Row],[Betrag]])</f>
        <v>350</v>
      </c>
      <c r="K1705" s="66" t="str">
        <f>IF(Data[[#This Row],[Betrag]]&lt;0,"A","E")</f>
        <v>A</v>
      </c>
    </row>
    <row r="1706" spans="1:11" x14ac:dyDescent="0.25">
      <c r="A1706" s="1">
        <v>43709</v>
      </c>
      <c r="B1706" s="66" t="s">
        <v>54</v>
      </c>
      <c r="C1706" s="66" t="s">
        <v>55</v>
      </c>
      <c r="D1706" t="s">
        <v>56</v>
      </c>
      <c r="E1706">
        <v>-120</v>
      </c>
      <c r="F1706" s="66" t="s">
        <v>7</v>
      </c>
      <c r="G1706" s="66" t="s">
        <v>57</v>
      </c>
      <c r="H1706" s="66" t="str">
        <f>TEXT(Data[[#This Row],[Buchung]],"MMM")</f>
        <v>Sep</v>
      </c>
      <c r="I1706" s="67">
        <f>YEAR(Data[[#This Row],[Buchung]])</f>
        <v>2019</v>
      </c>
      <c r="J1706" s="2">
        <f>ABS(Data[[#This Row],[Betrag]])</f>
        <v>120</v>
      </c>
      <c r="K1706" s="66" t="str">
        <f>IF(Data[[#This Row],[Betrag]]&lt;0,"A","E")</f>
        <v>A</v>
      </c>
    </row>
    <row r="1707" spans="1:11" x14ac:dyDescent="0.25">
      <c r="A1707" s="1">
        <v>43710</v>
      </c>
      <c r="B1707" s="66" t="s">
        <v>58</v>
      </c>
      <c r="C1707" s="66" t="s">
        <v>59</v>
      </c>
      <c r="D1707" t="s">
        <v>60</v>
      </c>
      <c r="E1707">
        <v>-70</v>
      </c>
      <c r="F1707" s="66" t="s">
        <v>7</v>
      </c>
      <c r="G1707" s="66" t="s">
        <v>10</v>
      </c>
      <c r="H1707" s="66" t="str">
        <f>TEXT(Data[[#This Row],[Buchung]],"MMM")</f>
        <v>Sep</v>
      </c>
      <c r="I1707" s="67">
        <f>YEAR(Data[[#This Row],[Buchung]])</f>
        <v>2019</v>
      </c>
      <c r="J1707" s="2">
        <f>ABS(Data[[#This Row],[Betrag]])</f>
        <v>70</v>
      </c>
      <c r="K1707" s="66" t="str">
        <f>IF(Data[[#This Row],[Betrag]]&lt;0,"A","E")</f>
        <v>A</v>
      </c>
    </row>
    <row r="1708" spans="1:11" x14ac:dyDescent="0.25">
      <c r="A1708" s="1">
        <v>43711</v>
      </c>
      <c r="B1708" s="66" t="s">
        <v>45</v>
      </c>
      <c r="C1708" s="66" t="s">
        <v>46</v>
      </c>
      <c r="D1708" t="s">
        <v>47</v>
      </c>
      <c r="E1708">
        <v>1000</v>
      </c>
      <c r="F1708" s="66" t="s">
        <v>7</v>
      </c>
      <c r="G1708" s="66" t="s">
        <v>9</v>
      </c>
      <c r="H1708" s="66" t="str">
        <f>TEXT(Data[[#This Row],[Buchung]],"MMM")</f>
        <v>Sep</v>
      </c>
      <c r="I1708" s="67">
        <f>YEAR(Data[[#This Row],[Buchung]])</f>
        <v>2019</v>
      </c>
      <c r="J1708" s="2">
        <f>ABS(Data[[#This Row],[Betrag]])</f>
        <v>1000</v>
      </c>
      <c r="K1708" s="66" t="str">
        <f>IF(Data[[#This Row],[Betrag]]&lt;0,"A","E")</f>
        <v>E</v>
      </c>
    </row>
    <row r="1709" spans="1:11" x14ac:dyDescent="0.25">
      <c r="A1709" s="1">
        <v>43712</v>
      </c>
      <c r="B1709" s="66" t="s">
        <v>61</v>
      </c>
      <c r="C1709" s="66" t="s">
        <v>49</v>
      </c>
      <c r="D1709" t="s">
        <v>62</v>
      </c>
      <c r="E1709">
        <v>-10</v>
      </c>
      <c r="F1709" s="66" t="s">
        <v>7</v>
      </c>
      <c r="G1709" s="66" t="s">
        <v>8</v>
      </c>
      <c r="H1709" s="66" t="str">
        <f>TEXT(Data[[#This Row],[Buchung]],"MMM")</f>
        <v>Sep</v>
      </c>
      <c r="I1709" s="67">
        <f>YEAR(Data[[#This Row],[Buchung]])</f>
        <v>2019</v>
      </c>
      <c r="J1709" s="2">
        <f>ABS(Data[[#This Row],[Betrag]])</f>
        <v>10</v>
      </c>
      <c r="K1709" s="66" t="str">
        <f>IF(Data[[#This Row],[Betrag]]&lt;0,"A","E")</f>
        <v>A</v>
      </c>
    </row>
    <row r="1710" spans="1:11" x14ac:dyDescent="0.25">
      <c r="A1710" s="1">
        <v>43713</v>
      </c>
      <c r="B1710" s="66" t="s">
        <v>63</v>
      </c>
      <c r="C1710" s="66" t="s">
        <v>64</v>
      </c>
      <c r="D1710" t="s">
        <v>65</v>
      </c>
      <c r="E1710">
        <v>-60</v>
      </c>
      <c r="F1710" s="66" t="s">
        <v>7</v>
      </c>
      <c r="G1710" s="66" t="s">
        <v>11</v>
      </c>
      <c r="H1710" s="66" t="str">
        <f>TEXT(Data[[#This Row],[Buchung]],"MMM")</f>
        <v>Sep</v>
      </c>
      <c r="I1710" s="67">
        <f>YEAR(Data[[#This Row],[Buchung]])</f>
        <v>2019</v>
      </c>
      <c r="J1710" s="2">
        <f>ABS(Data[[#This Row],[Betrag]])</f>
        <v>60</v>
      </c>
      <c r="K1710" s="66" t="str">
        <f>IF(Data[[#This Row],[Betrag]]&lt;0,"A","E")</f>
        <v>A</v>
      </c>
    </row>
    <row r="1711" spans="1:11" x14ac:dyDescent="0.25">
      <c r="A1711" s="1">
        <v>43714</v>
      </c>
      <c r="B1711" s="66" t="s">
        <v>54</v>
      </c>
      <c r="C1711" s="66" t="s">
        <v>55</v>
      </c>
      <c r="D1711" t="s">
        <v>66</v>
      </c>
      <c r="E1711">
        <v>-80</v>
      </c>
      <c r="F1711" s="66" t="s">
        <v>7</v>
      </c>
      <c r="G1711" s="66" t="s">
        <v>57</v>
      </c>
      <c r="H1711" s="66" t="str">
        <f>TEXT(Data[[#This Row],[Buchung]],"MMM")</f>
        <v>Sep</v>
      </c>
      <c r="I1711" s="67">
        <f>YEAR(Data[[#This Row],[Buchung]])</f>
        <v>2019</v>
      </c>
      <c r="J1711" s="2">
        <f>ABS(Data[[#This Row],[Betrag]])</f>
        <v>80</v>
      </c>
      <c r="K1711" s="66" t="str">
        <f>IF(Data[[#This Row],[Betrag]]&lt;0,"A","E")</f>
        <v>A</v>
      </c>
    </row>
    <row r="1712" spans="1:11" x14ac:dyDescent="0.25">
      <c r="A1712" s="1">
        <v>43715</v>
      </c>
      <c r="B1712" s="66" t="s">
        <v>67</v>
      </c>
      <c r="C1712" s="66" t="s">
        <v>59</v>
      </c>
      <c r="D1712" t="s">
        <v>68</v>
      </c>
      <c r="E1712">
        <v>-30</v>
      </c>
      <c r="F1712" s="66" t="s">
        <v>7</v>
      </c>
      <c r="G1712" s="66" t="s">
        <v>10</v>
      </c>
      <c r="H1712" s="66" t="str">
        <f>TEXT(Data[[#This Row],[Buchung]],"MMM")</f>
        <v>Sep</v>
      </c>
      <c r="I1712" s="67">
        <f>YEAR(Data[[#This Row],[Buchung]])</f>
        <v>2019</v>
      </c>
      <c r="J1712" s="2">
        <f>ABS(Data[[#This Row],[Betrag]])</f>
        <v>30</v>
      </c>
      <c r="K1712" s="66" t="str">
        <f>IF(Data[[#This Row],[Betrag]]&lt;0,"A","E")</f>
        <v>A</v>
      </c>
    </row>
    <row r="1713" spans="1:11" x14ac:dyDescent="0.25">
      <c r="A1713" s="1">
        <v>43716</v>
      </c>
      <c r="B1713" s="66" t="s">
        <v>45</v>
      </c>
      <c r="C1713" s="66" t="s">
        <v>46</v>
      </c>
      <c r="D1713" t="s">
        <v>47</v>
      </c>
      <c r="E1713">
        <v>1000</v>
      </c>
      <c r="F1713" s="66" t="s">
        <v>7</v>
      </c>
      <c r="G1713" s="66" t="s">
        <v>9</v>
      </c>
      <c r="H1713" s="66" t="str">
        <f>TEXT(Data[[#This Row],[Buchung]],"MMM")</f>
        <v>Sep</v>
      </c>
      <c r="I1713" s="67">
        <f>YEAR(Data[[#This Row],[Buchung]])</f>
        <v>2019</v>
      </c>
      <c r="J1713" s="2">
        <f>ABS(Data[[#This Row],[Betrag]])</f>
        <v>1000</v>
      </c>
      <c r="K1713" s="66" t="str">
        <f>IF(Data[[#This Row],[Betrag]]&lt;0,"A","E")</f>
        <v>E</v>
      </c>
    </row>
    <row r="1714" spans="1:11" x14ac:dyDescent="0.25">
      <c r="A1714" s="1">
        <v>43717</v>
      </c>
      <c r="B1714" s="66" t="s">
        <v>48</v>
      </c>
      <c r="C1714" s="66" t="s">
        <v>49</v>
      </c>
      <c r="D1714" t="s">
        <v>50</v>
      </c>
      <c r="E1714">
        <v>-15</v>
      </c>
      <c r="F1714" s="66" t="s">
        <v>7</v>
      </c>
      <c r="G1714" s="66" t="s">
        <v>8</v>
      </c>
      <c r="H1714" s="66" t="str">
        <f>TEXT(Data[[#This Row],[Buchung]],"MMM")</f>
        <v>Sep</v>
      </c>
      <c r="I1714" s="67">
        <f>YEAR(Data[[#This Row],[Buchung]])</f>
        <v>2019</v>
      </c>
      <c r="J1714" s="2">
        <f>ABS(Data[[#This Row],[Betrag]])</f>
        <v>15</v>
      </c>
      <c r="K1714" s="66" t="str">
        <f>IF(Data[[#This Row],[Betrag]]&lt;0,"A","E")</f>
        <v>A</v>
      </c>
    </row>
    <row r="1715" spans="1:11" x14ac:dyDescent="0.25">
      <c r="A1715" s="1">
        <v>43718</v>
      </c>
      <c r="B1715" s="66" t="s">
        <v>51</v>
      </c>
      <c r="C1715" s="66" t="s">
        <v>52</v>
      </c>
      <c r="D1715" t="s">
        <v>53</v>
      </c>
      <c r="E1715">
        <v>-350</v>
      </c>
      <c r="F1715" s="66" t="s">
        <v>7</v>
      </c>
      <c r="G1715" s="66" t="s">
        <v>11</v>
      </c>
      <c r="H1715" s="66" t="str">
        <f>TEXT(Data[[#This Row],[Buchung]],"MMM")</f>
        <v>Sep</v>
      </c>
      <c r="I1715" s="67">
        <f>YEAR(Data[[#This Row],[Buchung]])</f>
        <v>2019</v>
      </c>
      <c r="J1715" s="2">
        <f>ABS(Data[[#This Row],[Betrag]])</f>
        <v>350</v>
      </c>
      <c r="K1715" s="66" t="str">
        <f>IF(Data[[#This Row],[Betrag]]&lt;0,"A","E")</f>
        <v>A</v>
      </c>
    </row>
    <row r="1716" spans="1:11" x14ac:dyDescent="0.25">
      <c r="A1716" s="1">
        <v>43719</v>
      </c>
      <c r="B1716" s="66" t="s">
        <v>54</v>
      </c>
      <c r="C1716" s="66" t="s">
        <v>55</v>
      </c>
      <c r="D1716" t="s">
        <v>56</v>
      </c>
      <c r="E1716">
        <v>-120</v>
      </c>
      <c r="F1716" s="66" t="s">
        <v>7</v>
      </c>
      <c r="G1716" s="66" t="s">
        <v>57</v>
      </c>
      <c r="H1716" s="66" t="str">
        <f>TEXT(Data[[#This Row],[Buchung]],"MMM")</f>
        <v>Sep</v>
      </c>
      <c r="I1716" s="67">
        <f>YEAR(Data[[#This Row],[Buchung]])</f>
        <v>2019</v>
      </c>
      <c r="J1716" s="2">
        <f>ABS(Data[[#This Row],[Betrag]])</f>
        <v>120</v>
      </c>
      <c r="K1716" s="66" t="str">
        <f>IF(Data[[#This Row],[Betrag]]&lt;0,"A","E")</f>
        <v>A</v>
      </c>
    </row>
    <row r="1717" spans="1:11" x14ac:dyDescent="0.25">
      <c r="A1717" s="1">
        <v>43720</v>
      </c>
      <c r="B1717" s="66" t="s">
        <v>58</v>
      </c>
      <c r="C1717" s="66" t="s">
        <v>59</v>
      </c>
      <c r="D1717" t="s">
        <v>60</v>
      </c>
      <c r="E1717">
        <v>-80</v>
      </c>
      <c r="F1717" s="66" t="s">
        <v>7</v>
      </c>
      <c r="G1717" s="66" t="s">
        <v>10</v>
      </c>
      <c r="H1717" s="66" t="str">
        <f>TEXT(Data[[#This Row],[Buchung]],"MMM")</f>
        <v>Sep</v>
      </c>
      <c r="I1717" s="67">
        <f>YEAR(Data[[#This Row],[Buchung]])</f>
        <v>2019</v>
      </c>
      <c r="J1717" s="2">
        <f>ABS(Data[[#This Row],[Betrag]])</f>
        <v>80</v>
      </c>
      <c r="K1717" s="66" t="str">
        <f>IF(Data[[#This Row],[Betrag]]&lt;0,"A","E")</f>
        <v>A</v>
      </c>
    </row>
    <row r="1718" spans="1:11" x14ac:dyDescent="0.25">
      <c r="A1718" s="1">
        <v>43721</v>
      </c>
      <c r="B1718" s="66" t="s">
        <v>45</v>
      </c>
      <c r="C1718" s="66" t="s">
        <v>46</v>
      </c>
      <c r="D1718" t="s">
        <v>47</v>
      </c>
      <c r="E1718">
        <v>1000</v>
      </c>
      <c r="F1718" s="66" t="s">
        <v>7</v>
      </c>
      <c r="G1718" s="66" t="s">
        <v>9</v>
      </c>
      <c r="H1718" s="66" t="str">
        <f>TEXT(Data[[#This Row],[Buchung]],"MMM")</f>
        <v>Sep</v>
      </c>
      <c r="I1718" s="67">
        <f>YEAR(Data[[#This Row],[Buchung]])</f>
        <v>2019</v>
      </c>
      <c r="J1718" s="2">
        <f>ABS(Data[[#This Row],[Betrag]])</f>
        <v>1000</v>
      </c>
      <c r="K1718" s="66" t="str">
        <f>IF(Data[[#This Row],[Betrag]]&lt;0,"A","E")</f>
        <v>E</v>
      </c>
    </row>
    <row r="1719" spans="1:11" x14ac:dyDescent="0.25">
      <c r="A1719" s="1">
        <v>43722</v>
      </c>
      <c r="B1719" s="66" t="s">
        <v>61</v>
      </c>
      <c r="C1719" s="66" t="s">
        <v>49</v>
      </c>
      <c r="D1719" t="s">
        <v>62</v>
      </c>
      <c r="E1719">
        <v>-10</v>
      </c>
      <c r="F1719" s="66" t="s">
        <v>7</v>
      </c>
      <c r="G1719" s="66" t="s">
        <v>8</v>
      </c>
      <c r="H1719" s="66" t="str">
        <f>TEXT(Data[[#This Row],[Buchung]],"MMM")</f>
        <v>Sep</v>
      </c>
      <c r="I1719" s="67">
        <f>YEAR(Data[[#This Row],[Buchung]])</f>
        <v>2019</v>
      </c>
      <c r="J1719" s="2">
        <f>ABS(Data[[#This Row],[Betrag]])</f>
        <v>10</v>
      </c>
      <c r="K1719" s="66" t="str">
        <f>IF(Data[[#This Row],[Betrag]]&lt;0,"A","E")</f>
        <v>A</v>
      </c>
    </row>
    <row r="1720" spans="1:11" x14ac:dyDescent="0.25">
      <c r="A1720" s="1">
        <v>43723</v>
      </c>
      <c r="B1720" s="66" t="s">
        <v>63</v>
      </c>
      <c r="C1720" s="66" t="s">
        <v>64</v>
      </c>
      <c r="D1720" t="s">
        <v>65</v>
      </c>
      <c r="E1720">
        <v>-65</v>
      </c>
      <c r="F1720" s="66" t="s">
        <v>7</v>
      </c>
      <c r="G1720" s="66" t="s">
        <v>11</v>
      </c>
      <c r="H1720" s="66" t="str">
        <f>TEXT(Data[[#This Row],[Buchung]],"MMM")</f>
        <v>Sep</v>
      </c>
      <c r="I1720" s="67">
        <f>YEAR(Data[[#This Row],[Buchung]])</f>
        <v>2019</v>
      </c>
      <c r="J1720" s="2">
        <f>ABS(Data[[#This Row],[Betrag]])</f>
        <v>65</v>
      </c>
      <c r="K1720" s="66" t="str">
        <f>IF(Data[[#This Row],[Betrag]]&lt;0,"A","E")</f>
        <v>A</v>
      </c>
    </row>
    <row r="1721" spans="1:11" x14ac:dyDescent="0.25">
      <c r="A1721" s="1">
        <v>43724</v>
      </c>
      <c r="B1721" s="66" t="s">
        <v>54</v>
      </c>
      <c r="C1721" s="66" t="s">
        <v>55</v>
      </c>
      <c r="D1721" t="s">
        <v>66</v>
      </c>
      <c r="E1721">
        <v>-80</v>
      </c>
      <c r="F1721" s="66" t="s">
        <v>7</v>
      </c>
      <c r="G1721" s="66" t="s">
        <v>57</v>
      </c>
      <c r="H1721" s="66" t="str">
        <f>TEXT(Data[[#This Row],[Buchung]],"MMM")</f>
        <v>Sep</v>
      </c>
      <c r="I1721" s="67">
        <f>YEAR(Data[[#This Row],[Buchung]])</f>
        <v>2019</v>
      </c>
      <c r="J1721" s="2">
        <f>ABS(Data[[#This Row],[Betrag]])</f>
        <v>80</v>
      </c>
      <c r="K1721" s="66" t="str">
        <f>IF(Data[[#This Row],[Betrag]]&lt;0,"A","E")</f>
        <v>A</v>
      </c>
    </row>
    <row r="1722" spans="1:11" x14ac:dyDescent="0.25">
      <c r="A1722" s="1">
        <v>43725</v>
      </c>
      <c r="B1722" s="66" t="s">
        <v>67</v>
      </c>
      <c r="C1722" s="66" t="s">
        <v>59</v>
      </c>
      <c r="D1722" t="s">
        <v>68</v>
      </c>
      <c r="E1722">
        <v>-35</v>
      </c>
      <c r="F1722" s="66" t="s">
        <v>7</v>
      </c>
      <c r="G1722" s="66" t="s">
        <v>10</v>
      </c>
      <c r="H1722" s="66" t="str">
        <f>TEXT(Data[[#This Row],[Buchung]],"MMM")</f>
        <v>Sep</v>
      </c>
      <c r="I1722" s="67">
        <f>YEAR(Data[[#This Row],[Buchung]])</f>
        <v>2019</v>
      </c>
      <c r="J1722" s="2">
        <f>ABS(Data[[#This Row],[Betrag]])</f>
        <v>35</v>
      </c>
      <c r="K1722" s="66" t="str">
        <f>IF(Data[[#This Row],[Betrag]]&lt;0,"A","E")</f>
        <v>A</v>
      </c>
    </row>
    <row r="1723" spans="1:11" x14ac:dyDescent="0.25">
      <c r="A1723" s="1">
        <v>43726</v>
      </c>
      <c r="B1723" s="66" t="s">
        <v>45</v>
      </c>
      <c r="C1723" s="66" t="s">
        <v>46</v>
      </c>
      <c r="D1723" t="s">
        <v>47</v>
      </c>
      <c r="E1723">
        <v>1000</v>
      </c>
      <c r="F1723" s="66" t="s">
        <v>7</v>
      </c>
      <c r="G1723" s="66" t="s">
        <v>9</v>
      </c>
      <c r="H1723" s="66" t="str">
        <f>TEXT(Data[[#This Row],[Buchung]],"MMM")</f>
        <v>Sep</v>
      </c>
      <c r="I1723" s="67">
        <f>YEAR(Data[[#This Row],[Buchung]])</f>
        <v>2019</v>
      </c>
      <c r="J1723" s="2">
        <f>ABS(Data[[#This Row],[Betrag]])</f>
        <v>1000</v>
      </c>
      <c r="K1723" s="66" t="str">
        <f>IF(Data[[#This Row],[Betrag]]&lt;0,"A","E")</f>
        <v>E</v>
      </c>
    </row>
    <row r="1724" spans="1:11" x14ac:dyDescent="0.25">
      <c r="A1724" s="1">
        <v>43727</v>
      </c>
      <c r="B1724" s="66" t="s">
        <v>45</v>
      </c>
      <c r="C1724" s="66" t="s">
        <v>46</v>
      </c>
      <c r="D1724" t="s">
        <v>47</v>
      </c>
      <c r="E1724">
        <v>1000</v>
      </c>
      <c r="F1724" s="66" t="s">
        <v>7</v>
      </c>
      <c r="G1724" s="66" t="s">
        <v>9</v>
      </c>
      <c r="H1724" s="66" t="str">
        <f>TEXT(Data[[#This Row],[Buchung]],"MMM")</f>
        <v>Sep</v>
      </c>
      <c r="I1724" s="67">
        <f>YEAR(Data[[#This Row],[Buchung]])</f>
        <v>2019</v>
      </c>
      <c r="J1724" s="2">
        <f>ABS(Data[[#This Row],[Betrag]])</f>
        <v>1000</v>
      </c>
      <c r="K1724" s="66" t="str">
        <f>IF(Data[[#This Row],[Betrag]]&lt;0,"A","E")</f>
        <v>E</v>
      </c>
    </row>
    <row r="1725" spans="1:11" x14ac:dyDescent="0.25">
      <c r="A1725" s="1">
        <v>43728</v>
      </c>
      <c r="B1725" s="66" t="s">
        <v>48</v>
      </c>
      <c r="C1725" s="66" t="s">
        <v>49</v>
      </c>
      <c r="D1725" t="s">
        <v>50</v>
      </c>
      <c r="E1725">
        <v>-15</v>
      </c>
      <c r="F1725" s="66" t="s">
        <v>7</v>
      </c>
      <c r="G1725" s="66" t="s">
        <v>8</v>
      </c>
      <c r="H1725" s="66" t="str">
        <f>TEXT(Data[[#This Row],[Buchung]],"MMM")</f>
        <v>Sep</v>
      </c>
      <c r="I1725" s="67">
        <f>YEAR(Data[[#This Row],[Buchung]])</f>
        <v>2019</v>
      </c>
      <c r="J1725" s="2">
        <f>ABS(Data[[#This Row],[Betrag]])</f>
        <v>15</v>
      </c>
      <c r="K1725" s="66" t="str">
        <f>IF(Data[[#This Row],[Betrag]]&lt;0,"A","E")</f>
        <v>A</v>
      </c>
    </row>
    <row r="1726" spans="1:11" x14ac:dyDescent="0.25">
      <c r="A1726" s="1">
        <v>43729</v>
      </c>
      <c r="B1726" s="66" t="s">
        <v>51</v>
      </c>
      <c r="C1726" s="66" t="s">
        <v>52</v>
      </c>
      <c r="D1726" t="s">
        <v>53</v>
      </c>
      <c r="E1726">
        <v>-350</v>
      </c>
      <c r="F1726" s="66" t="s">
        <v>7</v>
      </c>
      <c r="G1726" s="66" t="s">
        <v>11</v>
      </c>
      <c r="H1726" s="66" t="str">
        <f>TEXT(Data[[#This Row],[Buchung]],"MMM")</f>
        <v>Sep</v>
      </c>
      <c r="I1726" s="67">
        <f>YEAR(Data[[#This Row],[Buchung]])</f>
        <v>2019</v>
      </c>
      <c r="J1726" s="2">
        <f>ABS(Data[[#This Row],[Betrag]])</f>
        <v>350</v>
      </c>
      <c r="K1726" s="66" t="str">
        <f>IF(Data[[#This Row],[Betrag]]&lt;0,"A","E")</f>
        <v>A</v>
      </c>
    </row>
    <row r="1727" spans="1:11" x14ac:dyDescent="0.25">
      <c r="A1727" s="1">
        <v>43730</v>
      </c>
      <c r="B1727" s="66" t="s">
        <v>54</v>
      </c>
      <c r="C1727" s="66" t="s">
        <v>55</v>
      </c>
      <c r="D1727" t="s">
        <v>56</v>
      </c>
      <c r="E1727">
        <v>-120</v>
      </c>
      <c r="F1727" s="66" t="s">
        <v>7</v>
      </c>
      <c r="G1727" s="66" t="s">
        <v>57</v>
      </c>
      <c r="H1727" s="66" t="str">
        <f>TEXT(Data[[#This Row],[Buchung]],"MMM")</f>
        <v>Sep</v>
      </c>
      <c r="I1727" s="67">
        <f>YEAR(Data[[#This Row],[Buchung]])</f>
        <v>2019</v>
      </c>
      <c r="J1727" s="2">
        <f>ABS(Data[[#This Row],[Betrag]])</f>
        <v>120</v>
      </c>
      <c r="K1727" s="66" t="str">
        <f>IF(Data[[#This Row],[Betrag]]&lt;0,"A","E")</f>
        <v>A</v>
      </c>
    </row>
    <row r="1728" spans="1:11" x14ac:dyDescent="0.25">
      <c r="A1728" s="1">
        <v>43731</v>
      </c>
      <c r="B1728" s="66" t="s">
        <v>58</v>
      </c>
      <c r="C1728" s="66" t="s">
        <v>59</v>
      </c>
      <c r="D1728" t="s">
        <v>60</v>
      </c>
      <c r="E1728">
        <v>-50</v>
      </c>
      <c r="F1728" s="66" t="s">
        <v>7</v>
      </c>
      <c r="G1728" s="66" t="s">
        <v>10</v>
      </c>
      <c r="H1728" s="66" t="str">
        <f>TEXT(Data[[#This Row],[Buchung]],"MMM")</f>
        <v>Sep</v>
      </c>
      <c r="I1728" s="67">
        <f>YEAR(Data[[#This Row],[Buchung]])</f>
        <v>2019</v>
      </c>
      <c r="J1728" s="2">
        <f>ABS(Data[[#This Row],[Betrag]])</f>
        <v>50</v>
      </c>
      <c r="K1728" s="66" t="str">
        <f>IF(Data[[#This Row],[Betrag]]&lt;0,"A","E")</f>
        <v>A</v>
      </c>
    </row>
    <row r="1729" spans="1:11" x14ac:dyDescent="0.25">
      <c r="A1729" s="1">
        <v>43732</v>
      </c>
      <c r="B1729" s="66" t="s">
        <v>45</v>
      </c>
      <c r="C1729" s="66" t="s">
        <v>46</v>
      </c>
      <c r="D1729" t="s">
        <v>47</v>
      </c>
      <c r="E1729">
        <v>1000</v>
      </c>
      <c r="F1729" s="66" t="s">
        <v>7</v>
      </c>
      <c r="G1729" s="66" t="s">
        <v>9</v>
      </c>
      <c r="H1729" s="66" t="str">
        <f>TEXT(Data[[#This Row],[Buchung]],"MMM")</f>
        <v>Sep</v>
      </c>
      <c r="I1729" s="67">
        <f>YEAR(Data[[#This Row],[Buchung]])</f>
        <v>2019</v>
      </c>
      <c r="J1729" s="2">
        <f>ABS(Data[[#This Row],[Betrag]])</f>
        <v>1000</v>
      </c>
      <c r="K1729" s="66" t="str">
        <f>IF(Data[[#This Row],[Betrag]]&lt;0,"A","E")</f>
        <v>E</v>
      </c>
    </row>
    <row r="1730" spans="1:11" x14ac:dyDescent="0.25">
      <c r="A1730" s="1">
        <v>43733</v>
      </c>
      <c r="B1730" s="66" t="s">
        <v>61</v>
      </c>
      <c r="C1730" s="66" t="s">
        <v>49</v>
      </c>
      <c r="D1730" t="s">
        <v>62</v>
      </c>
      <c r="E1730">
        <v>-10</v>
      </c>
      <c r="F1730" s="66" t="s">
        <v>7</v>
      </c>
      <c r="G1730" s="66" t="s">
        <v>8</v>
      </c>
      <c r="H1730" s="66" t="str">
        <f>TEXT(Data[[#This Row],[Buchung]],"MMM")</f>
        <v>Sep</v>
      </c>
      <c r="I1730" s="67">
        <f>YEAR(Data[[#This Row],[Buchung]])</f>
        <v>2019</v>
      </c>
      <c r="J1730" s="2">
        <f>ABS(Data[[#This Row],[Betrag]])</f>
        <v>10</v>
      </c>
      <c r="K1730" s="66" t="str">
        <f>IF(Data[[#This Row],[Betrag]]&lt;0,"A","E")</f>
        <v>A</v>
      </c>
    </row>
    <row r="1731" spans="1:11" x14ac:dyDescent="0.25">
      <c r="A1731" s="1">
        <v>43734</v>
      </c>
      <c r="B1731" s="66" t="s">
        <v>63</v>
      </c>
      <c r="C1731" s="66" t="s">
        <v>64</v>
      </c>
      <c r="D1731" t="s">
        <v>65</v>
      </c>
      <c r="E1731">
        <v>-60</v>
      </c>
      <c r="F1731" s="66" t="s">
        <v>7</v>
      </c>
      <c r="G1731" s="66" t="s">
        <v>11</v>
      </c>
      <c r="H1731" s="66" t="str">
        <f>TEXT(Data[[#This Row],[Buchung]],"MMM")</f>
        <v>Sep</v>
      </c>
      <c r="I1731" s="67">
        <f>YEAR(Data[[#This Row],[Buchung]])</f>
        <v>2019</v>
      </c>
      <c r="J1731" s="2">
        <f>ABS(Data[[#This Row],[Betrag]])</f>
        <v>60</v>
      </c>
      <c r="K1731" s="66" t="str">
        <f>IF(Data[[#This Row],[Betrag]]&lt;0,"A","E")</f>
        <v>A</v>
      </c>
    </row>
    <row r="1732" spans="1:11" x14ac:dyDescent="0.25">
      <c r="A1732" s="1">
        <v>43735</v>
      </c>
      <c r="B1732" s="66" t="s">
        <v>54</v>
      </c>
      <c r="C1732" s="66" t="s">
        <v>55</v>
      </c>
      <c r="D1732" t="s">
        <v>66</v>
      </c>
      <c r="E1732">
        <v>-80</v>
      </c>
      <c r="F1732" s="66" t="s">
        <v>7</v>
      </c>
      <c r="G1732" s="66" t="s">
        <v>57</v>
      </c>
      <c r="H1732" s="66" t="str">
        <f>TEXT(Data[[#This Row],[Buchung]],"MMM")</f>
        <v>Sep</v>
      </c>
      <c r="I1732" s="67">
        <f>YEAR(Data[[#This Row],[Buchung]])</f>
        <v>2019</v>
      </c>
      <c r="J1732" s="2">
        <f>ABS(Data[[#This Row],[Betrag]])</f>
        <v>80</v>
      </c>
      <c r="K1732" s="66" t="str">
        <f>IF(Data[[#This Row],[Betrag]]&lt;0,"A","E")</f>
        <v>A</v>
      </c>
    </row>
    <row r="1733" spans="1:11" x14ac:dyDescent="0.25">
      <c r="A1733" s="1">
        <v>43736</v>
      </c>
      <c r="B1733" s="66" t="s">
        <v>67</v>
      </c>
      <c r="C1733" s="66" t="s">
        <v>59</v>
      </c>
      <c r="D1733" t="s">
        <v>68</v>
      </c>
      <c r="E1733">
        <v>-20</v>
      </c>
      <c r="F1733" s="66" t="s">
        <v>7</v>
      </c>
      <c r="G1733" s="66" t="s">
        <v>10</v>
      </c>
      <c r="H1733" s="66" t="str">
        <f>TEXT(Data[[#This Row],[Buchung]],"MMM")</f>
        <v>Sep</v>
      </c>
      <c r="I1733" s="67">
        <f>YEAR(Data[[#This Row],[Buchung]])</f>
        <v>2019</v>
      </c>
      <c r="J1733" s="2">
        <f>ABS(Data[[#This Row],[Betrag]])</f>
        <v>20</v>
      </c>
      <c r="K1733" s="66" t="str">
        <f>IF(Data[[#This Row],[Betrag]]&lt;0,"A","E")</f>
        <v>A</v>
      </c>
    </row>
    <row r="1734" spans="1:11" x14ac:dyDescent="0.25">
      <c r="A1734" s="1">
        <v>43737</v>
      </c>
      <c r="B1734" s="66" t="s">
        <v>45</v>
      </c>
      <c r="C1734" s="66" t="s">
        <v>46</v>
      </c>
      <c r="D1734" t="s">
        <v>47</v>
      </c>
      <c r="E1734">
        <v>1000</v>
      </c>
      <c r="F1734" s="66" t="s">
        <v>7</v>
      </c>
      <c r="G1734" s="66" t="s">
        <v>9</v>
      </c>
      <c r="H1734" s="66" t="str">
        <f>TEXT(Data[[#This Row],[Buchung]],"MMM")</f>
        <v>Sep</v>
      </c>
      <c r="I1734" s="67">
        <f>YEAR(Data[[#This Row],[Buchung]])</f>
        <v>2019</v>
      </c>
      <c r="J1734" s="2">
        <f>ABS(Data[[#This Row],[Betrag]])</f>
        <v>1000</v>
      </c>
      <c r="K1734" s="66" t="str">
        <f>IF(Data[[#This Row],[Betrag]]&lt;0,"A","E")</f>
        <v>E</v>
      </c>
    </row>
    <row r="1735" spans="1:11" x14ac:dyDescent="0.25">
      <c r="A1735" s="1">
        <v>43738</v>
      </c>
      <c r="B1735" s="66" t="s">
        <v>48</v>
      </c>
      <c r="C1735" s="66" t="s">
        <v>49</v>
      </c>
      <c r="D1735" t="s">
        <v>50</v>
      </c>
      <c r="E1735">
        <v>-15</v>
      </c>
      <c r="F1735" s="66" t="s">
        <v>7</v>
      </c>
      <c r="G1735" s="66" t="s">
        <v>8</v>
      </c>
      <c r="H1735" s="66" t="str">
        <f>TEXT(Data[[#This Row],[Buchung]],"MMM")</f>
        <v>Sep</v>
      </c>
      <c r="I1735" s="67">
        <f>YEAR(Data[[#This Row],[Buchung]])</f>
        <v>2019</v>
      </c>
      <c r="J1735" s="2">
        <f>ABS(Data[[#This Row],[Betrag]])</f>
        <v>15</v>
      </c>
      <c r="K1735" s="66" t="str">
        <f>IF(Data[[#This Row],[Betrag]]&lt;0,"A","E")</f>
        <v>A</v>
      </c>
    </row>
    <row r="1736" spans="1:11" x14ac:dyDescent="0.25">
      <c r="A1736" s="1">
        <v>43739</v>
      </c>
      <c r="B1736" s="66" t="s">
        <v>51</v>
      </c>
      <c r="C1736" s="66" t="s">
        <v>52</v>
      </c>
      <c r="D1736" t="s">
        <v>53</v>
      </c>
      <c r="E1736">
        <v>-350</v>
      </c>
      <c r="F1736" s="66" t="s">
        <v>7</v>
      </c>
      <c r="G1736" s="66" t="s">
        <v>11</v>
      </c>
      <c r="H1736" s="66" t="str">
        <f>TEXT(Data[[#This Row],[Buchung]],"MMM")</f>
        <v>Okt</v>
      </c>
      <c r="I1736" s="67">
        <f>YEAR(Data[[#This Row],[Buchung]])</f>
        <v>2019</v>
      </c>
      <c r="J1736" s="2">
        <f>ABS(Data[[#This Row],[Betrag]])</f>
        <v>350</v>
      </c>
      <c r="K1736" s="66" t="str">
        <f>IF(Data[[#This Row],[Betrag]]&lt;0,"A","E")</f>
        <v>A</v>
      </c>
    </row>
    <row r="1737" spans="1:11" x14ac:dyDescent="0.25">
      <c r="A1737" s="1">
        <v>43740</v>
      </c>
      <c r="B1737" s="66" t="s">
        <v>54</v>
      </c>
      <c r="C1737" s="66" t="s">
        <v>55</v>
      </c>
      <c r="D1737" t="s">
        <v>56</v>
      </c>
      <c r="E1737">
        <v>-120</v>
      </c>
      <c r="F1737" s="66" t="s">
        <v>7</v>
      </c>
      <c r="G1737" s="66" t="s">
        <v>57</v>
      </c>
      <c r="H1737" s="66" t="str">
        <f>TEXT(Data[[#This Row],[Buchung]],"MMM")</f>
        <v>Okt</v>
      </c>
      <c r="I1737" s="67">
        <f>YEAR(Data[[#This Row],[Buchung]])</f>
        <v>2019</v>
      </c>
      <c r="J1737" s="2">
        <f>ABS(Data[[#This Row],[Betrag]])</f>
        <v>120</v>
      </c>
      <c r="K1737" s="66" t="str">
        <f>IF(Data[[#This Row],[Betrag]]&lt;0,"A","E")</f>
        <v>A</v>
      </c>
    </row>
    <row r="1738" spans="1:11" x14ac:dyDescent="0.25">
      <c r="A1738" s="1">
        <v>43741</v>
      </c>
      <c r="B1738" s="66" t="s">
        <v>58</v>
      </c>
      <c r="C1738" s="66" t="s">
        <v>59</v>
      </c>
      <c r="D1738" t="s">
        <v>60</v>
      </c>
      <c r="E1738">
        <v>-60</v>
      </c>
      <c r="F1738" s="66" t="s">
        <v>7</v>
      </c>
      <c r="G1738" s="66" t="s">
        <v>10</v>
      </c>
      <c r="H1738" s="66" t="str">
        <f>TEXT(Data[[#This Row],[Buchung]],"MMM")</f>
        <v>Okt</v>
      </c>
      <c r="I1738" s="67">
        <f>YEAR(Data[[#This Row],[Buchung]])</f>
        <v>2019</v>
      </c>
      <c r="J1738" s="2">
        <f>ABS(Data[[#This Row],[Betrag]])</f>
        <v>60</v>
      </c>
      <c r="K1738" s="66" t="str">
        <f>IF(Data[[#This Row],[Betrag]]&lt;0,"A","E")</f>
        <v>A</v>
      </c>
    </row>
    <row r="1739" spans="1:11" x14ac:dyDescent="0.25">
      <c r="A1739" s="1">
        <v>43742</v>
      </c>
      <c r="B1739" s="66" t="s">
        <v>45</v>
      </c>
      <c r="C1739" s="66" t="s">
        <v>46</v>
      </c>
      <c r="D1739" t="s">
        <v>47</v>
      </c>
      <c r="E1739">
        <v>1000</v>
      </c>
      <c r="F1739" s="66" t="s">
        <v>7</v>
      </c>
      <c r="G1739" s="66" t="s">
        <v>9</v>
      </c>
      <c r="H1739" s="66" t="str">
        <f>TEXT(Data[[#This Row],[Buchung]],"MMM")</f>
        <v>Okt</v>
      </c>
      <c r="I1739" s="67">
        <f>YEAR(Data[[#This Row],[Buchung]])</f>
        <v>2019</v>
      </c>
      <c r="J1739" s="2">
        <f>ABS(Data[[#This Row],[Betrag]])</f>
        <v>1000</v>
      </c>
      <c r="K1739" s="66" t="str">
        <f>IF(Data[[#This Row],[Betrag]]&lt;0,"A","E")</f>
        <v>E</v>
      </c>
    </row>
    <row r="1740" spans="1:11" x14ac:dyDescent="0.25">
      <c r="A1740" s="1">
        <v>43743</v>
      </c>
      <c r="B1740" s="66" t="s">
        <v>61</v>
      </c>
      <c r="C1740" s="66" t="s">
        <v>49</v>
      </c>
      <c r="D1740" t="s">
        <v>62</v>
      </c>
      <c r="E1740">
        <v>-10</v>
      </c>
      <c r="F1740" s="66" t="s">
        <v>7</v>
      </c>
      <c r="G1740" s="66" t="s">
        <v>8</v>
      </c>
      <c r="H1740" s="66" t="str">
        <f>TEXT(Data[[#This Row],[Buchung]],"MMM")</f>
        <v>Okt</v>
      </c>
      <c r="I1740" s="67">
        <f>YEAR(Data[[#This Row],[Buchung]])</f>
        <v>2019</v>
      </c>
      <c r="J1740" s="2">
        <f>ABS(Data[[#This Row],[Betrag]])</f>
        <v>10</v>
      </c>
      <c r="K1740" s="66" t="str">
        <f>IF(Data[[#This Row],[Betrag]]&lt;0,"A","E")</f>
        <v>A</v>
      </c>
    </row>
    <row r="1741" spans="1:11" x14ac:dyDescent="0.25">
      <c r="A1741" s="1">
        <v>43744</v>
      </c>
      <c r="B1741" s="66" t="s">
        <v>63</v>
      </c>
      <c r="C1741" s="66" t="s">
        <v>64</v>
      </c>
      <c r="D1741" t="s">
        <v>65</v>
      </c>
      <c r="E1741">
        <v>-70</v>
      </c>
      <c r="F1741" s="66" t="s">
        <v>7</v>
      </c>
      <c r="G1741" s="66" t="s">
        <v>11</v>
      </c>
      <c r="H1741" s="66" t="str">
        <f>TEXT(Data[[#This Row],[Buchung]],"MMM")</f>
        <v>Okt</v>
      </c>
      <c r="I1741" s="67">
        <f>YEAR(Data[[#This Row],[Buchung]])</f>
        <v>2019</v>
      </c>
      <c r="J1741" s="2">
        <f>ABS(Data[[#This Row],[Betrag]])</f>
        <v>70</v>
      </c>
      <c r="K1741" s="66" t="str">
        <f>IF(Data[[#This Row],[Betrag]]&lt;0,"A","E")</f>
        <v>A</v>
      </c>
    </row>
    <row r="1742" spans="1:11" x14ac:dyDescent="0.25">
      <c r="A1742" s="1">
        <v>43745</v>
      </c>
      <c r="B1742" s="66" t="s">
        <v>54</v>
      </c>
      <c r="C1742" s="66" t="s">
        <v>55</v>
      </c>
      <c r="D1742" t="s">
        <v>66</v>
      </c>
      <c r="E1742">
        <v>-80</v>
      </c>
      <c r="F1742" s="66" t="s">
        <v>7</v>
      </c>
      <c r="G1742" s="66" t="s">
        <v>57</v>
      </c>
      <c r="H1742" s="66" t="str">
        <f>TEXT(Data[[#This Row],[Buchung]],"MMM")</f>
        <v>Okt</v>
      </c>
      <c r="I1742" s="67">
        <f>YEAR(Data[[#This Row],[Buchung]])</f>
        <v>2019</v>
      </c>
      <c r="J1742" s="2">
        <f>ABS(Data[[#This Row],[Betrag]])</f>
        <v>80</v>
      </c>
      <c r="K1742" s="66" t="str">
        <f>IF(Data[[#This Row],[Betrag]]&lt;0,"A","E")</f>
        <v>A</v>
      </c>
    </row>
    <row r="1743" spans="1:11" x14ac:dyDescent="0.25">
      <c r="A1743" s="1">
        <v>43746</v>
      </c>
      <c r="B1743" s="66" t="s">
        <v>67</v>
      </c>
      <c r="C1743" s="66" t="s">
        <v>59</v>
      </c>
      <c r="D1743" t="s">
        <v>68</v>
      </c>
      <c r="E1743">
        <v>-25</v>
      </c>
      <c r="F1743" s="66" t="s">
        <v>7</v>
      </c>
      <c r="G1743" s="66" t="s">
        <v>10</v>
      </c>
      <c r="H1743" s="66" t="str">
        <f>TEXT(Data[[#This Row],[Buchung]],"MMM")</f>
        <v>Okt</v>
      </c>
      <c r="I1743" s="67">
        <f>YEAR(Data[[#This Row],[Buchung]])</f>
        <v>2019</v>
      </c>
      <c r="J1743" s="2">
        <f>ABS(Data[[#This Row],[Betrag]])</f>
        <v>25</v>
      </c>
      <c r="K1743" s="66" t="str">
        <f>IF(Data[[#This Row],[Betrag]]&lt;0,"A","E")</f>
        <v>A</v>
      </c>
    </row>
    <row r="1744" spans="1:11" x14ac:dyDescent="0.25">
      <c r="A1744" s="1">
        <v>43747</v>
      </c>
      <c r="B1744" s="66" t="s">
        <v>45</v>
      </c>
      <c r="C1744" s="66" t="s">
        <v>46</v>
      </c>
      <c r="D1744" t="s">
        <v>47</v>
      </c>
      <c r="E1744">
        <v>1000</v>
      </c>
      <c r="F1744" s="66" t="s">
        <v>7</v>
      </c>
      <c r="G1744" s="66" t="s">
        <v>9</v>
      </c>
      <c r="H1744" s="66" t="str">
        <f>TEXT(Data[[#This Row],[Buchung]],"MMM")</f>
        <v>Okt</v>
      </c>
      <c r="I1744" s="67">
        <f>YEAR(Data[[#This Row],[Buchung]])</f>
        <v>2019</v>
      </c>
      <c r="J1744" s="2">
        <f>ABS(Data[[#This Row],[Betrag]])</f>
        <v>1000</v>
      </c>
      <c r="K1744" s="66" t="str">
        <f>IF(Data[[#This Row],[Betrag]]&lt;0,"A","E")</f>
        <v>E</v>
      </c>
    </row>
    <row r="1745" spans="1:11" x14ac:dyDescent="0.25">
      <c r="A1745" s="1">
        <v>43748</v>
      </c>
      <c r="B1745" s="66" t="s">
        <v>48</v>
      </c>
      <c r="C1745" s="66" t="s">
        <v>49</v>
      </c>
      <c r="D1745" t="s">
        <v>50</v>
      </c>
      <c r="E1745">
        <v>-15</v>
      </c>
      <c r="F1745" s="66" t="s">
        <v>7</v>
      </c>
      <c r="G1745" s="66" t="s">
        <v>8</v>
      </c>
      <c r="H1745" s="66" t="str">
        <f>TEXT(Data[[#This Row],[Buchung]],"MMM")</f>
        <v>Okt</v>
      </c>
      <c r="I1745" s="67">
        <f>YEAR(Data[[#This Row],[Buchung]])</f>
        <v>2019</v>
      </c>
      <c r="J1745" s="2">
        <f>ABS(Data[[#This Row],[Betrag]])</f>
        <v>15</v>
      </c>
      <c r="K1745" s="66" t="str">
        <f>IF(Data[[#This Row],[Betrag]]&lt;0,"A","E")</f>
        <v>A</v>
      </c>
    </row>
    <row r="1746" spans="1:11" x14ac:dyDescent="0.25">
      <c r="A1746" s="1">
        <v>43749</v>
      </c>
      <c r="B1746" s="66" t="s">
        <v>51</v>
      </c>
      <c r="C1746" s="66" t="s">
        <v>52</v>
      </c>
      <c r="D1746" t="s">
        <v>53</v>
      </c>
      <c r="E1746">
        <v>-350</v>
      </c>
      <c r="F1746" s="66" t="s">
        <v>7</v>
      </c>
      <c r="G1746" s="66" t="s">
        <v>11</v>
      </c>
      <c r="H1746" s="66" t="str">
        <f>TEXT(Data[[#This Row],[Buchung]],"MMM")</f>
        <v>Okt</v>
      </c>
      <c r="I1746" s="67">
        <f>YEAR(Data[[#This Row],[Buchung]])</f>
        <v>2019</v>
      </c>
      <c r="J1746" s="2">
        <f>ABS(Data[[#This Row],[Betrag]])</f>
        <v>350</v>
      </c>
      <c r="K1746" s="66" t="str">
        <f>IF(Data[[#This Row],[Betrag]]&lt;0,"A","E")</f>
        <v>A</v>
      </c>
    </row>
    <row r="1747" spans="1:11" x14ac:dyDescent="0.25">
      <c r="A1747" s="1">
        <v>43750</v>
      </c>
      <c r="B1747" s="66" t="s">
        <v>54</v>
      </c>
      <c r="C1747" s="66" t="s">
        <v>55</v>
      </c>
      <c r="D1747" t="s">
        <v>56</v>
      </c>
      <c r="E1747">
        <v>-120</v>
      </c>
      <c r="F1747" s="66" t="s">
        <v>7</v>
      </c>
      <c r="G1747" s="66" t="s">
        <v>57</v>
      </c>
      <c r="H1747" s="66" t="str">
        <f>TEXT(Data[[#This Row],[Buchung]],"MMM")</f>
        <v>Okt</v>
      </c>
      <c r="I1747" s="67">
        <f>YEAR(Data[[#This Row],[Buchung]])</f>
        <v>2019</v>
      </c>
      <c r="J1747" s="2">
        <f>ABS(Data[[#This Row],[Betrag]])</f>
        <v>120</v>
      </c>
      <c r="K1747" s="66" t="str">
        <f>IF(Data[[#This Row],[Betrag]]&lt;0,"A","E")</f>
        <v>A</v>
      </c>
    </row>
    <row r="1748" spans="1:11" x14ac:dyDescent="0.25">
      <c r="A1748" s="1">
        <v>43751</v>
      </c>
      <c r="B1748" s="66" t="s">
        <v>58</v>
      </c>
      <c r="C1748" s="66" t="s">
        <v>59</v>
      </c>
      <c r="D1748" t="s">
        <v>60</v>
      </c>
      <c r="E1748">
        <v>-70</v>
      </c>
      <c r="F1748" s="66" t="s">
        <v>7</v>
      </c>
      <c r="G1748" s="66" t="s">
        <v>10</v>
      </c>
      <c r="H1748" s="66" t="str">
        <f>TEXT(Data[[#This Row],[Buchung]],"MMM")</f>
        <v>Okt</v>
      </c>
      <c r="I1748" s="67">
        <f>YEAR(Data[[#This Row],[Buchung]])</f>
        <v>2019</v>
      </c>
      <c r="J1748" s="2">
        <f>ABS(Data[[#This Row],[Betrag]])</f>
        <v>70</v>
      </c>
      <c r="K1748" s="66" t="str">
        <f>IF(Data[[#This Row],[Betrag]]&lt;0,"A","E")</f>
        <v>A</v>
      </c>
    </row>
    <row r="1749" spans="1:11" x14ac:dyDescent="0.25">
      <c r="A1749" s="1">
        <v>43752</v>
      </c>
      <c r="B1749" s="66" t="s">
        <v>45</v>
      </c>
      <c r="C1749" s="66" t="s">
        <v>46</v>
      </c>
      <c r="D1749" t="s">
        <v>47</v>
      </c>
      <c r="E1749">
        <v>1000</v>
      </c>
      <c r="F1749" s="66" t="s">
        <v>7</v>
      </c>
      <c r="G1749" s="66" t="s">
        <v>9</v>
      </c>
      <c r="H1749" s="66" t="str">
        <f>TEXT(Data[[#This Row],[Buchung]],"MMM")</f>
        <v>Okt</v>
      </c>
      <c r="I1749" s="67">
        <f>YEAR(Data[[#This Row],[Buchung]])</f>
        <v>2019</v>
      </c>
      <c r="J1749" s="2">
        <f>ABS(Data[[#This Row],[Betrag]])</f>
        <v>1000</v>
      </c>
      <c r="K1749" s="66" t="str">
        <f>IF(Data[[#This Row],[Betrag]]&lt;0,"A","E")</f>
        <v>E</v>
      </c>
    </row>
    <row r="1750" spans="1:11" x14ac:dyDescent="0.25">
      <c r="A1750" s="1">
        <v>43753</v>
      </c>
      <c r="B1750" s="66" t="s">
        <v>61</v>
      </c>
      <c r="C1750" s="66" t="s">
        <v>49</v>
      </c>
      <c r="D1750" t="s">
        <v>62</v>
      </c>
      <c r="E1750">
        <v>-10</v>
      </c>
      <c r="F1750" s="66" t="s">
        <v>7</v>
      </c>
      <c r="G1750" s="66" t="s">
        <v>8</v>
      </c>
      <c r="H1750" s="66" t="str">
        <f>TEXT(Data[[#This Row],[Buchung]],"MMM")</f>
        <v>Okt</v>
      </c>
      <c r="I1750" s="67">
        <f>YEAR(Data[[#This Row],[Buchung]])</f>
        <v>2019</v>
      </c>
      <c r="J1750" s="2">
        <f>ABS(Data[[#This Row],[Betrag]])</f>
        <v>10</v>
      </c>
      <c r="K1750" s="66" t="str">
        <f>IF(Data[[#This Row],[Betrag]]&lt;0,"A","E")</f>
        <v>A</v>
      </c>
    </row>
    <row r="1751" spans="1:11" x14ac:dyDescent="0.25">
      <c r="A1751" s="1">
        <v>43754</v>
      </c>
      <c r="B1751" s="66" t="s">
        <v>63</v>
      </c>
      <c r="C1751" s="66" t="s">
        <v>64</v>
      </c>
      <c r="D1751" t="s">
        <v>65</v>
      </c>
      <c r="E1751">
        <v>-60</v>
      </c>
      <c r="F1751" s="66" t="s">
        <v>7</v>
      </c>
      <c r="G1751" s="66" t="s">
        <v>11</v>
      </c>
      <c r="H1751" s="66" t="str">
        <f>TEXT(Data[[#This Row],[Buchung]],"MMM")</f>
        <v>Okt</v>
      </c>
      <c r="I1751" s="67">
        <f>YEAR(Data[[#This Row],[Buchung]])</f>
        <v>2019</v>
      </c>
      <c r="J1751" s="2">
        <f>ABS(Data[[#This Row],[Betrag]])</f>
        <v>60</v>
      </c>
      <c r="K1751" s="66" t="str">
        <f>IF(Data[[#This Row],[Betrag]]&lt;0,"A","E")</f>
        <v>A</v>
      </c>
    </row>
    <row r="1752" spans="1:11" x14ac:dyDescent="0.25">
      <c r="A1752" s="1">
        <v>43755</v>
      </c>
      <c r="B1752" s="66" t="s">
        <v>54</v>
      </c>
      <c r="C1752" s="66" t="s">
        <v>55</v>
      </c>
      <c r="D1752" t="s">
        <v>66</v>
      </c>
      <c r="E1752">
        <v>-80</v>
      </c>
      <c r="F1752" s="66" t="s">
        <v>7</v>
      </c>
      <c r="G1752" s="66" t="s">
        <v>57</v>
      </c>
      <c r="H1752" s="66" t="str">
        <f>TEXT(Data[[#This Row],[Buchung]],"MMM")</f>
        <v>Okt</v>
      </c>
      <c r="I1752" s="67">
        <f>YEAR(Data[[#This Row],[Buchung]])</f>
        <v>2019</v>
      </c>
      <c r="J1752" s="2">
        <f>ABS(Data[[#This Row],[Betrag]])</f>
        <v>80</v>
      </c>
      <c r="K1752" s="66" t="str">
        <f>IF(Data[[#This Row],[Betrag]]&lt;0,"A","E")</f>
        <v>A</v>
      </c>
    </row>
    <row r="1753" spans="1:11" x14ac:dyDescent="0.25">
      <c r="A1753" s="1">
        <v>43756</v>
      </c>
      <c r="B1753" s="66" t="s">
        <v>67</v>
      </c>
      <c r="C1753" s="66" t="s">
        <v>59</v>
      </c>
      <c r="D1753" t="s">
        <v>68</v>
      </c>
      <c r="E1753">
        <v>-30</v>
      </c>
      <c r="F1753" s="66" t="s">
        <v>7</v>
      </c>
      <c r="G1753" s="66" t="s">
        <v>10</v>
      </c>
      <c r="H1753" s="66" t="str">
        <f>TEXT(Data[[#This Row],[Buchung]],"MMM")</f>
        <v>Okt</v>
      </c>
      <c r="I1753" s="67">
        <f>YEAR(Data[[#This Row],[Buchung]])</f>
        <v>2019</v>
      </c>
      <c r="J1753" s="2">
        <f>ABS(Data[[#This Row],[Betrag]])</f>
        <v>30</v>
      </c>
      <c r="K1753" s="66" t="str">
        <f>IF(Data[[#This Row],[Betrag]]&lt;0,"A","E")</f>
        <v>A</v>
      </c>
    </row>
    <row r="1754" spans="1:11" x14ac:dyDescent="0.25">
      <c r="A1754" s="1">
        <v>43757</v>
      </c>
      <c r="B1754" s="66" t="s">
        <v>45</v>
      </c>
      <c r="C1754" s="66" t="s">
        <v>46</v>
      </c>
      <c r="D1754" t="s">
        <v>47</v>
      </c>
      <c r="E1754">
        <v>1000</v>
      </c>
      <c r="F1754" s="66" t="s">
        <v>7</v>
      </c>
      <c r="G1754" s="66" t="s">
        <v>9</v>
      </c>
      <c r="H1754" s="66" t="str">
        <f>TEXT(Data[[#This Row],[Buchung]],"MMM")</f>
        <v>Okt</v>
      </c>
      <c r="I1754" s="67">
        <f>YEAR(Data[[#This Row],[Buchung]])</f>
        <v>2019</v>
      </c>
      <c r="J1754" s="2">
        <f>ABS(Data[[#This Row],[Betrag]])</f>
        <v>1000</v>
      </c>
      <c r="K1754" s="66" t="str">
        <f>IF(Data[[#This Row],[Betrag]]&lt;0,"A","E")</f>
        <v>E</v>
      </c>
    </row>
    <row r="1755" spans="1:11" x14ac:dyDescent="0.25">
      <c r="A1755" s="1">
        <v>43758</v>
      </c>
      <c r="B1755" s="66" t="s">
        <v>48</v>
      </c>
      <c r="C1755" s="66" t="s">
        <v>49</v>
      </c>
      <c r="D1755" t="s">
        <v>50</v>
      </c>
      <c r="E1755">
        <v>-15</v>
      </c>
      <c r="F1755" s="66" t="s">
        <v>7</v>
      </c>
      <c r="G1755" s="66" t="s">
        <v>8</v>
      </c>
      <c r="H1755" s="66" t="str">
        <f>TEXT(Data[[#This Row],[Buchung]],"MMM")</f>
        <v>Okt</v>
      </c>
      <c r="I1755" s="67">
        <f>YEAR(Data[[#This Row],[Buchung]])</f>
        <v>2019</v>
      </c>
      <c r="J1755" s="2">
        <f>ABS(Data[[#This Row],[Betrag]])</f>
        <v>15</v>
      </c>
      <c r="K1755" s="66" t="str">
        <f>IF(Data[[#This Row],[Betrag]]&lt;0,"A","E")</f>
        <v>A</v>
      </c>
    </row>
    <row r="1756" spans="1:11" x14ac:dyDescent="0.25">
      <c r="A1756" s="1">
        <v>43759</v>
      </c>
      <c r="B1756" s="66" t="s">
        <v>51</v>
      </c>
      <c r="C1756" s="66" t="s">
        <v>52</v>
      </c>
      <c r="D1756" t="s">
        <v>53</v>
      </c>
      <c r="E1756">
        <v>-350</v>
      </c>
      <c r="F1756" s="66" t="s">
        <v>7</v>
      </c>
      <c r="G1756" s="66" t="s">
        <v>11</v>
      </c>
      <c r="H1756" s="66" t="str">
        <f>TEXT(Data[[#This Row],[Buchung]],"MMM")</f>
        <v>Okt</v>
      </c>
      <c r="I1756" s="67">
        <f>YEAR(Data[[#This Row],[Buchung]])</f>
        <v>2019</v>
      </c>
      <c r="J1756" s="2">
        <f>ABS(Data[[#This Row],[Betrag]])</f>
        <v>350</v>
      </c>
      <c r="K1756" s="66" t="str">
        <f>IF(Data[[#This Row],[Betrag]]&lt;0,"A","E")</f>
        <v>A</v>
      </c>
    </row>
    <row r="1757" spans="1:11" x14ac:dyDescent="0.25">
      <c r="A1757" s="1">
        <v>43760</v>
      </c>
      <c r="B1757" s="66" t="s">
        <v>54</v>
      </c>
      <c r="C1757" s="66" t="s">
        <v>55</v>
      </c>
      <c r="D1757" t="s">
        <v>56</v>
      </c>
      <c r="E1757">
        <v>-120</v>
      </c>
      <c r="F1757" s="66" t="s">
        <v>7</v>
      </c>
      <c r="G1757" s="66" t="s">
        <v>57</v>
      </c>
      <c r="H1757" s="66" t="str">
        <f>TEXT(Data[[#This Row],[Buchung]],"MMM")</f>
        <v>Okt</v>
      </c>
      <c r="I1757" s="67">
        <f>YEAR(Data[[#This Row],[Buchung]])</f>
        <v>2019</v>
      </c>
      <c r="J1757" s="2">
        <f>ABS(Data[[#This Row],[Betrag]])</f>
        <v>120</v>
      </c>
      <c r="K1757" s="66" t="str">
        <f>IF(Data[[#This Row],[Betrag]]&lt;0,"A","E")</f>
        <v>A</v>
      </c>
    </row>
    <row r="1758" spans="1:11" x14ac:dyDescent="0.25">
      <c r="A1758" s="1">
        <v>43761</v>
      </c>
      <c r="B1758" s="66" t="s">
        <v>58</v>
      </c>
      <c r="C1758" s="66" t="s">
        <v>59</v>
      </c>
      <c r="D1758" t="s">
        <v>60</v>
      </c>
      <c r="E1758">
        <v>-80</v>
      </c>
      <c r="F1758" s="66" t="s">
        <v>7</v>
      </c>
      <c r="G1758" s="66" t="s">
        <v>10</v>
      </c>
      <c r="H1758" s="66" t="str">
        <f>TEXT(Data[[#This Row],[Buchung]],"MMM")</f>
        <v>Okt</v>
      </c>
      <c r="I1758" s="67">
        <f>YEAR(Data[[#This Row],[Buchung]])</f>
        <v>2019</v>
      </c>
      <c r="J1758" s="2">
        <f>ABS(Data[[#This Row],[Betrag]])</f>
        <v>80</v>
      </c>
      <c r="K1758" s="66" t="str">
        <f>IF(Data[[#This Row],[Betrag]]&lt;0,"A","E")</f>
        <v>A</v>
      </c>
    </row>
    <row r="1759" spans="1:11" x14ac:dyDescent="0.25">
      <c r="A1759" s="1">
        <v>43762</v>
      </c>
      <c r="B1759" s="66" t="s">
        <v>45</v>
      </c>
      <c r="C1759" s="66" t="s">
        <v>46</v>
      </c>
      <c r="D1759" t="s">
        <v>47</v>
      </c>
      <c r="E1759">
        <v>1000</v>
      </c>
      <c r="F1759" s="66" t="s">
        <v>7</v>
      </c>
      <c r="G1759" s="66" t="s">
        <v>9</v>
      </c>
      <c r="H1759" s="66" t="str">
        <f>TEXT(Data[[#This Row],[Buchung]],"MMM")</f>
        <v>Okt</v>
      </c>
      <c r="I1759" s="67">
        <f>YEAR(Data[[#This Row],[Buchung]])</f>
        <v>2019</v>
      </c>
      <c r="J1759" s="2">
        <f>ABS(Data[[#This Row],[Betrag]])</f>
        <v>1000</v>
      </c>
      <c r="K1759" s="66" t="str">
        <f>IF(Data[[#This Row],[Betrag]]&lt;0,"A","E")</f>
        <v>E</v>
      </c>
    </row>
    <row r="1760" spans="1:11" x14ac:dyDescent="0.25">
      <c r="A1760" s="1">
        <v>43763</v>
      </c>
      <c r="B1760" s="66" t="s">
        <v>61</v>
      </c>
      <c r="C1760" s="66" t="s">
        <v>49</v>
      </c>
      <c r="D1760" t="s">
        <v>62</v>
      </c>
      <c r="E1760">
        <v>-10</v>
      </c>
      <c r="F1760" s="66" t="s">
        <v>7</v>
      </c>
      <c r="G1760" s="66" t="s">
        <v>8</v>
      </c>
      <c r="H1760" s="66" t="str">
        <f>TEXT(Data[[#This Row],[Buchung]],"MMM")</f>
        <v>Okt</v>
      </c>
      <c r="I1760" s="67">
        <f>YEAR(Data[[#This Row],[Buchung]])</f>
        <v>2019</v>
      </c>
      <c r="J1760" s="2">
        <f>ABS(Data[[#This Row],[Betrag]])</f>
        <v>10</v>
      </c>
      <c r="K1760" s="66" t="str">
        <f>IF(Data[[#This Row],[Betrag]]&lt;0,"A","E")</f>
        <v>A</v>
      </c>
    </row>
    <row r="1761" spans="1:11" x14ac:dyDescent="0.25">
      <c r="A1761" s="1">
        <v>43764</v>
      </c>
      <c r="B1761" s="66" t="s">
        <v>63</v>
      </c>
      <c r="C1761" s="66" t="s">
        <v>64</v>
      </c>
      <c r="D1761" t="s">
        <v>65</v>
      </c>
      <c r="E1761">
        <v>-65</v>
      </c>
      <c r="F1761" s="66" t="s">
        <v>7</v>
      </c>
      <c r="G1761" s="66" t="s">
        <v>11</v>
      </c>
      <c r="H1761" s="66" t="str">
        <f>TEXT(Data[[#This Row],[Buchung]],"MMM")</f>
        <v>Okt</v>
      </c>
      <c r="I1761" s="67">
        <f>YEAR(Data[[#This Row],[Buchung]])</f>
        <v>2019</v>
      </c>
      <c r="J1761" s="2">
        <f>ABS(Data[[#This Row],[Betrag]])</f>
        <v>65</v>
      </c>
      <c r="K1761" s="66" t="str">
        <f>IF(Data[[#This Row],[Betrag]]&lt;0,"A","E")</f>
        <v>A</v>
      </c>
    </row>
    <row r="1762" spans="1:11" x14ac:dyDescent="0.25">
      <c r="A1762" s="1">
        <v>43765</v>
      </c>
      <c r="B1762" s="66" t="s">
        <v>54</v>
      </c>
      <c r="C1762" s="66" t="s">
        <v>55</v>
      </c>
      <c r="D1762" t="s">
        <v>66</v>
      </c>
      <c r="E1762">
        <v>-80</v>
      </c>
      <c r="F1762" s="66" t="s">
        <v>7</v>
      </c>
      <c r="G1762" s="66" t="s">
        <v>57</v>
      </c>
      <c r="H1762" s="66" t="str">
        <f>TEXT(Data[[#This Row],[Buchung]],"MMM")</f>
        <v>Okt</v>
      </c>
      <c r="I1762" s="67">
        <f>YEAR(Data[[#This Row],[Buchung]])</f>
        <v>2019</v>
      </c>
      <c r="J1762" s="2">
        <f>ABS(Data[[#This Row],[Betrag]])</f>
        <v>80</v>
      </c>
      <c r="K1762" s="66" t="str">
        <f>IF(Data[[#This Row],[Betrag]]&lt;0,"A","E")</f>
        <v>A</v>
      </c>
    </row>
    <row r="1763" spans="1:11" x14ac:dyDescent="0.25">
      <c r="A1763" s="1">
        <v>43766</v>
      </c>
      <c r="B1763" s="66" t="s">
        <v>67</v>
      </c>
      <c r="C1763" s="66" t="s">
        <v>59</v>
      </c>
      <c r="D1763" t="s">
        <v>68</v>
      </c>
      <c r="E1763">
        <v>-35</v>
      </c>
      <c r="F1763" s="66" t="s">
        <v>7</v>
      </c>
      <c r="G1763" s="66" t="s">
        <v>10</v>
      </c>
      <c r="H1763" s="66" t="str">
        <f>TEXT(Data[[#This Row],[Buchung]],"MMM")</f>
        <v>Okt</v>
      </c>
      <c r="I1763" s="67">
        <f>YEAR(Data[[#This Row],[Buchung]])</f>
        <v>2019</v>
      </c>
      <c r="J1763" s="2">
        <f>ABS(Data[[#This Row],[Betrag]])</f>
        <v>35</v>
      </c>
      <c r="K1763" s="66" t="str">
        <f>IF(Data[[#This Row],[Betrag]]&lt;0,"A","E")</f>
        <v>A</v>
      </c>
    </row>
    <row r="1764" spans="1:11" x14ac:dyDescent="0.25">
      <c r="A1764" s="1">
        <v>43767</v>
      </c>
      <c r="B1764" s="66" t="s">
        <v>45</v>
      </c>
      <c r="C1764" s="66" t="s">
        <v>46</v>
      </c>
      <c r="D1764" t="s">
        <v>47</v>
      </c>
      <c r="E1764">
        <v>1000</v>
      </c>
      <c r="F1764" s="66" t="s">
        <v>7</v>
      </c>
      <c r="G1764" s="66" t="s">
        <v>9</v>
      </c>
      <c r="H1764" s="66" t="str">
        <f>TEXT(Data[[#This Row],[Buchung]],"MMM")</f>
        <v>Okt</v>
      </c>
      <c r="I1764" s="67">
        <f>YEAR(Data[[#This Row],[Buchung]])</f>
        <v>2019</v>
      </c>
      <c r="J1764" s="2">
        <f>ABS(Data[[#This Row],[Betrag]])</f>
        <v>1000</v>
      </c>
      <c r="K1764" s="66" t="str">
        <f>IF(Data[[#This Row],[Betrag]]&lt;0,"A","E")</f>
        <v>E</v>
      </c>
    </row>
    <row r="1765" spans="1:11" x14ac:dyDescent="0.25">
      <c r="A1765" s="1">
        <v>43768</v>
      </c>
      <c r="B1765" s="66" t="s">
        <v>45</v>
      </c>
      <c r="C1765" s="66" t="s">
        <v>46</v>
      </c>
      <c r="D1765" t="s">
        <v>47</v>
      </c>
      <c r="E1765">
        <v>1000</v>
      </c>
      <c r="F1765" s="66" t="s">
        <v>7</v>
      </c>
      <c r="G1765" s="66" t="s">
        <v>9</v>
      </c>
      <c r="H1765" s="66" t="str">
        <f>TEXT(Data[[#This Row],[Buchung]],"MMM")</f>
        <v>Okt</v>
      </c>
      <c r="I1765" s="67">
        <f>YEAR(Data[[#This Row],[Buchung]])</f>
        <v>2019</v>
      </c>
      <c r="J1765" s="2">
        <f>ABS(Data[[#This Row],[Betrag]])</f>
        <v>1000</v>
      </c>
      <c r="K1765" s="66" t="str">
        <f>IF(Data[[#This Row],[Betrag]]&lt;0,"A","E")</f>
        <v>E</v>
      </c>
    </row>
    <row r="1766" spans="1:11" x14ac:dyDescent="0.25">
      <c r="A1766" s="1">
        <v>43769</v>
      </c>
      <c r="B1766" s="66" t="s">
        <v>48</v>
      </c>
      <c r="C1766" s="66" t="s">
        <v>49</v>
      </c>
      <c r="D1766" t="s">
        <v>50</v>
      </c>
      <c r="E1766">
        <v>-15</v>
      </c>
      <c r="F1766" s="66" t="s">
        <v>7</v>
      </c>
      <c r="G1766" s="66" t="s">
        <v>8</v>
      </c>
      <c r="H1766" s="66" t="str">
        <f>TEXT(Data[[#This Row],[Buchung]],"MMM")</f>
        <v>Okt</v>
      </c>
      <c r="I1766" s="67">
        <f>YEAR(Data[[#This Row],[Buchung]])</f>
        <v>2019</v>
      </c>
      <c r="J1766" s="2">
        <f>ABS(Data[[#This Row],[Betrag]])</f>
        <v>15</v>
      </c>
      <c r="K1766" s="66" t="str">
        <f>IF(Data[[#This Row],[Betrag]]&lt;0,"A","E")</f>
        <v>A</v>
      </c>
    </row>
    <row r="1767" spans="1:11" x14ac:dyDescent="0.25">
      <c r="A1767" s="1">
        <v>43770</v>
      </c>
      <c r="B1767" s="66" t="s">
        <v>51</v>
      </c>
      <c r="C1767" s="66" t="s">
        <v>52</v>
      </c>
      <c r="D1767" t="s">
        <v>53</v>
      </c>
      <c r="E1767">
        <v>-350</v>
      </c>
      <c r="F1767" s="66" t="s">
        <v>7</v>
      </c>
      <c r="G1767" s="66" t="s">
        <v>11</v>
      </c>
      <c r="H1767" s="66" t="str">
        <f>TEXT(Data[[#This Row],[Buchung]],"MMM")</f>
        <v>Nov</v>
      </c>
      <c r="I1767" s="67">
        <f>YEAR(Data[[#This Row],[Buchung]])</f>
        <v>2019</v>
      </c>
      <c r="J1767" s="2">
        <f>ABS(Data[[#This Row],[Betrag]])</f>
        <v>350</v>
      </c>
      <c r="K1767" s="66" t="str">
        <f>IF(Data[[#This Row],[Betrag]]&lt;0,"A","E")</f>
        <v>A</v>
      </c>
    </row>
    <row r="1768" spans="1:11" x14ac:dyDescent="0.25">
      <c r="A1768" s="1">
        <v>43771</v>
      </c>
      <c r="B1768" s="66" t="s">
        <v>54</v>
      </c>
      <c r="C1768" s="66" t="s">
        <v>55</v>
      </c>
      <c r="D1768" t="s">
        <v>56</v>
      </c>
      <c r="E1768">
        <v>-120</v>
      </c>
      <c r="F1768" s="66" t="s">
        <v>7</v>
      </c>
      <c r="G1768" s="66" t="s">
        <v>57</v>
      </c>
      <c r="H1768" s="66" t="str">
        <f>TEXT(Data[[#This Row],[Buchung]],"MMM")</f>
        <v>Nov</v>
      </c>
      <c r="I1768" s="67">
        <f>YEAR(Data[[#This Row],[Buchung]])</f>
        <v>2019</v>
      </c>
      <c r="J1768" s="2">
        <f>ABS(Data[[#This Row],[Betrag]])</f>
        <v>120</v>
      </c>
      <c r="K1768" s="66" t="str">
        <f>IF(Data[[#This Row],[Betrag]]&lt;0,"A","E")</f>
        <v>A</v>
      </c>
    </row>
    <row r="1769" spans="1:11" x14ac:dyDescent="0.25">
      <c r="A1769" s="1">
        <v>43772</v>
      </c>
      <c r="B1769" s="66" t="s">
        <v>58</v>
      </c>
      <c r="C1769" s="66" t="s">
        <v>59</v>
      </c>
      <c r="D1769" t="s">
        <v>60</v>
      </c>
      <c r="E1769">
        <v>-50</v>
      </c>
      <c r="F1769" s="66" t="s">
        <v>7</v>
      </c>
      <c r="G1769" s="66" t="s">
        <v>10</v>
      </c>
      <c r="H1769" s="66" t="str">
        <f>TEXT(Data[[#This Row],[Buchung]],"MMM")</f>
        <v>Nov</v>
      </c>
      <c r="I1769" s="67">
        <f>YEAR(Data[[#This Row],[Buchung]])</f>
        <v>2019</v>
      </c>
      <c r="J1769" s="2">
        <f>ABS(Data[[#This Row],[Betrag]])</f>
        <v>50</v>
      </c>
      <c r="K1769" s="66" t="str">
        <f>IF(Data[[#This Row],[Betrag]]&lt;0,"A","E")</f>
        <v>A</v>
      </c>
    </row>
    <row r="1770" spans="1:11" x14ac:dyDescent="0.25">
      <c r="A1770" s="1">
        <v>43773</v>
      </c>
      <c r="B1770" s="66" t="s">
        <v>45</v>
      </c>
      <c r="C1770" s="66" t="s">
        <v>46</v>
      </c>
      <c r="D1770" t="s">
        <v>47</v>
      </c>
      <c r="E1770">
        <v>1000</v>
      </c>
      <c r="F1770" s="66" t="s">
        <v>7</v>
      </c>
      <c r="G1770" s="66" t="s">
        <v>9</v>
      </c>
      <c r="H1770" s="66" t="str">
        <f>TEXT(Data[[#This Row],[Buchung]],"MMM")</f>
        <v>Nov</v>
      </c>
      <c r="I1770" s="67">
        <f>YEAR(Data[[#This Row],[Buchung]])</f>
        <v>2019</v>
      </c>
      <c r="J1770" s="2">
        <f>ABS(Data[[#This Row],[Betrag]])</f>
        <v>1000</v>
      </c>
      <c r="K1770" s="66" t="str">
        <f>IF(Data[[#This Row],[Betrag]]&lt;0,"A","E")</f>
        <v>E</v>
      </c>
    </row>
    <row r="1771" spans="1:11" x14ac:dyDescent="0.25">
      <c r="A1771" s="1">
        <v>43774</v>
      </c>
      <c r="B1771" s="66" t="s">
        <v>61</v>
      </c>
      <c r="C1771" s="66" t="s">
        <v>49</v>
      </c>
      <c r="D1771" t="s">
        <v>62</v>
      </c>
      <c r="E1771">
        <v>-10</v>
      </c>
      <c r="F1771" s="66" t="s">
        <v>7</v>
      </c>
      <c r="G1771" s="66" t="s">
        <v>8</v>
      </c>
      <c r="H1771" s="66" t="str">
        <f>TEXT(Data[[#This Row],[Buchung]],"MMM")</f>
        <v>Nov</v>
      </c>
      <c r="I1771" s="67">
        <f>YEAR(Data[[#This Row],[Buchung]])</f>
        <v>2019</v>
      </c>
      <c r="J1771" s="2">
        <f>ABS(Data[[#This Row],[Betrag]])</f>
        <v>10</v>
      </c>
      <c r="K1771" s="66" t="str">
        <f>IF(Data[[#This Row],[Betrag]]&lt;0,"A","E")</f>
        <v>A</v>
      </c>
    </row>
    <row r="1772" spans="1:11" x14ac:dyDescent="0.25">
      <c r="A1772" s="1">
        <v>43775</v>
      </c>
      <c r="B1772" s="66" t="s">
        <v>63</v>
      </c>
      <c r="C1772" s="66" t="s">
        <v>64</v>
      </c>
      <c r="D1772" t="s">
        <v>65</v>
      </c>
      <c r="E1772">
        <v>-60</v>
      </c>
      <c r="F1772" s="66" t="s">
        <v>7</v>
      </c>
      <c r="G1772" s="66" t="s">
        <v>11</v>
      </c>
      <c r="H1772" s="66" t="str">
        <f>TEXT(Data[[#This Row],[Buchung]],"MMM")</f>
        <v>Nov</v>
      </c>
      <c r="I1772" s="67">
        <f>YEAR(Data[[#This Row],[Buchung]])</f>
        <v>2019</v>
      </c>
      <c r="J1772" s="2">
        <f>ABS(Data[[#This Row],[Betrag]])</f>
        <v>60</v>
      </c>
      <c r="K1772" s="66" t="str">
        <f>IF(Data[[#This Row],[Betrag]]&lt;0,"A","E")</f>
        <v>A</v>
      </c>
    </row>
    <row r="1773" spans="1:11" x14ac:dyDescent="0.25">
      <c r="A1773" s="1">
        <v>43776</v>
      </c>
      <c r="B1773" s="66" t="s">
        <v>54</v>
      </c>
      <c r="C1773" s="66" t="s">
        <v>55</v>
      </c>
      <c r="D1773" t="s">
        <v>66</v>
      </c>
      <c r="E1773">
        <v>-80</v>
      </c>
      <c r="F1773" s="66" t="s">
        <v>7</v>
      </c>
      <c r="G1773" s="66" t="s">
        <v>57</v>
      </c>
      <c r="H1773" s="66" t="str">
        <f>TEXT(Data[[#This Row],[Buchung]],"MMM")</f>
        <v>Nov</v>
      </c>
      <c r="I1773" s="67">
        <f>YEAR(Data[[#This Row],[Buchung]])</f>
        <v>2019</v>
      </c>
      <c r="J1773" s="2">
        <f>ABS(Data[[#This Row],[Betrag]])</f>
        <v>80</v>
      </c>
      <c r="K1773" s="66" t="str">
        <f>IF(Data[[#This Row],[Betrag]]&lt;0,"A","E")</f>
        <v>A</v>
      </c>
    </row>
    <row r="1774" spans="1:11" x14ac:dyDescent="0.25">
      <c r="A1774" s="1">
        <v>43777</v>
      </c>
      <c r="B1774" s="66" t="s">
        <v>67</v>
      </c>
      <c r="C1774" s="66" t="s">
        <v>59</v>
      </c>
      <c r="D1774" t="s">
        <v>68</v>
      </c>
      <c r="E1774">
        <v>-20</v>
      </c>
      <c r="F1774" s="66" t="s">
        <v>7</v>
      </c>
      <c r="G1774" s="66" t="s">
        <v>10</v>
      </c>
      <c r="H1774" s="66" t="str">
        <f>TEXT(Data[[#This Row],[Buchung]],"MMM")</f>
        <v>Nov</v>
      </c>
      <c r="I1774" s="67">
        <f>YEAR(Data[[#This Row],[Buchung]])</f>
        <v>2019</v>
      </c>
      <c r="J1774" s="2">
        <f>ABS(Data[[#This Row],[Betrag]])</f>
        <v>20</v>
      </c>
      <c r="K1774" s="66" t="str">
        <f>IF(Data[[#This Row],[Betrag]]&lt;0,"A","E")</f>
        <v>A</v>
      </c>
    </row>
    <row r="1775" spans="1:11" x14ac:dyDescent="0.25">
      <c r="A1775" s="1">
        <v>43778</v>
      </c>
      <c r="B1775" s="66" t="s">
        <v>45</v>
      </c>
      <c r="C1775" s="66" t="s">
        <v>46</v>
      </c>
      <c r="D1775" t="s">
        <v>47</v>
      </c>
      <c r="E1775">
        <v>1000</v>
      </c>
      <c r="F1775" s="66" t="s">
        <v>7</v>
      </c>
      <c r="G1775" s="66" t="s">
        <v>9</v>
      </c>
      <c r="H1775" s="66" t="str">
        <f>TEXT(Data[[#This Row],[Buchung]],"MMM")</f>
        <v>Nov</v>
      </c>
      <c r="I1775" s="67">
        <f>YEAR(Data[[#This Row],[Buchung]])</f>
        <v>2019</v>
      </c>
      <c r="J1775" s="2">
        <f>ABS(Data[[#This Row],[Betrag]])</f>
        <v>1000</v>
      </c>
      <c r="K1775" s="66" t="str">
        <f>IF(Data[[#This Row],[Betrag]]&lt;0,"A","E")</f>
        <v>E</v>
      </c>
    </row>
    <row r="1776" spans="1:11" x14ac:dyDescent="0.25">
      <c r="A1776" s="1">
        <v>43779</v>
      </c>
      <c r="B1776" s="66" t="s">
        <v>48</v>
      </c>
      <c r="C1776" s="66" t="s">
        <v>49</v>
      </c>
      <c r="D1776" t="s">
        <v>50</v>
      </c>
      <c r="E1776">
        <v>-15</v>
      </c>
      <c r="F1776" s="66" t="s">
        <v>7</v>
      </c>
      <c r="G1776" s="66" t="s">
        <v>8</v>
      </c>
      <c r="H1776" s="66" t="str">
        <f>TEXT(Data[[#This Row],[Buchung]],"MMM")</f>
        <v>Nov</v>
      </c>
      <c r="I1776" s="67">
        <f>YEAR(Data[[#This Row],[Buchung]])</f>
        <v>2019</v>
      </c>
      <c r="J1776" s="2">
        <f>ABS(Data[[#This Row],[Betrag]])</f>
        <v>15</v>
      </c>
      <c r="K1776" s="66" t="str">
        <f>IF(Data[[#This Row],[Betrag]]&lt;0,"A","E")</f>
        <v>A</v>
      </c>
    </row>
    <row r="1777" spans="1:11" x14ac:dyDescent="0.25">
      <c r="A1777" s="1">
        <v>43780</v>
      </c>
      <c r="B1777" s="66" t="s">
        <v>51</v>
      </c>
      <c r="C1777" s="66" t="s">
        <v>52</v>
      </c>
      <c r="D1777" t="s">
        <v>53</v>
      </c>
      <c r="E1777">
        <v>-350</v>
      </c>
      <c r="F1777" s="66" t="s">
        <v>7</v>
      </c>
      <c r="G1777" s="66" t="s">
        <v>11</v>
      </c>
      <c r="H1777" s="66" t="str">
        <f>TEXT(Data[[#This Row],[Buchung]],"MMM")</f>
        <v>Nov</v>
      </c>
      <c r="I1777" s="67">
        <f>YEAR(Data[[#This Row],[Buchung]])</f>
        <v>2019</v>
      </c>
      <c r="J1777" s="2">
        <f>ABS(Data[[#This Row],[Betrag]])</f>
        <v>350</v>
      </c>
      <c r="K1777" s="66" t="str">
        <f>IF(Data[[#This Row],[Betrag]]&lt;0,"A","E")</f>
        <v>A</v>
      </c>
    </row>
    <row r="1778" spans="1:11" x14ac:dyDescent="0.25">
      <c r="A1778" s="1">
        <v>43781</v>
      </c>
      <c r="B1778" s="66" t="s">
        <v>54</v>
      </c>
      <c r="C1778" s="66" t="s">
        <v>55</v>
      </c>
      <c r="D1778" t="s">
        <v>56</v>
      </c>
      <c r="E1778">
        <v>-120</v>
      </c>
      <c r="F1778" s="66" t="s">
        <v>7</v>
      </c>
      <c r="G1778" s="66" t="s">
        <v>57</v>
      </c>
      <c r="H1778" s="66" t="str">
        <f>TEXT(Data[[#This Row],[Buchung]],"MMM")</f>
        <v>Nov</v>
      </c>
      <c r="I1778" s="67">
        <f>YEAR(Data[[#This Row],[Buchung]])</f>
        <v>2019</v>
      </c>
      <c r="J1778" s="2">
        <f>ABS(Data[[#This Row],[Betrag]])</f>
        <v>120</v>
      </c>
      <c r="K1778" s="66" t="str">
        <f>IF(Data[[#This Row],[Betrag]]&lt;0,"A","E")</f>
        <v>A</v>
      </c>
    </row>
    <row r="1779" spans="1:11" x14ac:dyDescent="0.25">
      <c r="A1779" s="1">
        <v>43782</v>
      </c>
      <c r="B1779" s="66" t="s">
        <v>58</v>
      </c>
      <c r="C1779" s="66" t="s">
        <v>59</v>
      </c>
      <c r="D1779" t="s">
        <v>60</v>
      </c>
      <c r="E1779">
        <v>-60</v>
      </c>
      <c r="F1779" s="66" t="s">
        <v>7</v>
      </c>
      <c r="G1779" s="66" t="s">
        <v>10</v>
      </c>
      <c r="H1779" s="66" t="str">
        <f>TEXT(Data[[#This Row],[Buchung]],"MMM")</f>
        <v>Nov</v>
      </c>
      <c r="I1779" s="67">
        <f>YEAR(Data[[#This Row],[Buchung]])</f>
        <v>2019</v>
      </c>
      <c r="J1779" s="2">
        <f>ABS(Data[[#This Row],[Betrag]])</f>
        <v>60</v>
      </c>
      <c r="K1779" s="66" t="str">
        <f>IF(Data[[#This Row],[Betrag]]&lt;0,"A","E")</f>
        <v>A</v>
      </c>
    </row>
    <row r="1780" spans="1:11" x14ac:dyDescent="0.25">
      <c r="A1780" s="1">
        <v>43783</v>
      </c>
      <c r="B1780" s="66" t="s">
        <v>45</v>
      </c>
      <c r="C1780" s="66" t="s">
        <v>46</v>
      </c>
      <c r="D1780" t="s">
        <v>47</v>
      </c>
      <c r="E1780">
        <v>1000</v>
      </c>
      <c r="F1780" s="66" t="s">
        <v>7</v>
      </c>
      <c r="G1780" s="66" t="s">
        <v>9</v>
      </c>
      <c r="H1780" s="66" t="str">
        <f>TEXT(Data[[#This Row],[Buchung]],"MMM")</f>
        <v>Nov</v>
      </c>
      <c r="I1780" s="67">
        <f>YEAR(Data[[#This Row],[Buchung]])</f>
        <v>2019</v>
      </c>
      <c r="J1780" s="2">
        <f>ABS(Data[[#This Row],[Betrag]])</f>
        <v>1000</v>
      </c>
      <c r="K1780" s="66" t="str">
        <f>IF(Data[[#This Row],[Betrag]]&lt;0,"A","E")</f>
        <v>E</v>
      </c>
    </row>
    <row r="1781" spans="1:11" x14ac:dyDescent="0.25">
      <c r="A1781" s="1">
        <v>43784</v>
      </c>
      <c r="B1781" s="66" t="s">
        <v>61</v>
      </c>
      <c r="C1781" s="66" t="s">
        <v>49</v>
      </c>
      <c r="D1781" t="s">
        <v>62</v>
      </c>
      <c r="E1781">
        <v>-10</v>
      </c>
      <c r="F1781" s="66" t="s">
        <v>7</v>
      </c>
      <c r="G1781" s="66" t="s">
        <v>8</v>
      </c>
      <c r="H1781" s="66" t="str">
        <f>TEXT(Data[[#This Row],[Buchung]],"MMM")</f>
        <v>Nov</v>
      </c>
      <c r="I1781" s="67">
        <f>YEAR(Data[[#This Row],[Buchung]])</f>
        <v>2019</v>
      </c>
      <c r="J1781" s="2">
        <f>ABS(Data[[#This Row],[Betrag]])</f>
        <v>10</v>
      </c>
      <c r="K1781" s="66" t="str">
        <f>IF(Data[[#This Row],[Betrag]]&lt;0,"A","E")</f>
        <v>A</v>
      </c>
    </row>
    <row r="1782" spans="1:11" x14ac:dyDescent="0.25">
      <c r="A1782" s="1">
        <v>43785</v>
      </c>
      <c r="B1782" s="66" t="s">
        <v>63</v>
      </c>
      <c r="C1782" s="66" t="s">
        <v>64</v>
      </c>
      <c r="D1782" t="s">
        <v>65</v>
      </c>
      <c r="E1782">
        <v>-70</v>
      </c>
      <c r="F1782" s="66" t="s">
        <v>7</v>
      </c>
      <c r="G1782" s="66" t="s">
        <v>11</v>
      </c>
      <c r="H1782" s="66" t="str">
        <f>TEXT(Data[[#This Row],[Buchung]],"MMM")</f>
        <v>Nov</v>
      </c>
      <c r="I1782" s="67">
        <f>YEAR(Data[[#This Row],[Buchung]])</f>
        <v>2019</v>
      </c>
      <c r="J1782" s="2">
        <f>ABS(Data[[#This Row],[Betrag]])</f>
        <v>70</v>
      </c>
      <c r="K1782" s="66" t="str">
        <f>IF(Data[[#This Row],[Betrag]]&lt;0,"A","E")</f>
        <v>A</v>
      </c>
    </row>
    <row r="1783" spans="1:11" x14ac:dyDescent="0.25">
      <c r="A1783" s="1">
        <v>43786</v>
      </c>
      <c r="B1783" s="66" t="s">
        <v>54</v>
      </c>
      <c r="C1783" s="66" t="s">
        <v>55</v>
      </c>
      <c r="D1783" t="s">
        <v>66</v>
      </c>
      <c r="E1783">
        <v>-80</v>
      </c>
      <c r="F1783" s="66" t="s">
        <v>7</v>
      </c>
      <c r="G1783" s="66" t="s">
        <v>57</v>
      </c>
      <c r="H1783" s="66" t="str">
        <f>TEXT(Data[[#This Row],[Buchung]],"MMM")</f>
        <v>Nov</v>
      </c>
      <c r="I1783" s="67">
        <f>YEAR(Data[[#This Row],[Buchung]])</f>
        <v>2019</v>
      </c>
      <c r="J1783" s="2">
        <f>ABS(Data[[#This Row],[Betrag]])</f>
        <v>80</v>
      </c>
      <c r="K1783" s="66" t="str">
        <f>IF(Data[[#This Row],[Betrag]]&lt;0,"A","E")</f>
        <v>A</v>
      </c>
    </row>
    <row r="1784" spans="1:11" x14ac:dyDescent="0.25">
      <c r="A1784" s="1">
        <v>43787</v>
      </c>
      <c r="B1784" s="66" t="s">
        <v>67</v>
      </c>
      <c r="C1784" s="66" t="s">
        <v>59</v>
      </c>
      <c r="D1784" t="s">
        <v>68</v>
      </c>
      <c r="E1784">
        <v>-25</v>
      </c>
      <c r="F1784" s="66" t="s">
        <v>7</v>
      </c>
      <c r="G1784" s="66" t="s">
        <v>10</v>
      </c>
      <c r="H1784" s="66" t="str">
        <f>TEXT(Data[[#This Row],[Buchung]],"MMM")</f>
        <v>Nov</v>
      </c>
      <c r="I1784" s="67">
        <f>YEAR(Data[[#This Row],[Buchung]])</f>
        <v>2019</v>
      </c>
      <c r="J1784" s="2">
        <f>ABS(Data[[#This Row],[Betrag]])</f>
        <v>25</v>
      </c>
      <c r="K1784" s="66" t="str">
        <f>IF(Data[[#This Row],[Betrag]]&lt;0,"A","E")</f>
        <v>A</v>
      </c>
    </row>
    <row r="1785" spans="1:11" x14ac:dyDescent="0.25">
      <c r="A1785" s="1">
        <v>43788</v>
      </c>
      <c r="B1785" s="66" t="s">
        <v>45</v>
      </c>
      <c r="C1785" s="66" t="s">
        <v>46</v>
      </c>
      <c r="D1785" t="s">
        <v>47</v>
      </c>
      <c r="E1785">
        <v>1000</v>
      </c>
      <c r="F1785" s="66" t="s">
        <v>7</v>
      </c>
      <c r="G1785" s="66" t="s">
        <v>9</v>
      </c>
      <c r="H1785" s="66" t="str">
        <f>TEXT(Data[[#This Row],[Buchung]],"MMM")</f>
        <v>Nov</v>
      </c>
      <c r="I1785" s="67">
        <f>YEAR(Data[[#This Row],[Buchung]])</f>
        <v>2019</v>
      </c>
      <c r="J1785" s="2">
        <f>ABS(Data[[#This Row],[Betrag]])</f>
        <v>1000</v>
      </c>
      <c r="K1785" s="66" t="str">
        <f>IF(Data[[#This Row],[Betrag]]&lt;0,"A","E")</f>
        <v>E</v>
      </c>
    </row>
    <row r="1786" spans="1:11" x14ac:dyDescent="0.25">
      <c r="A1786" s="1">
        <v>43789</v>
      </c>
      <c r="B1786" s="66" t="s">
        <v>48</v>
      </c>
      <c r="C1786" s="66" t="s">
        <v>49</v>
      </c>
      <c r="D1786" t="s">
        <v>50</v>
      </c>
      <c r="E1786">
        <v>-15</v>
      </c>
      <c r="F1786" s="66" t="s">
        <v>7</v>
      </c>
      <c r="G1786" s="66" t="s">
        <v>8</v>
      </c>
      <c r="H1786" s="66" t="str">
        <f>TEXT(Data[[#This Row],[Buchung]],"MMM")</f>
        <v>Nov</v>
      </c>
      <c r="I1786" s="67">
        <f>YEAR(Data[[#This Row],[Buchung]])</f>
        <v>2019</v>
      </c>
      <c r="J1786" s="2">
        <f>ABS(Data[[#This Row],[Betrag]])</f>
        <v>15</v>
      </c>
      <c r="K1786" s="66" t="str">
        <f>IF(Data[[#This Row],[Betrag]]&lt;0,"A","E")</f>
        <v>A</v>
      </c>
    </row>
    <row r="1787" spans="1:11" x14ac:dyDescent="0.25">
      <c r="A1787" s="1">
        <v>43790</v>
      </c>
      <c r="B1787" s="66" t="s">
        <v>51</v>
      </c>
      <c r="C1787" s="66" t="s">
        <v>52</v>
      </c>
      <c r="D1787" t="s">
        <v>53</v>
      </c>
      <c r="E1787">
        <v>-350</v>
      </c>
      <c r="F1787" s="66" t="s">
        <v>7</v>
      </c>
      <c r="G1787" s="66" t="s">
        <v>11</v>
      </c>
      <c r="H1787" s="66" t="str">
        <f>TEXT(Data[[#This Row],[Buchung]],"MMM")</f>
        <v>Nov</v>
      </c>
      <c r="I1787" s="67">
        <f>YEAR(Data[[#This Row],[Buchung]])</f>
        <v>2019</v>
      </c>
      <c r="J1787" s="2">
        <f>ABS(Data[[#This Row],[Betrag]])</f>
        <v>350</v>
      </c>
      <c r="K1787" s="66" t="str">
        <f>IF(Data[[#This Row],[Betrag]]&lt;0,"A","E")</f>
        <v>A</v>
      </c>
    </row>
    <row r="1788" spans="1:11" x14ac:dyDescent="0.25">
      <c r="A1788" s="1">
        <v>43791</v>
      </c>
      <c r="B1788" s="66" t="s">
        <v>54</v>
      </c>
      <c r="C1788" s="66" t="s">
        <v>55</v>
      </c>
      <c r="D1788" t="s">
        <v>56</v>
      </c>
      <c r="E1788">
        <v>-120</v>
      </c>
      <c r="F1788" s="66" t="s">
        <v>7</v>
      </c>
      <c r="G1788" s="66" t="s">
        <v>57</v>
      </c>
      <c r="H1788" s="66" t="str">
        <f>TEXT(Data[[#This Row],[Buchung]],"MMM")</f>
        <v>Nov</v>
      </c>
      <c r="I1788" s="67">
        <f>YEAR(Data[[#This Row],[Buchung]])</f>
        <v>2019</v>
      </c>
      <c r="J1788" s="2">
        <f>ABS(Data[[#This Row],[Betrag]])</f>
        <v>120</v>
      </c>
      <c r="K1788" s="66" t="str">
        <f>IF(Data[[#This Row],[Betrag]]&lt;0,"A","E")</f>
        <v>A</v>
      </c>
    </row>
    <row r="1789" spans="1:11" x14ac:dyDescent="0.25">
      <c r="A1789" s="1">
        <v>43792</v>
      </c>
      <c r="B1789" s="66" t="s">
        <v>58</v>
      </c>
      <c r="C1789" s="66" t="s">
        <v>59</v>
      </c>
      <c r="D1789" t="s">
        <v>60</v>
      </c>
      <c r="E1789">
        <v>-70</v>
      </c>
      <c r="F1789" s="66" t="s">
        <v>7</v>
      </c>
      <c r="G1789" s="66" t="s">
        <v>10</v>
      </c>
      <c r="H1789" s="66" t="str">
        <f>TEXT(Data[[#This Row],[Buchung]],"MMM")</f>
        <v>Nov</v>
      </c>
      <c r="I1789" s="67">
        <f>YEAR(Data[[#This Row],[Buchung]])</f>
        <v>2019</v>
      </c>
      <c r="J1789" s="2">
        <f>ABS(Data[[#This Row],[Betrag]])</f>
        <v>70</v>
      </c>
      <c r="K1789" s="66" t="str">
        <f>IF(Data[[#This Row],[Betrag]]&lt;0,"A","E")</f>
        <v>A</v>
      </c>
    </row>
    <row r="1790" spans="1:11" x14ac:dyDescent="0.25">
      <c r="A1790" s="1">
        <v>43793</v>
      </c>
      <c r="B1790" s="66" t="s">
        <v>45</v>
      </c>
      <c r="C1790" s="66" t="s">
        <v>46</v>
      </c>
      <c r="D1790" t="s">
        <v>47</v>
      </c>
      <c r="E1790">
        <v>1000</v>
      </c>
      <c r="F1790" s="66" t="s">
        <v>7</v>
      </c>
      <c r="G1790" s="66" t="s">
        <v>9</v>
      </c>
      <c r="H1790" s="66" t="str">
        <f>TEXT(Data[[#This Row],[Buchung]],"MMM")</f>
        <v>Nov</v>
      </c>
      <c r="I1790" s="67">
        <f>YEAR(Data[[#This Row],[Buchung]])</f>
        <v>2019</v>
      </c>
      <c r="J1790" s="2">
        <f>ABS(Data[[#This Row],[Betrag]])</f>
        <v>1000</v>
      </c>
      <c r="K1790" s="66" t="str">
        <f>IF(Data[[#This Row],[Betrag]]&lt;0,"A","E")</f>
        <v>E</v>
      </c>
    </row>
    <row r="1791" spans="1:11" x14ac:dyDescent="0.25">
      <c r="A1791" s="1">
        <v>43794</v>
      </c>
      <c r="B1791" s="66" t="s">
        <v>61</v>
      </c>
      <c r="C1791" s="66" t="s">
        <v>49</v>
      </c>
      <c r="D1791" t="s">
        <v>62</v>
      </c>
      <c r="E1791">
        <v>-10</v>
      </c>
      <c r="F1791" s="66" t="s">
        <v>7</v>
      </c>
      <c r="G1791" s="66" t="s">
        <v>8</v>
      </c>
      <c r="H1791" s="66" t="str">
        <f>TEXT(Data[[#This Row],[Buchung]],"MMM")</f>
        <v>Nov</v>
      </c>
      <c r="I1791" s="67">
        <f>YEAR(Data[[#This Row],[Buchung]])</f>
        <v>2019</v>
      </c>
      <c r="J1791" s="2">
        <f>ABS(Data[[#This Row],[Betrag]])</f>
        <v>10</v>
      </c>
      <c r="K1791" s="66" t="str">
        <f>IF(Data[[#This Row],[Betrag]]&lt;0,"A","E")</f>
        <v>A</v>
      </c>
    </row>
    <row r="1792" spans="1:11" x14ac:dyDescent="0.25">
      <c r="A1792" s="1">
        <v>43795</v>
      </c>
      <c r="B1792" s="66" t="s">
        <v>63</v>
      </c>
      <c r="C1792" s="66" t="s">
        <v>64</v>
      </c>
      <c r="D1792" t="s">
        <v>65</v>
      </c>
      <c r="E1792">
        <v>-60</v>
      </c>
      <c r="F1792" s="66" t="s">
        <v>7</v>
      </c>
      <c r="G1792" s="66" t="s">
        <v>11</v>
      </c>
      <c r="H1792" s="66" t="str">
        <f>TEXT(Data[[#This Row],[Buchung]],"MMM")</f>
        <v>Nov</v>
      </c>
      <c r="I1792" s="67">
        <f>YEAR(Data[[#This Row],[Buchung]])</f>
        <v>2019</v>
      </c>
      <c r="J1792" s="2">
        <f>ABS(Data[[#This Row],[Betrag]])</f>
        <v>60</v>
      </c>
      <c r="K1792" s="66" t="str">
        <f>IF(Data[[#This Row],[Betrag]]&lt;0,"A","E")</f>
        <v>A</v>
      </c>
    </row>
    <row r="1793" spans="1:11" x14ac:dyDescent="0.25">
      <c r="A1793" s="1">
        <v>43796</v>
      </c>
      <c r="B1793" s="66" t="s">
        <v>54</v>
      </c>
      <c r="C1793" s="66" t="s">
        <v>55</v>
      </c>
      <c r="D1793" t="s">
        <v>66</v>
      </c>
      <c r="E1793">
        <v>-80</v>
      </c>
      <c r="F1793" s="66" t="s">
        <v>7</v>
      </c>
      <c r="G1793" s="66" t="s">
        <v>57</v>
      </c>
      <c r="H1793" s="66" t="str">
        <f>TEXT(Data[[#This Row],[Buchung]],"MMM")</f>
        <v>Nov</v>
      </c>
      <c r="I1793" s="67">
        <f>YEAR(Data[[#This Row],[Buchung]])</f>
        <v>2019</v>
      </c>
      <c r="J1793" s="2">
        <f>ABS(Data[[#This Row],[Betrag]])</f>
        <v>80</v>
      </c>
      <c r="K1793" s="66" t="str">
        <f>IF(Data[[#This Row],[Betrag]]&lt;0,"A","E")</f>
        <v>A</v>
      </c>
    </row>
    <row r="1794" spans="1:11" x14ac:dyDescent="0.25">
      <c r="A1794" s="1">
        <v>43797</v>
      </c>
      <c r="B1794" s="66" t="s">
        <v>67</v>
      </c>
      <c r="C1794" s="66" t="s">
        <v>59</v>
      </c>
      <c r="D1794" t="s">
        <v>68</v>
      </c>
      <c r="E1794">
        <v>-30</v>
      </c>
      <c r="F1794" s="66" t="s">
        <v>7</v>
      </c>
      <c r="G1794" s="66" t="s">
        <v>10</v>
      </c>
      <c r="H1794" s="66" t="str">
        <f>TEXT(Data[[#This Row],[Buchung]],"MMM")</f>
        <v>Nov</v>
      </c>
      <c r="I1794" s="67">
        <f>YEAR(Data[[#This Row],[Buchung]])</f>
        <v>2019</v>
      </c>
      <c r="J1794" s="2">
        <f>ABS(Data[[#This Row],[Betrag]])</f>
        <v>30</v>
      </c>
      <c r="K1794" s="66" t="str">
        <f>IF(Data[[#This Row],[Betrag]]&lt;0,"A","E")</f>
        <v>A</v>
      </c>
    </row>
    <row r="1795" spans="1:11" x14ac:dyDescent="0.25">
      <c r="A1795" s="1">
        <v>43798</v>
      </c>
      <c r="B1795" s="66" t="s">
        <v>45</v>
      </c>
      <c r="C1795" s="66" t="s">
        <v>46</v>
      </c>
      <c r="D1795" t="s">
        <v>47</v>
      </c>
      <c r="E1795">
        <v>1000</v>
      </c>
      <c r="F1795" s="66" t="s">
        <v>7</v>
      </c>
      <c r="G1795" s="66" t="s">
        <v>9</v>
      </c>
      <c r="H1795" s="66" t="str">
        <f>TEXT(Data[[#This Row],[Buchung]],"MMM")</f>
        <v>Nov</v>
      </c>
      <c r="I1795" s="67">
        <f>YEAR(Data[[#This Row],[Buchung]])</f>
        <v>2019</v>
      </c>
      <c r="J1795" s="2">
        <f>ABS(Data[[#This Row],[Betrag]])</f>
        <v>1000</v>
      </c>
      <c r="K1795" s="66" t="str">
        <f>IF(Data[[#This Row],[Betrag]]&lt;0,"A","E")</f>
        <v>E</v>
      </c>
    </row>
    <row r="1796" spans="1:11" x14ac:dyDescent="0.25">
      <c r="A1796" s="1">
        <v>43799</v>
      </c>
      <c r="B1796" s="66" t="s">
        <v>48</v>
      </c>
      <c r="C1796" s="66" t="s">
        <v>49</v>
      </c>
      <c r="D1796" t="s">
        <v>50</v>
      </c>
      <c r="E1796">
        <v>-15</v>
      </c>
      <c r="F1796" s="66" t="s">
        <v>7</v>
      </c>
      <c r="G1796" s="66" t="s">
        <v>8</v>
      </c>
      <c r="H1796" s="66" t="str">
        <f>TEXT(Data[[#This Row],[Buchung]],"MMM")</f>
        <v>Nov</v>
      </c>
      <c r="I1796" s="67">
        <f>YEAR(Data[[#This Row],[Buchung]])</f>
        <v>2019</v>
      </c>
      <c r="J1796" s="2">
        <f>ABS(Data[[#This Row],[Betrag]])</f>
        <v>15</v>
      </c>
      <c r="K1796" s="66" t="str">
        <f>IF(Data[[#This Row],[Betrag]]&lt;0,"A","E")</f>
        <v>A</v>
      </c>
    </row>
    <row r="1797" spans="1:11" x14ac:dyDescent="0.25">
      <c r="A1797" s="1">
        <v>43800</v>
      </c>
      <c r="B1797" s="66" t="s">
        <v>51</v>
      </c>
      <c r="C1797" s="66" t="s">
        <v>52</v>
      </c>
      <c r="D1797" t="s">
        <v>53</v>
      </c>
      <c r="E1797">
        <v>-350</v>
      </c>
      <c r="F1797" s="66" t="s">
        <v>7</v>
      </c>
      <c r="G1797" s="66" t="s">
        <v>11</v>
      </c>
      <c r="H1797" s="66" t="str">
        <f>TEXT(Data[[#This Row],[Buchung]],"MMM")</f>
        <v>Dez</v>
      </c>
      <c r="I1797" s="67">
        <f>YEAR(Data[[#This Row],[Buchung]])</f>
        <v>2019</v>
      </c>
      <c r="J1797" s="2">
        <f>ABS(Data[[#This Row],[Betrag]])</f>
        <v>350</v>
      </c>
      <c r="K1797" s="66" t="str">
        <f>IF(Data[[#This Row],[Betrag]]&lt;0,"A","E")</f>
        <v>A</v>
      </c>
    </row>
    <row r="1798" spans="1:11" x14ac:dyDescent="0.25">
      <c r="A1798" s="1">
        <v>43801</v>
      </c>
      <c r="B1798" s="66" t="s">
        <v>54</v>
      </c>
      <c r="C1798" s="66" t="s">
        <v>55</v>
      </c>
      <c r="D1798" t="s">
        <v>56</v>
      </c>
      <c r="E1798">
        <v>-120</v>
      </c>
      <c r="F1798" s="66" t="s">
        <v>7</v>
      </c>
      <c r="G1798" s="66" t="s">
        <v>57</v>
      </c>
      <c r="H1798" s="66" t="str">
        <f>TEXT(Data[[#This Row],[Buchung]],"MMM")</f>
        <v>Dez</v>
      </c>
      <c r="I1798" s="67">
        <f>YEAR(Data[[#This Row],[Buchung]])</f>
        <v>2019</v>
      </c>
      <c r="J1798" s="2">
        <f>ABS(Data[[#This Row],[Betrag]])</f>
        <v>120</v>
      </c>
      <c r="K1798" s="66" t="str">
        <f>IF(Data[[#This Row],[Betrag]]&lt;0,"A","E")</f>
        <v>A</v>
      </c>
    </row>
    <row r="1799" spans="1:11" x14ac:dyDescent="0.25">
      <c r="A1799" s="1">
        <v>43802</v>
      </c>
      <c r="B1799" s="66" t="s">
        <v>58</v>
      </c>
      <c r="C1799" s="66" t="s">
        <v>59</v>
      </c>
      <c r="D1799" t="s">
        <v>60</v>
      </c>
      <c r="E1799">
        <v>-80</v>
      </c>
      <c r="F1799" s="66" t="s">
        <v>7</v>
      </c>
      <c r="G1799" s="66" t="s">
        <v>10</v>
      </c>
      <c r="H1799" s="66" t="str">
        <f>TEXT(Data[[#This Row],[Buchung]],"MMM")</f>
        <v>Dez</v>
      </c>
      <c r="I1799" s="67">
        <f>YEAR(Data[[#This Row],[Buchung]])</f>
        <v>2019</v>
      </c>
      <c r="J1799" s="2">
        <f>ABS(Data[[#This Row],[Betrag]])</f>
        <v>80</v>
      </c>
      <c r="K1799" s="66" t="str">
        <f>IF(Data[[#This Row],[Betrag]]&lt;0,"A","E")</f>
        <v>A</v>
      </c>
    </row>
    <row r="1800" spans="1:11" x14ac:dyDescent="0.25">
      <c r="A1800" s="1">
        <v>43803</v>
      </c>
      <c r="B1800" s="66" t="s">
        <v>45</v>
      </c>
      <c r="C1800" s="66" t="s">
        <v>46</v>
      </c>
      <c r="D1800" t="s">
        <v>47</v>
      </c>
      <c r="E1800">
        <v>1000</v>
      </c>
      <c r="F1800" s="66" t="s">
        <v>7</v>
      </c>
      <c r="G1800" s="66" t="s">
        <v>9</v>
      </c>
      <c r="H1800" s="66" t="str">
        <f>TEXT(Data[[#This Row],[Buchung]],"MMM")</f>
        <v>Dez</v>
      </c>
      <c r="I1800" s="67">
        <f>YEAR(Data[[#This Row],[Buchung]])</f>
        <v>2019</v>
      </c>
      <c r="J1800" s="2">
        <f>ABS(Data[[#This Row],[Betrag]])</f>
        <v>1000</v>
      </c>
      <c r="K1800" s="66" t="str">
        <f>IF(Data[[#This Row],[Betrag]]&lt;0,"A","E")</f>
        <v>E</v>
      </c>
    </row>
    <row r="1801" spans="1:11" x14ac:dyDescent="0.25">
      <c r="A1801" s="1">
        <v>43804</v>
      </c>
      <c r="B1801" s="66" t="s">
        <v>61</v>
      </c>
      <c r="C1801" s="66" t="s">
        <v>49</v>
      </c>
      <c r="D1801" t="s">
        <v>62</v>
      </c>
      <c r="E1801">
        <v>-10</v>
      </c>
      <c r="F1801" s="66" t="s">
        <v>7</v>
      </c>
      <c r="G1801" s="66" t="s">
        <v>8</v>
      </c>
      <c r="H1801" s="66" t="str">
        <f>TEXT(Data[[#This Row],[Buchung]],"MMM")</f>
        <v>Dez</v>
      </c>
      <c r="I1801" s="67">
        <f>YEAR(Data[[#This Row],[Buchung]])</f>
        <v>2019</v>
      </c>
      <c r="J1801" s="2">
        <f>ABS(Data[[#This Row],[Betrag]])</f>
        <v>10</v>
      </c>
      <c r="K1801" s="66" t="str">
        <f>IF(Data[[#This Row],[Betrag]]&lt;0,"A","E")</f>
        <v>A</v>
      </c>
    </row>
    <row r="1802" spans="1:11" x14ac:dyDescent="0.25">
      <c r="A1802" s="1">
        <v>43805</v>
      </c>
      <c r="B1802" s="66" t="s">
        <v>63</v>
      </c>
      <c r="C1802" s="66" t="s">
        <v>64</v>
      </c>
      <c r="D1802" t="s">
        <v>65</v>
      </c>
      <c r="E1802">
        <v>-65</v>
      </c>
      <c r="F1802" s="66" t="s">
        <v>7</v>
      </c>
      <c r="G1802" s="66" t="s">
        <v>11</v>
      </c>
      <c r="H1802" s="66" t="str">
        <f>TEXT(Data[[#This Row],[Buchung]],"MMM")</f>
        <v>Dez</v>
      </c>
      <c r="I1802" s="67">
        <f>YEAR(Data[[#This Row],[Buchung]])</f>
        <v>2019</v>
      </c>
      <c r="J1802" s="2">
        <f>ABS(Data[[#This Row],[Betrag]])</f>
        <v>65</v>
      </c>
      <c r="K1802" s="66" t="str">
        <f>IF(Data[[#This Row],[Betrag]]&lt;0,"A","E")</f>
        <v>A</v>
      </c>
    </row>
    <row r="1803" spans="1:11" x14ac:dyDescent="0.25">
      <c r="A1803" s="1">
        <v>43806</v>
      </c>
      <c r="B1803" s="66" t="s">
        <v>54</v>
      </c>
      <c r="C1803" s="66" t="s">
        <v>55</v>
      </c>
      <c r="D1803" t="s">
        <v>66</v>
      </c>
      <c r="E1803">
        <v>-80</v>
      </c>
      <c r="F1803" s="66" t="s">
        <v>7</v>
      </c>
      <c r="G1803" s="66" t="s">
        <v>57</v>
      </c>
      <c r="H1803" s="66" t="str">
        <f>TEXT(Data[[#This Row],[Buchung]],"MMM")</f>
        <v>Dez</v>
      </c>
      <c r="I1803" s="67">
        <f>YEAR(Data[[#This Row],[Buchung]])</f>
        <v>2019</v>
      </c>
      <c r="J1803" s="2">
        <f>ABS(Data[[#This Row],[Betrag]])</f>
        <v>80</v>
      </c>
      <c r="K1803" s="66" t="str">
        <f>IF(Data[[#This Row],[Betrag]]&lt;0,"A","E")</f>
        <v>A</v>
      </c>
    </row>
    <row r="1804" spans="1:11" x14ac:dyDescent="0.25">
      <c r="A1804" s="1">
        <v>43807</v>
      </c>
      <c r="B1804" s="66" t="s">
        <v>67</v>
      </c>
      <c r="C1804" s="66" t="s">
        <v>59</v>
      </c>
      <c r="D1804" t="s">
        <v>68</v>
      </c>
      <c r="E1804">
        <v>-35</v>
      </c>
      <c r="F1804" s="66" t="s">
        <v>7</v>
      </c>
      <c r="G1804" s="66" t="s">
        <v>10</v>
      </c>
      <c r="H1804" s="66" t="str">
        <f>TEXT(Data[[#This Row],[Buchung]],"MMM")</f>
        <v>Dez</v>
      </c>
      <c r="I1804" s="67">
        <f>YEAR(Data[[#This Row],[Buchung]])</f>
        <v>2019</v>
      </c>
      <c r="J1804" s="2">
        <f>ABS(Data[[#This Row],[Betrag]])</f>
        <v>35</v>
      </c>
      <c r="K1804" s="66" t="str">
        <f>IF(Data[[#This Row],[Betrag]]&lt;0,"A","E")</f>
        <v>A</v>
      </c>
    </row>
    <row r="1805" spans="1:11" x14ac:dyDescent="0.25">
      <c r="A1805" s="1">
        <v>43808</v>
      </c>
      <c r="B1805" s="66" t="s">
        <v>45</v>
      </c>
      <c r="C1805" s="66" t="s">
        <v>46</v>
      </c>
      <c r="D1805" t="s">
        <v>47</v>
      </c>
      <c r="E1805">
        <v>1000</v>
      </c>
      <c r="F1805" s="66" t="s">
        <v>7</v>
      </c>
      <c r="G1805" s="66" t="s">
        <v>9</v>
      </c>
      <c r="H1805" s="66" t="str">
        <f>TEXT(Data[[#This Row],[Buchung]],"MMM")</f>
        <v>Dez</v>
      </c>
      <c r="I1805" s="67">
        <f>YEAR(Data[[#This Row],[Buchung]])</f>
        <v>2019</v>
      </c>
      <c r="J1805" s="2">
        <f>ABS(Data[[#This Row],[Betrag]])</f>
        <v>1000</v>
      </c>
      <c r="K1805" s="66" t="str">
        <f>IF(Data[[#This Row],[Betrag]]&lt;0,"A","E")</f>
        <v>E</v>
      </c>
    </row>
    <row r="1806" spans="1:11" x14ac:dyDescent="0.25">
      <c r="A1806" s="1">
        <v>43809</v>
      </c>
      <c r="B1806" s="66" t="s">
        <v>45</v>
      </c>
      <c r="C1806" s="66" t="s">
        <v>46</v>
      </c>
      <c r="D1806" t="s">
        <v>47</v>
      </c>
      <c r="E1806">
        <v>1000</v>
      </c>
      <c r="F1806" s="66" t="s">
        <v>7</v>
      </c>
      <c r="G1806" s="66" t="s">
        <v>9</v>
      </c>
      <c r="H1806" s="66" t="str">
        <f>TEXT(Data[[#This Row],[Buchung]],"MMM")</f>
        <v>Dez</v>
      </c>
      <c r="I1806" s="67">
        <f>YEAR(Data[[#This Row],[Buchung]])</f>
        <v>2019</v>
      </c>
      <c r="J1806" s="2">
        <f>ABS(Data[[#This Row],[Betrag]])</f>
        <v>1000</v>
      </c>
      <c r="K1806" s="66" t="str">
        <f>IF(Data[[#This Row],[Betrag]]&lt;0,"A","E")</f>
        <v>E</v>
      </c>
    </row>
    <row r="1807" spans="1:11" x14ac:dyDescent="0.25">
      <c r="A1807" s="1">
        <v>43810</v>
      </c>
      <c r="B1807" s="66" t="s">
        <v>48</v>
      </c>
      <c r="C1807" s="66" t="s">
        <v>49</v>
      </c>
      <c r="D1807" t="s">
        <v>50</v>
      </c>
      <c r="E1807">
        <v>-15</v>
      </c>
      <c r="F1807" s="66" t="s">
        <v>7</v>
      </c>
      <c r="G1807" s="66" t="s">
        <v>8</v>
      </c>
      <c r="H1807" s="66" t="str">
        <f>TEXT(Data[[#This Row],[Buchung]],"MMM")</f>
        <v>Dez</v>
      </c>
      <c r="I1807" s="67">
        <f>YEAR(Data[[#This Row],[Buchung]])</f>
        <v>2019</v>
      </c>
      <c r="J1807" s="2">
        <f>ABS(Data[[#This Row],[Betrag]])</f>
        <v>15</v>
      </c>
      <c r="K1807" s="66" t="str">
        <f>IF(Data[[#This Row],[Betrag]]&lt;0,"A","E")</f>
        <v>A</v>
      </c>
    </row>
    <row r="1808" spans="1:11" x14ac:dyDescent="0.25">
      <c r="A1808" s="1">
        <v>43811</v>
      </c>
      <c r="B1808" s="66" t="s">
        <v>51</v>
      </c>
      <c r="C1808" s="66" t="s">
        <v>52</v>
      </c>
      <c r="D1808" t="s">
        <v>53</v>
      </c>
      <c r="E1808">
        <v>-350</v>
      </c>
      <c r="F1808" s="66" t="s">
        <v>7</v>
      </c>
      <c r="G1808" s="66" t="s">
        <v>11</v>
      </c>
      <c r="H1808" s="66" t="str">
        <f>TEXT(Data[[#This Row],[Buchung]],"MMM")</f>
        <v>Dez</v>
      </c>
      <c r="I1808" s="67">
        <f>YEAR(Data[[#This Row],[Buchung]])</f>
        <v>2019</v>
      </c>
      <c r="J1808" s="2">
        <f>ABS(Data[[#This Row],[Betrag]])</f>
        <v>350</v>
      </c>
      <c r="K1808" s="66" t="str">
        <f>IF(Data[[#This Row],[Betrag]]&lt;0,"A","E")</f>
        <v>A</v>
      </c>
    </row>
    <row r="1809" spans="1:11" x14ac:dyDescent="0.25">
      <c r="A1809" s="1">
        <v>43812</v>
      </c>
      <c r="B1809" s="66" t="s">
        <v>54</v>
      </c>
      <c r="C1809" s="66" t="s">
        <v>55</v>
      </c>
      <c r="D1809" t="s">
        <v>56</v>
      </c>
      <c r="E1809">
        <v>-120</v>
      </c>
      <c r="F1809" s="66" t="s">
        <v>7</v>
      </c>
      <c r="G1809" s="66" t="s">
        <v>57</v>
      </c>
      <c r="H1809" s="66" t="str">
        <f>TEXT(Data[[#This Row],[Buchung]],"MMM")</f>
        <v>Dez</v>
      </c>
      <c r="I1809" s="67">
        <f>YEAR(Data[[#This Row],[Buchung]])</f>
        <v>2019</v>
      </c>
      <c r="J1809" s="2">
        <f>ABS(Data[[#This Row],[Betrag]])</f>
        <v>120</v>
      </c>
      <c r="K1809" s="66" t="str">
        <f>IF(Data[[#This Row],[Betrag]]&lt;0,"A","E")</f>
        <v>A</v>
      </c>
    </row>
    <row r="1810" spans="1:11" x14ac:dyDescent="0.25">
      <c r="A1810" s="1">
        <v>43813</v>
      </c>
      <c r="B1810" s="66" t="s">
        <v>58</v>
      </c>
      <c r="C1810" s="66" t="s">
        <v>59</v>
      </c>
      <c r="D1810" t="s">
        <v>60</v>
      </c>
      <c r="E1810">
        <v>-50</v>
      </c>
      <c r="F1810" s="66" t="s">
        <v>7</v>
      </c>
      <c r="G1810" s="66" t="s">
        <v>10</v>
      </c>
      <c r="H1810" s="66" t="str">
        <f>TEXT(Data[[#This Row],[Buchung]],"MMM")</f>
        <v>Dez</v>
      </c>
      <c r="I1810" s="67">
        <f>YEAR(Data[[#This Row],[Buchung]])</f>
        <v>2019</v>
      </c>
      <c r="J1810" s="2">
        <f>ABS(Data[[#This Row],[Betrag]])</f>
        <v>50</v>
      </c>
      <c r="K1810" s="66" t="str">
        <f>IF(Data[[#This Row],[Betrag]]&lt;0,"A","E")</f>
        <v>A</v>
      </c>
    </row>
    <row r="1811" spans="1:11" x14ac:dyDescent="0.25">
      <c r="A1811" s="1">
        <v>43814</v>
      </c>
      <c r="B1811" s="66" t="s">
        <v>45</v>
      </c>
      <c r="C1811" s="66" t="s">
        <v>46</v>
      </c>
      <c r="D1811" t="s">
        <v>47</v>
      </c>
      <c r="E1811">
        <v>1000</v>
      </c>
      <c r="F1811" s="66" t="s">
        <v>7</v>
      </c>
      <c r="G1811" s="66" t="s">
        <v>9</v>
      </c>
      <c r="H1811" s="66" t="str">
        <f>TEXT(Data[[#This Row],[Buchung]],"MMM")</f>
        <v>Dez</v>
      </c>
      <c r="I1811" s="67">
        <f>YEAR(Data[[#This Row],[Buchung]])</f>
        <v>2019</v>
      </c>
      <c r="J1811" s="2">
        <f>ABS(Data[[#This Row],[Betrag]])</f>
        <v>1000</v>
      </c>
      <c r="K1811" s="66" t="str">
        <f>IF(Data[[#This Row],[Betrag]]&lt;0,"A","E")</f>
        <v>E</v>
      </c>
    </row>
    <row r="1812" spans="1:11" x14ac:dyDescent="0.25">
      <c r="A1812" s="1">
        <v>43815</v>
      </c>
      <c r="B1812" s="66" t="s">
        <v>61</v>
      </c>
      <c r="C1812" s="66" t="s">
        <v>49</v>
      </c>
      <c r="D1812" t="s">
        <v>62</v>
      </c>
      <c r="E1812">
        <v>-10</v>
      </c>
      <c r="F1812" s="66" t="s">
        <v>7</v>
      </c>
      <c r="G1812" s="66" t="s">
        <v>8</v>
      </c>
      <c r="H1812" s="66" t="str">
        <f>TEXT(Data[[#This Row],[Buchung]],"MMM")</f>
        <v>Dez</v>
      </c>
      <c r="I1812" s="67">
        <f>YEAR(Data[[#This Row],[Buchung]])</f>
        <v>2019</v>
      </c>
      <c r="J1812" s="2">
        <f>ABS(Data[[#This Row],[Betrag]])</f>
        <v>10</v>
      </c>
      <c r="K1812" s="66" t="str">
        <f>IF(Data[[#This Row],[Betrag]]&lt;0,"A","E")</f>
        <v>A</v>
      </c>
    </row>
    <row r="1813" spans="1:11" x14ac:dyDescent="0.25">
      <c r="A1813" s="1">
        <v>43816</v>
      </c>
      <c r="B1813" s="66" t="s">
        <v>63</v>
      </c>
      <c r="C1813" s="66" t="s">
        <v>64</v>
      </c>
      <c r="D1813" t="s">
        <v>65</v>
      </c>
      <c r="E1813">
        <v>-60</v>
      </c>
      <c r="F1813" s="66" t="s">
        <v>7</v>
      </c>
      <c r="G1813" s="66" t="s">
        <v>11</v>
      </c>
      <c r="H1813" s="66" t="str">
        <f>TEXT(Data[[#This Row],[Buchung]],"MMM")</f>
        <v>Dez</v>
      </c>
      <c r="I1813" s="67">
        <f>YEAR(Data[[#This Row],[Buchung]])</f>
        <v>2019</v>
      </c>
      <c r="J1813" s="2">
        <f>ABS(Data[[#This Row],[Betrag]])</f>
        <v>60</v>
      </c>
      <c r="K1813" s="66" t="str">
        <f>IF(Data[[#This Row],[Betrag]]&lt;0,"A","E")</f>
        <v>A</v>
      </c>
    </row>
    <row r="1814" spans="1:11" x14ac:dyDescent="0.25">
      <c r="A1814" s="1">
        <v>43817</v>
      </c>
      <c r="B1814" s="66" t="s">
        <v>54</v>
      </c>
      <c r="C1814" s="66" t="s">
        <v>55</v>
      </c>
      <c r="D1814" t="s">
        <v>66</v>
      </c>
      <c r="E1814">
        <v>-80</v>
      </c>
      <c r="F1814" s="66" t="s">
        <v>7</v>
      </c>
      <c r="G1814" s="66" t="s">
        <v>57</v>
      </c>
      <c r="H1814" s="66" t="str">
        <f>TEXT(Data[[#This Row],[Buchung]],"MMM")</f>
        <v>Dez</v>
      </c>
      <c r="I1814" s="67">
        <f>YEAR(Data[[#This Row],[Buchung]])</f>
        <v>2019</v>
      </c>
      <c r="J1814" s="2">
        <f>ABS(Data[[#This Row],[Betrag]])</f>
        <v>80</v>
      </c>
      <c r="K1814" s="66" t="str">
        <f>IF(Data[[#This Row],[Betrag]]&lt;0,"A","E")</f>
        <v>A</v>
      </c>
    </row>
    <row r="1815" spans="1:11" x14ac:dyDescent="0.25">
      <c r="A1815" s="1">
        <v>43818</v>
      </c>
      <c r="B1815" s="66" t="s">
        <v>67</v>
      </c>
      <c r="C1815" s="66" t="s">
        <v>59</v>
      </c>
      <c r="D1815" t="s">
        <v>68</v>
      </c>
      <c r="E1815">
        <v>-20</v>
      </c>
      <c r="F1815" s="66" t="s">
        <v>7</v>
      </c>
      <c r="G1815" s="66" t="s">
        <v>10</v>
      </c>
      <c r="H1815" s="66" t="str">
        <f>TEXT(Data[[#This Row],[Buchung]],"MMM")</f>
        <v>Dez</v>
      </c>
      <c r="I1815" s="67">
        <f>YEAR(Data[[#This Row],[Buchung]])</f>
        <v>2019</v>
      </c>
      <c r="J1815" s="2">
        <f>ABS(Data[[#This Row],[Betrag]])</f>
        <v>20</v>
      </c>
      <c r="K1815" s="66" t="str">
        <f>IF(Data[[#This Row],[Betrag]]&lt;0,"A","E")</f>
        <v>A</v>
      </c>
    </row>
    <row r="1816" spans="1:11" x14ac:dyDescent="0.25">
      <c r="A1816" s="1">
        <v>43819</v>
      </c>
      <c r="B1816" s="66" t="s">
        <v>45</v>
      </c>
      <c r="C1816" s="66" t="s">
        <v>46</v>
      </c>
      <c r="D1816" t="s">
        <v>47</v>
      </c>
      <c r="E1816">
        <v>1000</v>
      </c>
      <c r="F1816" s="66" t="s">
        <v>7</v>
      </c>
      <c r="G1816" s="66" t="s">
        <v>9</v>
      </c>
      <c r="H1816" s="66" t="str">
        <f>TEXT(Data[[#This Row],[Buchung]],"MMM")</f>
        <v>Dez</v>
      </c>
      <c r="I1816" s="67">
        <f>YEAR(Data[[#This Row],[Buchung]])</f>
        <v>2019</v>
      </c>
      <c r="J1816" s="2">
        <f>ABS(Data[[#This Row],[Betrag]])</f>
        <v>1000</v>
      </c>
      <c r="K1816" s="66" t="str">
        <f>IF(Data[[#This Row],[Betrag]]&lt;0,"A","E")</f>
        <v>E</v>
      </c>
    </row>
    <row r="1817" spans="1:11" x14ac:dyDescent="0.25">
      <c r="A1817" s="1">
        <v>43820</v>
      </c>
      <c r="B1817" s="66" t="s">
        <v>48</v>
      </c>
      <c r="C1817" s="66" t="s">
        <v>49</v>
      </c>
      <c r="D1817" t="s">
        <v>50</v>
      </c>
      <c r="E1817">
        <v>-15</v>
      </c>
      <c r="F1817" s="66" t="s">
        <v>7</v>
      </c>
      <c r="G1817" s="66" t="s">
        <v>8</v>
      </c>
      <c r="H1817" s="66" t="str">
        <f>TEXT(Data[[#This Row],[Buchung]],"MMM")</f>
        <v>Dez</v>
      </c>
      <c r="I1817" s="67">
        <f>YEAR(Data[[#This Row],[Buchung]])</f>
        <v>2019</v>
      </c>
      <c r="J1817" s="2">
        <f>ABS(Data[[#This Row],[Betrag]])</f>
        <v>15</v>
      </c>
      <c r="K1817" s="66" t="str">
        <f>IF(Data[[#This Row],[Betrag]]&lt;0,"A","E")</f>
        <v>A</v>
      </c>
    </row>
    <row r="1818" spans="1:11" x14ac:dyDescent="0.25">
      <c r="A1818" s="1">
        <v>43821</v>
      </c>
      <c r="B1818" s="66" t="s">
        <v>51</v>
      </c>
      <c r="C1818" s="66" t="s">
        <v>52</v>
      </c>
      <c r="D1818" t="s">
        <v>53</v>
      </c>
      <c r="E1818">
        <v>-350</v>
      </c>
      <c r="F1818" s="66" t="s">
        <v>7</v>
      </c>
      <c r="G1818" s="66" t="s">
        <v>11</v>
      </c>
      <c r="H1818" s="66" t="str">
        <f>TEXT(Data[[#This Row],[Buchung]],"MMM")</f>
        <v>Dez</v>
      </c>
      <c r="I1818" s="67">
        <f>YEAR(Data[[#This Row],[Buchung]])</f>
        <v>2019</v>
      </c>
      <c r="J1818" s="2">
        <f>ABS(Data[[#This Row],[Betrag]])</f>
        <v>350</v>
      </c>
      <c r="K1818" s="66" t="str">
        <f>IF(Data[[#This Row],[Betrag]]&lt;0,"A","E")</f>
        <v>A</v>
      </c>
    </row>
    <row r="1819" spans="1:11" x14ac:dyDescent="0.25">
      <c r="A1819" s="1">
        <v>43822</v>
      </c>
      <c r="B1819" s="66" t="s">
        <v>54</v>
      </c>
      <c r="C1819" s="66" t="s">
        <v>55</v>
      </c>
      <c r="D1819" t="s">
        <v>56</v>
      </c>
      <c r="E1819">
        <v>-120</v>
      </c>
      <c r="F1819" s="66" t="s">
        <v>7</v>
      </c>
      <c r="G1819" s="66" t="s">
        <v>57</v>
      </c>
      <c r="H1819" s="66" t="str">
        <f>TEXT(Data[[#This Row],[Buchung]],"MMM")</f>
        <v>Dez</v>
      </c>
      <c r="I1819" s="67">
        <f>YEAR(Data[[#This Row],[Buchung]])</f>
        <v>2019</v>
      </c>
      <c r="J1819" s="2">
        <f>ABS(Data[[#This Row],[Betrag]])</f>
        <v>120</v>
      </c>
      <c r="K1819" s="66" t="str">
        <f>IF(Data[[#This Row],[Betrag]]&lt;0,"A","E")</f>
        <v>A</v>
      </c>
    </row>
    <row r="1820" spans="1:11" x14ac:dyDescent="0.25">
      <c r="A1820" s="1">
        <v>43823</v>
      </c>
      <c r="B1820" s="66" t="s">
        <v>58</v>
      </c>
      <c r="C1820" s="66" t="s">
        <v>59</v>
      </c>
      <c r="D1820" t="s">
        <v>60</v>
      </c>
      <c r="E1820">
        <v>-60</v>
      </c>
      <c r="F1820" s="66" t="s">
        <v>7</v>
      </c>
      <c r="G1820" s="66" t="s">
        <v>10</v>
      </c>
      <c r="H1820" s="66" t="str">
        <f>TEXT(Data[[#This Row],[Buchung]],"MMM")</f>
        <v>Dez</v>
      </c>
      <c r="I1820" s="67">
        <f>YEAR(Data[[#This Row],[Buchung]])</f>
        <v>2019</v>
      </c>
      <c r="J1820" s="2">
        <f>ABS(Data[[#This Row],[Betrag]])</f>
        <v>60</v>
      </c>
      <c r="K1820" s="66" t="str">
        <f>IF(Data[[#This Row],[Betrag]]&lt;0,"A","E")</f>
        <v>A</v>
      </c>
    </row>
    <row r="1821" spans="1:11" x14ac:dyDescent="0.25">
      <c r="A1821" s="1">
        <v>43824</v>
      </c>
      <c r="B1821" s="66" t="s">
        <v>45</v>
      </c>
      <c r="C1821" s="66" t="s">
        <v>46</v>
      </c>
      <c r="D1821" t="s">
        <v>47</v>
      </c>
      <c r="E1821">
        <v>1000</v>
      </c>
      <c r="F1821" s="66" t="s">
        <v>7</v>
      </c>
      <c r="G1821" s="66" t="s">
        <v>9</v>
      </c>
      <c r="H1821" s="66" t="str">
        <f>TEXT(Data[[#This Row],[Buchung]],"MMM")</f>
        <v>Dez</v>
      </c>
      <c r="I1821" s="67">
        <f>YEAR(Data[[#This Row],[Buchung]])</f>
        <v>2019</v>
      </c>
      <c r="J1821" s="2">
        <f>ABS(Data[[#This Row],[Betrag]])</f>
        <v>1000</v>
      </c>
      <c r="K1821" s="66" t="str">
        <f>IF(Data[[#This Row],[Betrag]]&lt;0,"A","E")</f>
        <v>E</v>
      </c>
    </row>
    <row r="1822" spans="1:11" x14ac:dyDescent="0.25">
      <c r="A1822" s="1">
        <v>43825</v>
      </c>
      <c r="B1822" s="66" t="s">
        <v>61</v>
      </c>
      <c r="C1822" s="66" t="s">
        <v>49</v>
      </c>
      <c r="D1822" t="s">
        <v>62</v>
      </c>
      <c r="E1822">
        <v>-10</v>
      </c>
      <c r="F1822" s="66" t="s">
        <v>7</v>
      </c>
      <c r="G1822" s="66" t="s">
        <v>8</v>
      </c>
      <c r="H1822" s="66" t="str">
        <f>TEXT(Data[[#This Row],[Buchung]],"MMM")</f>
        <v>Dez</v>
      </c>
      <c r="I1822" s="67">
        <f>YEAR(Data[[#This Row],[Buchung]])</f>
        <v>2019</v>
      </c>
      <c r="J1822" s="2">
        <f>ABS(Data[[#This Row],[Betrag]])</f>
        <v>10</v>
      </c>
      <c r="K1822" s="66" t="str">
        <f>IF(Data[[#This Row],[Betrag]]&lt;0,"A","E")</f>
        <v>A</v>
      </c>
    </row>
    <row r="1823" spans="1:11" x14ac:dyDescent="0.25">
      <c r="A1823" s="1">
        <v>43826</v>
      </c>
      <c r="B1823" s="66" t="s">
        <v>63</v>
      </c>
      <c r="C1823" s="66" t="s">
        <v>64</v>
      </c>
      <c r="D1823" t="s">
        <v>65</v>
      </c>
      <c r="E1823">
        <v>-70</v>
      </c>
      <c r="F1823" s="66" t="s">
        <v>7</v>
      </c>
      <c r="G1823" s="66" t="s">
        <v>11</v>
      </c>
      <c r="H1823" s="66" t="str">
        <f>TEXT(Data[[#This Row],[Buchung]],"MMM")</f>
        <v>Dez</v>
      </c>
      <c r="I1823" s="67">
        <f>YEAR(Data[[#This Row],[Buchung]])</f>
        <v>2019</v>
      </c>
      <c r="J1823" s="2">
        <f>ABS(Data[[#This Row],[Betrag]])</f>
        <v>70</v>
      </c>
      <c r="K1823" s="66" t="str">
        <f>IF(Data[[#This Row],[Betrag]]&lt;0,"A","E")</f>
        <v>A</v>
      </c>
    </row>
    <row r="1824" spans="1:11" x14ac:dyDescent="0.25">
      <c r="A1824" s="1">
        <v>43827</v>
      </c>
      <c r="B1824" s="66" t="s">
        <v>54</v>
      </c>
      <c r="C1824" s="66" t="s">
        <v>55</v>
      </c>
      <c r="D1824" t="s">
        <v>66</v>
      </c>
      <c r="E1824">
        <v>-80</v>
      </c>
      <c r="F1824" s="66" t="s">
        <v>7</v>
      </c>
      <c r="G1824" s="66" t="s">
        <v>57</v>
      </c>
      <c r="H1824" s="66" t="str">
        <f>TEXT(Data[[#This Row],[Buchung]],"MMM")</f>
        <v>Dez</v>
      </c>
      <c r="I1824" s="67">
        <f>YEAR(Data[[#This Row],[Buchung]])</f>
        <v>2019</v>
      </c>
      <c r="J1824" s="2">
        <f>ABS(Data[[#This Row],[Betrag]])</f>
        <v>80</v>
      </c>
      <c r="K1824" s="66" t="str">
        <f>IF(Data[[#This Row],[Betrag]]&lt;0,"A","E")</f>
        <v>A</v>
      </c>
    </row>
    <row r="1825" spans="1:11" x14ac:dyDescent="0.25">
      <c r="A1825" s="1">
        <v>43828</v>
      </c>
      <c r="B1825" s="66" t="s">
        <v>67</v>
      </c>
      <c r="C1825" s="66" t="s">
        <v>59</v>
      </c>
      <c r="D1825" t="s">
        <v>68</v>
      </c>
      <c r="E1825">
        <v>-25</v>
      </c>
      <c r="F1825" s="66" t="s">
        <v>7</v>
      </c>
      <c r="G1825" s="66" t="s">
        <v>10</v>
      </c>
      <c r="H1825" s="66" t="str">
        <f>TEXT(Data[[#This Row],[Buchung]],"MMM")</f>
        <v>Dez</v>
      </c>
      <c r="I1825" s="67">
        <f>YEAR(Data[[#This Row],[Buchung]])</f>
        <v>2019</v>
      </c>
      <c r="J1825" s="2">
        <f>ABS(Data[[#This Row],[Betrag]])</f>
        <v>25</v>
      </c>
      <c r="K1825" s="66" t="str">
        <f>IF(Data[[#This Row],[Betrag]]&lt;0,"A","E")</f>
        <v>A</v>
      </c>
    </row>
    <row r="1826" spans="1:11" x14ac:dyDescent="0.25">
      <c r="A1826" s="1">
        <v>43829</v>
      </c>
      <c r="B1826" s="66" t="s">
        <v>45</v>
      </c>
      <c r="C1826" s="66" t="s">
        <v>46</v>
      </c>
      <c r="D1826" t="s">
        <v>47</v>
      </c>
      <c r="E1826">
        <v>1000</v>
      </c>
      <c r="F1826" s="66" t="s">
        <v>7</v>
      </c>
      <c r="G1826" s="66" t="s">
        <v>9</v>
      </c>
      <c r="H1826" s="66" t="str">
        <f>TEXT(Data[[#This Row],[Buchung]],"MMM")</f>
        <v>Dez</v>
      </c>
      <c r="I1826" s="67">
        <f>YEAR(Data[[#This Row],[Buchung]])</f>
        <v>2019</v>
      </c>
      <c r="J1826" s="2">
        <f>ABS(Data[[#This Row],[Betrag]])</f>
        <v>1000</v>
      </c>
      <c r="K1826" s="66" t="str">
        <f>IF(Data[[#This Row],[Betrag]]&lt;0,"A","E")</f>
        <v>E</v>
      </c>
    </row>
    <row r="1827" spans="1:11" x14ac:dyDescent="0.25">
      <c r="A1827" s="1">
        <v>43830</v>
      </c>
      <c r="B1827" s="66" t="s">
        <v>48</v>
      </c>
      <c r="C1827" s="66" t="s">
        <v>49</v>
      </c>
      <c r="D1827" t="s">
        <v>50</v>
      </c>
      <c r="E1827">
        <v>-15</v>
      </c>
      <c r="F1827" s="66" t="s">
        <v>7</v>
      </c>
      <c r="G1827" s="66" t="s">
        <v>8</v>
      </c>
      <c r="H1827" s="66" t="str">
        <f>TEXT(Data[[#This Row],[Buchung]],"MMM")</f>
        <v>Dez</v>
      </c>
      <c r="I1827" s="67">
        <f>YEAR(Data[[#This Row],[Buchung]])</f>
        <v>2019</v>
      </c>
      <c r="J1827" s="2">
        <f>ABS(Data[[#This Row],[Betrag]])</f>
        <v>15</v>
      </c>
      <c r="K1827" s="66" t="str">
        <f>IF(Data[[#This Row],[Betrag]]&lt;0,"A","E")</f>
        <v>A</v>
      </c>
    </row>
    <row r="1828" spans="1:11" x14ac:dyDescent="0.25">
      <c r="A1828" s="1">
        <v>43831</v>
      </c>
      <c r="B1828" s="66" t="s">
        <v>51</v>
      </c>
      <c r="C1828" s="66" t="s">
        <v>52</v>
      </c>
      <c r="D1828" t="s">
        <v>53</v>
      </c>
      <c r="E1828">
        <v>-350</v>
      </c>
      <c r="F1828" s="66" t="s">
        <v>7</v>
      </c>
      <c r="G1828" s="66" t="s">
        <v>11</v>
      </c>
      <c r="H1828" s="66" t="str">
        <f>TEXT(Data[[#This Row],[Buchung]],"MMM")</f>
        <v>Jan</v>
      </c>
      <c r="I1828" s="67">
        <f>YEAR(Data[[#This Row],[Buchung]])</f>
        <v>2020</v>
      </c>
      <c r="J1828" s="2">
        <f>ABS(Data[[#This Row],[Betrag]])</f>
        <v>350</v>
      </c>
      <c r="K1828" s="66" t="str">
        <f>IF(Data[[#This Row],[Betrag]]&lt;0,"A","E")</f>
        <v>A</v>
      </c>
    </row>
    <row r="1829" spans="1:11" x14ac:dyDescent="0.25">
      <c r="A1829" s="1">
        <v>43832</v>
      </c>
      <c r="B1829" s="66" t="s">
        <v>54</v>
      </c>
      <c r="C1829" s="66" t="s">
        <v>55</v>
      </c>
      <c r="D1829" t="s">
        <v>56</v>
      </c>
      <c r="E1829">
        <v>-120</v>
      </c>
      <c r="F1829" s="66" t="s">
        <v>7</v>
      </c>
      <c r="G1829" s="66" t="s">
        <v>57</v>
      </c>
      <c r="H1829" s="66" t="str">
        <f>TEXT(Data[[#This Row],[Buchung]],"MMM")</f>
        <v>Jan</v>
      </c>
      <c r="I1829" s="67">
        <f>YEAR(Data[[#This Row],[Buchung]])</f>
        <v>2020</v>
      </c>
      <c r="J1829" s="2">
        <f>ABS(Data[[#This Row],[Betrag]])</f>
        <v>120</v>
      </c>
      <c r="K1829" s="66" t="str">
        <f>IF(Data[[#This Row],[Betrag]]&lt;0,"A","E")</f>
        <v>A</v>
      </c>
    </row>
    <row r="1830" spans="1:11" x14ac:dyDescent="0.25">
      <c r="A1830" s="1">
        <v>43833</v>
      </c>
      <c r="B1830" s="66" t="s">
        <v>58</v>
      </c>
      <c r="C1830" s="66" t="s">
        <v>59</v>
      </c>
      <c r="D1830" t="s">
        <v>60</v>
      </c>
      <c r="E1830">
        <v>-70</v>
      </c>
      <c r="F1830" s="66" t="s">
        <v>7</v>
      </c>
      <c r="G1830" s="66" t="s">
        <v>10</v>
      </c>
      <c r="H1830" s="66" t="str">
        <f>TEXT(Data[[#This Row],[Buchung]],"MMM")</f>
        <v>Jan</v>
      </c>
      <c r="I1830" s="67">
        <f>YEAR(Data[[#This Row],[Buchung]])</f>
        <v>2020</v>
      </c>
      <c r="J1830" s="2">
        <f>ABS(Data[[#This Row],[Betrag]])</f>
        <v>70</v>
      </c>
      <c r="K1830" s="66" t="str">
        <f>IF(Data[[#This Row],[Betrag]]&lt;0,"A","E")</f>
        <v>A</v>
      </c>
    </row>
    <row r="1831" spans="1:11" x14ac:dyDescent="0.25">
      <c r="A1831" s="1">
        <v>43834</v>
      </c>
      <c r="B1831" s="66" t="s">
        <v>45</v>
      </c>
      <c r="C1831" s="66" t="s">
        <v>46</v>
      </c>
      <c r="D1831" t="s">
        <v>47</v>
      </c>
      <c r="E1831">
        <v>1000</v>
      </c>
      <c r="F1831" s="66" t="s">
        <v>7</v>
      </c>
      <c r="G1831" s="66" t="s">
        <v>9</v>
      </c>
      <c r="H1831" s="66" t="str">
        <f>TEXT(Data[[#This Row],[Buchung]],"MMM")</f>
        <v>Jan</v>
      </c>
      <c r="I1831" s="67">
        <f>YEAR(Data[[#This Row],[Buchung]])</f>
        <v>2020</v>
      </c>
      <c r="J1831" s="2">
        <f>ABS(Data[[#This Row],[Betrag]])</f>
        <v>1000</v>
      </c>
      <c r="K1831" s="66" t="str">
        <f>IF(Data[[#This Row],[Betrag]]&lt;0,"A","E")</f>
        <v>E</v>
      </c>
    </row>
    <row r="1832" spans="1:11" x14ac:dyDescent="0.25">
      <c r="A1832" s="1">
        <v>43835</v>
      </c>
      <c r="B1832" s="66" t="s">
        <v>61</v>
      </c>
      <c r="C1832" s="66" t="s">
        <v>49</v>
      </c>
      <c r="D1832" t="s">
        <v>62</v>
      </c>
      <c r="E1832">
        <v>-10</v>
      </c>
      <c r="F1832" s="66" t="s">
        <v>7</v>
      </c>
      <c r="G1832" s="66" t="s">
        <v>8</v>
      </c>
      <c r="H1832" s="66" t="str">
        <f>TEXT(Data[[#This Row],[Buchung]],"MMM")</f>
        <v>Jan</v>
      </c>
      <c r="I1832" s="67">
        <f>YEAR(Data[[#This Row],[Buchung]])</f>
        <v>2020</v>
      </c>
      <c r="J1832" s="2">
        <f>ABS(Data[[#This Row],[Betrag]])</f>
        <v>10</v>
      </c>
      <c r="K1832" s="66" t="str">
        <f>IF(Data[[#This Row],[Betrag]]&lt;0,"A","E")</f>
        <v>A</v>
      </c>
    </row>
    <row r="1833" spans="1:11" x14ac:dyDescent="0.25">
      <c r="A1833" s="1">
        <v>43836</v>
      </c>
      <c r="B1833" s="66" t="s">
        <v>63</v>
      </c>
      <c r="C1833" s="66" t="s">
        <v>64</v>
      </c>
      <c r="D1833" t="s">
        <v>65</v>
      </c>
      <c r="E1833">
        <v>-60</v>
      </c>
      <c r="F1833" s="66" t="s">
        <v>7</v>
      </c>
      <c r="G1833" s="66" t="s">
        <v>11</v>
      </c>
      <c r="H1833" s="66" t="str">
        <f>TEXT(Data[[#This Row],[Buchung]],"MMM")</f>
        <v>Jan</v>
      </c>
      <c r="I1833" s="67">
        <f>YEAR(Data[[#This Row],[Buchung]])</f>
        <v>2020</v>
      </c>
      <c r="J1833" s="2">
        <f>ABS(Data[[#This Row],[Betrag]])</f>
        <v>60</v>
      </c>
      <c r="K1833" s="66" t="str">
        <f>IF(Data[[#This Row],[Betrag]]&lt;0,"A","E")</f>
        <v>A</v>
      </c>
    </row>
    <row r="1834" spans="1:11" x14ac:dyDescent="0.25">
      <c r="A1834" s="1">
        <v>43837</v>
      </c>
      <c r="B1834" s="66" t="s">
        <v>54</v>
      </c>
      <c r="C1834" s="66" t="s">
        <v>55</v>
      </c>
      <c r="D1834" t="s">
        <v>66</v>
      </c>
      <c r="E1834">
        <v>-80</v>
      </c>
      <c r="F1834" s="66" t="s">
        <v>7</v>
      </c>
      <c r="G1834" s="66" t="s">
        <v>57</v>
      </c>
      <c r="H1834" s="66" t="str">
        <f>TEXT(Data[[#This Row],[Buchung]],"MMM")</f>
        <v>Jan</v>
      </c>
      <c r="I1834" s="67">
        <f>YEAR(Data[[#This Row],[Buchung]])</f>
        <v>2020</v>
      </c>
      <c r="J1834" s="2">
        <f>ABS(Data[[#This Row],[Betrag]])</f>
        <v>80</v>
      </c>
      <c r="K1834" s="66" t="str">
        <f>IF(Data[[#This Row],[Betrag]]&lt;0,"A","E")</f>
        <v>A</v>
      </c>
    </row>
    <row r="1835" spans="1:11" x14ac:dyDescent="0.25">
      <c r="A1835" s="1">
        <v>43838</v>
      </c>
      <c r="B1835" s="66" t="s">
        <v>67</v>
      </c>
      <c r="C1835" s="66" t="s">
        <v>59</v>
      </c>
      <c r="D1835" t="s">
        <v>68</v>
      </c>
      <c r="E1835">
        <v>-30</v>
      </c>
      <c r="F1835" s="66" t="s">
        <v>7</v>
      </c>
      <c r="G1835" s="66" t="s">
        <v>10</v>
      </c>
      <c r="H1835" s="66" t="str">
        <f>TEXT(Data[[#This Row],[Buchung]],"MMM")</f>
        <v>Jan</v>
      </c>
      <c r="I1835" s="67">
        <f>YEAR(Data[[#This Row],[Buchung]])</f>
        <v>2020</v>
      </c>
      <c r="J1835" s="2">
        <f>ABS(Data[[#This Row],[Betrag]])</f>
        <v>30</v>
      </c>
      <c r="K1835" s="66" t="str">
        <f>IF(Data[[#This Row],[Betrag]]&lt;0,"A","E")</f>
        <v>A</v>
      </c>
    </row>
    <row r="1836" spans="1:11" x14ac:dyDescent="0.25">
      <c r="A1836" s="1">
        <v>43839</v>
      </c>
      <c r="B1836" s="66" t="s">
        <v>45</v>
      </c>
      <c r="C1836" s="66" t="s">
        <v>46</v>
      </c>
      <c r="D1836" t="s">
        <v>47</v>
      </c>
      <c r="E1836">
        <v>1000</v>
      </c>
      <c r="F1836" s="66" t="s">
        <v>7</v>
      </c>
      <c r="G1836" s="66" t="s">
        <v>9</v>
      </c>
      <c r="H1836" s="66" t="str">
        <f>TEXT(Data[[#This Row],[Buchung]],"MMM")</f>
        <v>Jan</v>
      </c>
      <c r="I1836" s="67">
        <f>YEAR(Data[[#This Row],[Buchung]])</f>
        <v>2020</v>
      </c>
      <c r="J1836" s="2">
        <f>ABS(Data[[#This Row],[Betrag]])</f>
        <v>1000</v>
      </c>
      <c r="K1836" s="66" t="str">
        <f>IF(Data[[#This Row],[Betrag]]&lt;0,"A","E")</f>
        <v>E</v>
      </c>
    </row>
    <row r="1837" spans="1:11" x14ac:dyDescent="0.25">
      <c r="A1837" s="1">
        <v>43840</v>
      </c>
      <c r="B1837" s="66" t="s">
        <v>48</v>
      </c>
      <c r="C1837" s="66" t="s">
        <v>49</v>
      </c>
      <c r="D1837" t="s">
        <v>50</v>
      </c>
      <c r="E1837">
        <v>-15</v>
      </c>
      <c r="F1837" s="66" t="s">
        <v>7</v>
      </c>
      <c r="G1837" s="66" t="s">
        <v>8</v>
      </c>
      <c r="H1837" s="66" t="str">
        <f>TEXT(Data[[#This Row],[Buchung]],"MMM")</f>
        <v>Jan</v>
      </c>
      <c r="I1837" s="67">
        <f>YEAR(Data[[#This Row],[Buchung]])</f>
        <v>2020</v>
      </c>
      <c r="J1837" s="2">
        <f>ABS(Data[[#This Row],[Betrag]])</f>
        <v>15</v>
      </c>
      <c r="K1837" s="66" t="str">
        <f>IF(Data[[#This Row],[Betrag]]&lt;0,"A","E")</f>
        <v>A</v>
      </c>
    </row>
    <row r="1838" spans="1:11" x14ac:dyDescent="0.25">
      <c r="A1838" s="1">
        <v>43841</v>
      </c>
      <c r="B1838" s="66" t="s">
        <v>51</v>
      </c>
      <c r="C1838" s="66" t="s">
        <v>52</v>
      </c>
      <c r="D1838" t="s">
        <v>53</v>
      </c>
      <c r="E1838">
        <v>-350</v>
      </c>
      <c r="F1838" s="66" t="s">
        <v>7</v>
      </c>
      <c r="G1838" s="66" t="s">
        <v>11</v>
      </c>
      <c r="H1838" s="66" t="str">
        <f>TEXT(Data[[#This Row],[Buchung]],"MMM")</f>
        <v>Jan</v>
      </c>
      <c r="I1838" s="67">
        <f>YEAR(Data[[#This Row],[Buchung]])</f>
        <v>2020</v>
      </c>
      <c r="J1838" s="2">
        <f>ABS(Data[[#This Row],[Betrag]])</f>
        <v>350</v>
      </c>
      <c r="K1838" s="66" t="str">
        <f>IF(Data[[#This Row],[Betrag]]&lt;0,"A","E")</f>
        <v>A</v>
      </c>
    </row>
    <row r="1839" spans="1:11" x14ac:dyDescent="0.25">
      <c r="A1839" s="1">
        <v>43842</v>
      </c>
      <c r="B1839" s="66" t="s">
        <v>54</v>
      </c>
      <c r="C1839" s="66" t="s">
        <v>55</v>
      </c>
      <c r="D1839" t="s">
        <v>56</v>
      </c>
      <c r="E1839">
        <v>-120</v>
      </c>
      <c r="F1839" s="66" t="s">
        <v>7</v>
      </c>
      <c r="G1839" s="66" t="s">
        <v>57</v>
      </c>
      <c r="H1839" s="66" t="str">
        <f>TEXT(Data[[#This Row],[Buchung]],"MMM")</f>
        <v>Jan</v>
      </c>
      <c r="I1839" s="67">
        <f>YEAR(Data[[#This Row],[Buchung]])</f>
        <v>2020</v>
      </c>
      <c r="J1839" s="2">
        <f>ABS(Data[[#This Row],[Betrag]])</f>
        <v>120</v>
      </c>
      <c r="K1839" s="66" t="str">
        <f>IF(Data[[#This Row],[Betrag]]&lt;0,"A","E")</f>
        <v>A</v>
      </c>
    </row>
    <row r="1840" spans="1:11" x14ac:dyDescent="0.25">
      <c r="A1840" s="1">
        <v>43843</v>
      </c>
      <c r="B1840" s="66" t="s">
        <v>58</v>
      </c>
      <c r="C1840" s="66" t="s">
        <v>59</v>
      </c>
      <c r="D1840" t="s">
        <v>60</v>
      </c>
      <c r="E1840">
        <v>-80</v>
      </c>
      <c r="F1840" s="66" t="s">
        <v>7</v>
      </c>
      <c r="G1840" s="66" t="s">
        <v>10</v>
      </c>
      <c r="H1840" s="66" t="str">
        <f>TEXT(Data[[#This Row],[Buchung]],"MMM")</f>
        <v>Jan</v>
      </c>
      <c r="I1840" s="67">
        <f>YEAR(Data[[#This Row],[Buchung]])</f>
        <v>2020</v>
      </c>
      <c r="J1840" s="2">
        <f>ABS(Data[[#This Row],[Betrag]])</f>
        <v>80</v>
      </c>
      <c r="K1840" s="66" t="str">
        <f>IF(Data[[#This Row],[Betrag]]&lt;0,"A","E")</f>
        <v>A</v>
      </c>
    </row>
    <row r="1841" spans="1:11" x14ac:dyDescent="0.25">
      <c r="A1841" s="1">
        <v>43844</v>
      </c>
      <c r="B1841" s="66" t="s">
        <v>45</v>
      </c>
      <c r="C1841" s="66" t="s">
        <v>46</v>
      </c>
      <c r="D1841" t="s">
        <v>47</v>
      </c>
      <c r="E1841">
        <v>1000</v>
      </c>
      <c r="F1841" s="66" t="s">
        <v>7</v>
      </c>
      <c r="G1841" s="66" t="s">
        <v>9</v>
      </c>
      <c r="H1841" s="66" t="str">
        <f>TEXT(Data[[#This Row],[Buchung]],"MMM")</f>
        <v>Jan</v>
      </c>
      <c r="I1841" s="67">
        <f>YEAR(Data[[#This Row],[Buchung]])</f>
        <v>2020</v>
      </c>
      <c r="J1841" s="2">
        <f>ABS(Data[[#This Row],[Betrag]])</f>
        <v>1000</v>
      </c>
      <c r="K1841" s="66" t="str">
        <f>IF(Data[[#This Row],[Betrag]]&lt;0,"A","E")</f>
        <v>E</v>
      </c>
    </row>
    <row r="1842" spans="1:11" x14ac:dyDescent="0.25">
      <c r="A1842" s="1">
        <v>43845</v>
      </c>
      <c r="B1842" s="66" t="s">
        <v>61</v>
      </c>
      <c r="C1842" s="66" t="s">
        <v>49</v>
      </c>
      <c r="D1842" t="s">
        <v>62</v>
      </c>
      <c r="E1842">
        <v>-10</v>
      </c>
      <c r="F1842" s="66" t="s">
        <v>7</v>
      </c>
      <c r="G1842" s="66" t="s">
        <v>8</v>
      </c>
      <c r="H1842" s="66" t="str">
        <f>TEXT(Data[[#This Row],[Buchung]],"MMM")</f>
        <v>Jan</v>
      </c>
      <c r="I1842" s="67">
        <f>YEAR(Data[[#This Row],[Buchung]])</f>
        <v>2020</v>
      </c>
      <c r="J1842" s="2">
        <f>ABS(Data[[#This Row],[Betrag]])</f>
        <v>10</v>
      </c>
      <c r="K1842" s="66" t="str">
        <f>IF(Data[[#This Row],[Betrag]]&lt;0,"A","E")</f>
        <v>A</v>
      </c>
    </row>
    <row r="1843" spans="1:11" x14ac:dyDescent="0.25">
      <c r="A1843" s="1">
        <v>43846</v>
      </c>
      <c r="B1843" s="66" t="s">
        <v>63</v>
      </c>
      <c r="C1843" s="66" t="s">
        <v>64</v>
      </c>
      <c r="D1843" t="s">
        <v>65</v>
      </c>
      <c r="E1843">
        <v>-65</v>
      </c>
      <c r="F1843" s="66" t="s">
        <v>7</v>
      </c>
      <c r="G1843" s="66" t="s">
        <v>11</v>
      </c>
      <c r="H1843" s="66" t="str">
        <f>TEXT(Data[[#This Row],[Buchung]],"MMM")</f>
        <v>Jan</v>
      </c>
      <c r="I1843" s="67">
        <f>YEAR(Data[[#This Row],[Buchung]])</f>
        <v>2020</v>
      </c>
      <c r="J1843" s="2">
        <f>ABS(Data[[#This Row],[Betrag]])</f>
        <v>65</v>
      </c>
      <c r="K1843" s="66" t="str">
        <f>IF(Data[[#This Row],[Betrag]]&lt;0,"A","E")</f>
        <v>A</v>
      </c>
    </row>
    <row r="1844" spans="1:11" x14ac:dyDescent="0.25">
      <c r="A1844" s="1">
        <v>43847</v>
      </c>
      <c r="B1844" s="66" t="s">
        <v>54</v>
      </c>
      <c r="C1844" s="66" t="s">
        <v>55</v>
      </c>
      <c r="D1844" t="s">
        <v>66</v>
      </c>
      <c r="E1844">
        <v>-80</v>
      </c>
      <c r="F1844" s="66" t="s">
        <v>7</v>
      </c>
      <c r="G1844" s="66" t="s">
        <v>57</v>
      </c>
      <c r="H1844" s="66" t="str">
        <f>TEXT(Data[[#This Row],[Buchung]],"MMM")</f>
        <v>Jan</v>
      </c>
      <c r="I1844" s="67">
        <f>YEAR(Data[[#This Row],[Buchung]])</f>
        <v>2020</v>
      </c>
      <c r="J1844" s="2">
        <f>ABS(Data[[#This Row],[Betrag]])</f>
        <v>80</v>
      </c>
      <c r="K1844" s="66" t="str">
        <f>IF(Data[[#This Row],[Betrag]]&lt;0,"A","E")</f>
        <v>A</v>
      </c>
    </row>
    <row r="1845" spans="1:11" x14ac:dyDescent="0.25">
      <c r="A1845" s="1">
        <v>43848</v>
      </c>
      <c r="B1845" s="66" t="s">
        <v>67</v>
      </c>
      <c r="C1845" s="66" t="s">
        <v>59</v>
      </c>
      <c r="D1845" t="s">
        <v>68</v>
      </c>
      <c r="E1845">
        <v>-35</v>
      </c>
      <c r="F1845" s="66" t="s">
        <v>7</v>
      </c>
      <c r="G1845" s="66" t="s">
        <v>10</v>
      </c>
      <c r="H1845" s="66" t="str">
        <f>TEXT(Data[[#This Row],[Buchung]],"MMM")</f>
        <v>Jan</v>
      </c>
      <c r="I1845" s="67">
        <f>YEAR(Data[[#This Row],[Buchung]])</f>
        <v>2020</v>
      </c>
      <c r="J1845" s="2">
        <f>ABS(Data[[#This Row],[Betrag]])</f>
        <v>35</v>
      </c>
      <c r="K1845" s="66" t="str">
        <f>IF(Data[[#This Row],[Betrag]]&lt;0,"A","E")</f>
        <v>A</v>
      </c>
    </row>
    <row r="1846" spans="1:11" x14ac:dyDescent="0.25">
      <c r="A1846" s="1">
        <v>43849</v>
      </c>
      <c r="B1846" s="66" t="s">
        <v>45</v>
      </c>
      <c r="C1846" s="66" t="s">
        <v>46</v>
      </c>
      <c r="D1846" t="s">
        <v>47</v>
      </c>
      <c r="E1846">
        <v>1000</v>
      </c>
      <c r="F1846" s="66" t="s">
        <v>7</v>
      </c>
      <c r="G1846" s="66" t="s">
        <v>9</v>
      </c>
      <c r="H1846" s="66" t="str">
        <f>TEXT(Data[[#This Row],[Buchung]],"MMM")</f>
        <v>Jan</v>
      </c>
      <c r="I1846" s="67">
        <f>YEAR(Data[[#This Row],[Buchung]])</f>
        <v>2020</v>
      </c>
      <c r="J1846" s="2">
        <f>ABS(Data[[#This Row],[Betrag]])</f>
        <v>1000</v>
      </c>
      <c r="K1846" s="66" t="str">
        <f>IF(Data[[#This Row],[Betrag]]&lt;0,"A","E")</f>
        <v>E</v>
      </c>
    </row>
    <row r="1847" spans="1:11" x14ac:dyDescent="0.25">
      <c r="A1847" s="1">
        <v>43850</v>
      </c>
      <c r="B1847" s="66" t="s">
        <v>45</v>
      </c>
      <c r="C1847" s="66" t="s">
        <v>46</v>
      </c>
      <c r="D1847" t="s">
        <v>47</v>
      </c>
      <c r="E1847">
        <v>1000</v>
      </c>
      <c r="F1847" s="66" t="s">
        <v>7</v>
      </c>
      <c r="G1847" s="66" t="s">
        <v>9</v>
      </c>
      <c r="H1847" s="66" t="str">
        <f>TEXT(Data[[#This Row],[Buchung]],"MMM")</f>
        <v>Jan</v>
      </c>
      <c r="I1847" s="67">
        <f>YEAR(Data[[#This Row],[Buchung]])</f>
        <v>2020</v>
      </c>
      <c r="J1847" s="2">
        <f>ABS(Data[[#This Row],[Betrag]])</f>
        <v>1000</v>
      </c>
      <c r="K1847" s="66" t="str">
        <f>IF(Data[[#This Row],[Betrag]]&lt;0,"A","E")</f>
        <v>E</v>
      </c>
    </row>
    <row r="1848" spans="1:11" x14ac:dyDescent="0.25">
      <c r="A1848" s="1">
        <v>43851</v>
      </c>
      <c r="B1848" s="66" t="s">
        <v>48</v>
      </c>
      <c r="C1848" s="66" t="s">
        <v>49</v>
      </c>
      <c r="D1848" t="s">
        <v>50</v>
      </c>
      <c r="E1848">
        <v>-15</v>
      </c>
      <c r="F1848" s="66" t="s">
        <v>7</v>
      </c>
      <c r="G1848" s="66" t="s">
        <v>8</v>
      </c>
      <c r="H1848" s="66" t="str">
        <f>TEXT(Data[[#This Row],[Buchung]],"MMM")</f>
        <v>Jan</v>
      </c>
      <c r="I1848" s="67">
        <f>YEAR(Data[[#This Row],[Buchung]])</f>
        <v>2020</v>
      </c>
      <c r="J1848" s="2">
        <f>ABS(Data[[#This Row],[Betrag]])</f>
        <v>15</v>
      </c>
      <c r="K1848" s="66" t="str">
        <f>IF(Data[[#This Row],[Betrag]]&lt;0,"A","E")</f>
        <v>A</v>
      </c>
    </row>
    <row r="1849" spans="1:11" x14ac:dyDescent="0.25">
      <c r="A1849" s="1">
        <v>43852</v>
      </c>
      <c r="B1849" s="66" t="s">
        <v>51</v>
      </c>
      <c r="C1849" s="66" t="s">
        <v>52</v>
      </c>
      <c r="D1849" t="s">
        <v>53</v>
      </c>
      <c r="E1849">
        <v>-350</v>
      </c>
      <c r="F1849" s="66" t="s">
        <v>7</v>
      </c>
      <c r="G1849" s="66" t="s">
        <v>11</v>
      </c>
      <c r="H1849" s="66" t="str">
        <f>TEXT(Data[[#This Row],[Buchung]],"MMM")</f>
        <v>Jan</v>
      </c>
      <c r="I1849" s="67">
        <f>YEAR(Data[[#This Row],[Buchung]])</f>
        <v>2020</v>
      </c>
      <c r="J1849" s="2">
        <f>ABS(Data[[#This Row],[Betrag]])</f>
        <v>350</v>
      </c>
      <c r="K1849" s="66" t="str">
        <f>IF(Data[[#This Row],[Betrag]]&lt;0,"A","E")</f>
        <v>A</v>
      </c>
    </row>
    <row r="1850" spans="1:11" x14ac:dyDescent="0.25">
      <c r="A1850" s="1">
        <v>43853</v>
      </c>
      <c r="B1850" s="66" t="s">
        <v>54</v>
      </c>
      <c r="C1850" s="66" t="s">
        <v>55</v>
      </c>
      <c r="D1850" t="s">
        <v>56</v>
      </c>
      <c r="E1850">
        <v>-120</v>
      </c>
      <c r="F1850" s="66" t="s">
        <v>7</v>
      </c>
      <c r="G1850" s="66" t="s">
        <v>57</v>
      </c>
      <c r="H1850" s="66" t="str">
        <f>TEXT(Data[[#This Row],[Buchung]],"MMM")</f>
        <v>Jan</v>
      </c>
      <c r="I1850" s="67">
        <f>YEAR(Data[[#This Row],[Buchung]])</f>
        <v>2020</v>
      </c>
      <c r="J1850" s="2">
        <f>ABS(Data[[#This Row],[Betrag]])</f>
        <v>120</v>
      </c>
      <c r="K1850" s="66" t="str">
        <f>IF(Data[[#This Row],[Betrag]]&lt;0,"A","E")</f>
        <v>A</v>
      </c>
    </row>
    <row r="1851" spans="1:11" x14ac:dyDescent="0.25">
      <c r="A1851" s="1">
        <v>43854</v>
      </c>
      <c r="B1851" s="66" t="s">
        <v>58</v>
      </c>
      <c r="C1851" s="66" t="s">
        <v>59</v>
      </c>
      <c r="D1851" t="s">
        <v>60</v>
      </c>
      <c r="E1851">
        <v>-50</v>
      </c>
      <c r="F1851" s="66" t="s">
        <v>7</v>
      </c>
      <c r="G1851" s="66" t="s">
        <v>10</v>
      </c>
      <c r="H1851" s="66" t="str">
        <f>TEXT(Data[[#This Row],[Buchung]],"MMM")</f>
        <v>Jan</v>
      </c>
      <c r="I1851" s="67">
        <f>YEAR(Data[[#This Row],[Buchung]])</f>
        <v>2020</v>
      </c>
      <c r="J1851" s="2">
        <f>ABS(Data[[#This Row],[Betrag]])</f>
        <v>50</v>
      </c>
      <c r="K1851" s="66" t="str">
        <f>IF(Data[[#This Row],[Betrag]]&lt;0,"A","E")</f>
        <v>A</v>
      </c>
    </row>
    <row r="1852" spans="1:11" x14ac:dyDescent="0.25">
      <c r="A1852" s="1">
        <v>43855</v>
      </c>
      <c r="B1852" s="66" t="s">
        <v>45</v>
      </c>
      <c r="C1852" s="66" t="s">
        <v>46</v>
      </c>
      <c r="D1852" t="s">
        <v>47</v>
      </c>
      <c r="E1852">
        <v>1000</v>
      </c>
      <c r="F1852" s="66" t="s">
        <v>7</v>
      </c>
      <c r="G1852" s="66" t="s">
        <v>9</v>
      </c>
      <c r="H1852" s="66" t="str">
        <f>TEXT(Data[[#This Row],[Buchung]],"MMM")</f>
        <v>Jan</v>
      </c>
      <c r="I1852" s="67">
        <f>YEAR(Data[[#This Row],[Buchung]])</f>
        <v>2020</v>
      </c>
      <c r="J1852" s="2">
        <f>ABS(Data[[#This Row],[Betrag]])</f>
        <v>1000</v>
      </c>
      <c r="K1852" s="66" t="str">
        <f>IF(Data[[#This Row],[Betrag]]&lt;0,"A","E")</f>
        <v>E</v>
      </c>
    </row>
    <row r="1853" spans="1:11" x14ac:dyDescent="0.25">
      <c r="A1853" s="1">
        <v>43856</v>
      </c>
      <c r="B1853" s="66" t="s">
        <v>61</v>
      </c>
      <c r="C1853" s="66" t="s">
        <v>49</v>
      </c>
      <c r="D1853" t="s">
        <v>62</v>
      </c>
      <c r="E1853">
        <v>-10</v>
      </c>
      <c r="F1853" s="66" t="s">
        <v>7</v>
      </c>
      <c r="G1853" s="66" t="s">
        <v>8</v>
      </c>
      <c r="H1853" s="66" t="str">
        <f>TEXT(Data[[#This Row],[Buchung]],"MMM")</f>
        <v>Jan</v>
      </c>
      <c r="I1853" s="67">
        <f>YEAR(Data[[#This Row],[Buchung]])</f>
        <v>2020</v>
      </c>
      <c r="J1853" s="2">
        <f>ABS(Data[[#This Row],[Betrag]])</f>
        <v>10</v>
      </c>
      <c r="K1853" s="66" t="str">
        <f>IF(Data[[#This Row],[Betrag]]&lt;0,"A","E")</f>
        <v>A</v>
      </c>
    </row>
    <row r="1854" spans="1:11" x14ac:dyDescent="0.25">
      <c r="A1854" s="1">
        <v>43857</v>
      </c>
      <c r="B1854" s="66" t="s">
        <v>63</v>
      </c>
      <c r="C1854" s="66" t="s">
        <v>64</v>
      </c>
      <c r="D1854" t="s">
        <v>65</v>
      </c>
      <c r="E1854">
        <v>-60</v>
      </c>
      <c r="F1854" s="66" t="s">
        <v>7</v>
      </c>
      <c r="G1854" s="66" t="s">
        <v>11</v>
      </c>
      <c r="H1854" s="66" t="str">
        <f>TEXT(Data[[#This Row],[Buchung]],"MMM")</f>
        <v>Jan</v>
      </c>
      <c r="I1854" s="67">
        <f>YEAR(Data[[#This Row],[Buchung]])</f>
        <v>2020</v>
      </c>
      <c r="J1854" s="2">
        <f>ABS(Data[[#This Row],[Betrag]])</f>
        <v>60</v>
      </c>
      <c r="K1854" s="66" t="str">
        <f>IF(Data[[#This Row],[Betrag]]&lt;0,"A","E")</f>
        <v>A</v>
      </c>
    </row>
    <row r="1855" spans="1:11" x14ac:dyDescent="0.25">
      <c r="A1855" s="1">
        <v>43858</v>
      </c>
      <c r="B1855" s="66" t="s">
        <v>54</v>
      </c>
      <c r="C1855" s="66" t="s">
        <v>55</v>
      </c>
      <c r="D1855" t="s">
        <v>66</v>
      </c>
      <c r="E1855">
        <v>-80</v>
      </c>
      <c r="F1855" s="66" t="s">
        <v>7</v>
      </c>
      <c r="G1855" s="66" t="s">
        <v>57</v>
      </c>
      <c r="H1855" s="66" t="str">
        <f>TEXT(Data[[#This Row],[Buchung]],"MMM")</f>
        <v>Jan</v>
      </c>
      <c r="I1855" s="67">
        <f>YEAR(Data[[#This Row],[Buchung]])</f>
        <v>2020</v>
      </c>
      <c r="J1855" s="2">
        <f>ABS(Data[[#This Row],[Betrag]])</f>
        <v>80</v>
      </c>
      <c r="K1855" s="66" t="str">
        <f>IF(Data[[#This Row],[Betrag]]&lt;0,"A","E")</f>
        <v>A</v>
      </c>
    </row>
    <row r="1856" spans="1:11" x14ac:dyDescent="0.25">
      <c r="A1856" s="1">
        <v>43859</v>
      </c>
      <c r="B1856" s="66" t="s">
        <v>67</v>
      </c>
      <c r="C1856" s="66" t="s">
        <v>59</v>
      </c>
      <c r="D1856" t="s">
        <v>68</v>
      </c>
      <c r="E1856">
        <v>-20</v>
      </c>
      <c r="F1856" s="66" t="s">
        <v>7</v>
      </c>
      <c r="G1856" s="66" t="s">
        <v>10</v>
      </c>
      <c r="H1856" s="66" t="str">
        <f>TEXT(Data[[#This Row],[Buchung]],"MMM")</f>
        <v>Jan</v>
      </c>
      <c r="I1856" s="67">
        <f>YEAR(Data[[#This Row],[Buchung]])</f>
        <v>2020</v>
      </c>
      <c r="J1856" s="2">
        <f>ABS(Data[[#This Row],[Betrag]])</f>
        <v>20</v>
      </c>
      <c r="K1856" s="66" t="str">
        <f>IF(Data[[#This Row],[Betrag]]&lt;0,"A","E")</f>
        <v>A</v>
      </c>
    </row>
    <row r="1857" spans="1:11" x14ac:dyDescent="0.25">
      <c r="A1857" s="1">
        <v>43860</v>
      </c>
      <c r="B1857" s="66" t="s">
        <v>45</v>
      </c>
      <c r="C1857" s="66" t="s">
        <v>46</v>
      </c>
      <c r="D1857" t="s">
        <v>47</v>
      </c>
      <c r="E1857">
        <v>1000</v>
      </c>
      <c r="F1857" s="66" t="s">
        <v>7</v>
      </c>
      <c r="G1857" s="66" t="s">
        <v>9</v>
      </c>
      <c r="H1857" s="66" t="str">
        <f>TEXT(Data[[#This Row],[Buchung]],"MMM")</f>
        <v>Jan</v>
      </c>
      <c r="I1857" s="67">
        <f>YEAR(Data[[#This Row],[Buchung]])</f>
        <v>2020</v>
      </c>
      <c r="J1857" s="2">
        <f>ABS(Data[[#This Row],[Betrag]])</f>
        <v>1000</v>
      </c>
      <c r="K1857" s="66" t="str">
        <f>IF(Data[[#This Row],[Betrag]]&lt;0,"A","E")</f>
        <v>E</v>
      </c>
    </row>
    <row r="1858" spans="1:11" x14ac:dyDescent="0.25">
      <c r="A1858" s="1">
        <v>43861</v>
      </c>
      <c r="B1858" s="66" t="s">
        <v>48</v>
      </c>
      <c r="C1858" s="66" t="s">
        <v>49</v>
      </c>
      <c r="D1858" t="s">
        <v>50</v>
      </c>
      <c r="E1858">
        <v>-15</v>
      </c>
      <c r="F1858" s="66" t="s">
        <v>7</v>
      </c>
      <c r="G1858" s="66" t="s">
        <v>8</v>
      </c>
      <c r="H1858" s="66" t="str">
        <f>TEXT(Data[[#This Row],[Buchung]],"MMM")</f>
        <v>Jan</v>
      </c>
      <c r="I1858" s="67">
        <f>YEAR(Data[[#This Row],[Buchung]])</f>
        <v>2020</v>
      </c>
      <c r="J1858" s="2">
        <f>ABS(Data[[#This Row],[Betrag]])</f>
        <v>15</v>
      </c>
      <c r="K1858" s="66" t="str">
        <f>IF(Data[[#This Row],[Betrag]]&lt;0,"A","E")</f>
        <v>A</v>
      </c>
    </row>
    <row r="1859" spans="1:11" x14ac:dyDescent="0.25">
      <c r="A1859" s="1">
        <v>43862</v>
      </c>
      <c r="B1859" s="66" t="s">
        <v>51</v>
      </c>
      <c r="C1859" s="66" t="s">
        <v>52</v>
      </c>
      <c r="D1859" t="s">
        <v>53</v>
      </c>
      <c r="E1859">
        <v>-350</v>
      </c>
      <c r="F1859" s="66" t="s">
        <v>7</v>
      </c>
      <c r="G1859" s="66" t="s">
        <v>11</v>
      </c>
      <c r="H1859" s="66" t="str">
        <f>TEXT(Data[[#This Row],[Buchung]],"MMM")</f>
        <v>Feb</v>
      </c>
      <c r="I1859" s="67">
        <f>YEAR(Data[[#This Row],[Buchung]])</f>
        <v>2020</v>
      </c>
      <c r="J1859" s="2">
        <f>ABS(Data[[#This Row],[Betrag]])</f>
        <v>350</v>
      </c>
      <c r="K1859" s="66" t="str">
        <f>IF(Data[[#This Row],[Betrag]]&lt;0,"A","E")</f>
        <v>A</v>
      </c>
    </row>
    <row r="1860" spans="1:11" x14ac:dyDescent="0.25">
      <c r="A1860" s="1">
        <v>43863</v>
      </c>
      <c r="B1860" s="66" t="s">
        <v>54</v>
      </c>
      <c r="C1860" s="66" t="s">
        <v>55</v>
      </c>
      <c r="D1860" t="s">
        <v>56</v>
      </c>
      <c r="E1860">
        <v>-120</v>
      </c>
      <c r="F1860" s="66" t="s">
        <v>7</v>
      </c>
      <c r="G1860" s="66" t="s">
        <v>57</v>
      </c>
      <c r="H1860" s="66" t="str">
        <f>TEXT(Data[[#This Row],[Buchung]],"MMM")</f>
        <v>Feb</v>
      </c>
      <c r="I1860" s="67">
        <f>YEAR(Data[[#This Row],[Buchung]])</f>
        <v>2020</v>
      </c>
      <c r="J1860" s="2">
        <f>ABS(Data[[#This Row],[Betrag]])</f>
        <v>120</v>
      </c>
      <c r="K1860" s="66" t="str">
        <f>IF(Data[[#This Row],[Betrag]]&lt;0,"A","E")</f>
        <v>A</v>
      </c>
    </row>
    <row r="1861" spans="1:11" x14ac:dyDescent="0.25">
      <c r="A1861" s="1">
        <v>43864</v>
      </c>
      <c r="B1861" s="66" t="s">
        <v>58</v>
      </c>
      <c r="C1861" s="66" t="s">
        <v>59</v>
      </c>
      <c r="D1861" t="s">
        <v>60</v>
      </c>
      <c r="E1861">
        <v>-60</v>
      </c>
      <c r="F1861" s="66" t="s">
        <v>7</v>
      </c>
      <c r="G1861" s="66" t="s">
        <v>10</v>
      </c>
      <c r="H1861" s="66" t="str">
        <f>TEXT(Data[[#This Row],[Buchung]],"MMM")</f>
        <v>Feb</v>
      </c>
      <c r="I1861" s="67">
        <f>YEAR(Data[[#This Row],[Buchung]])</f>
        <v>2020</v>
      </c>
      <c r="J1861" s="2">
        <f>ABS(Data[[#This Row],[Betrag]])</f>
        <v>60</v>
      </c>
      <c r="K1861" s="66" t="str">
        <f>IF(Data[[#This Row],[Betrag]]&lt;0,"A","E")</f>
        <v>A</v>
      </c>
    </row>
    <row r="1862" spans="1:11" x14ac:dyDescent="0.25">
      <c r="A1862" s="1">
        <v>43865</v>
      </c>
      <c r="B1862" s="66" t="s">
        <v>45</v>
      </c>
      <c r="C1862" s="66" t="s">
        <v>46</v>
      </c>
      <c r="D1862" t="s">
        <v>47</v>
      </c>
      <c r="E1862">
        <v>1000</v>
      </c>
      <c r="F1862" s="66" t="s">
        <v>7</v>
      </c>
      <c r="G1862" s="66" t="s">
        <v>9</v>
      </c>
      <c r="H1862" s="66" t="str">
        <f>TEXT(Data[[#This Row],[Buchung]],"MMM")</f>
        <v>Feb</v>
      </c>
      <c r="I1862" s="67">
        <f>YEAR(Data[[#This Row],[Buchung]])</f>
        <v>2020</v>
      </c>
      <c r="J1862" s="2">
        <f>ABS(Data[[#This Row],[Betrag]])</f>
        <v>1000</v>
      </c>
      <c r="K1862" s="66" t="str">
        <f>IF(Data[[#This Row],[Betrag]]&lt;0,"A","E")</f>
        <v>E</v>
      </c>
    </row>
    <row r="1863" spans="1:11" x14ac:dyDescent="0.25">
      <c r="A1863" s="1">
        <v>43866</v>
      </c>
      <c r="B1863" s="66" t="s">
        <v>61</v>
      </c>
      <c r="C1863" s="66" t="s">
        <v>49</v>
      </c>
      <c r="D1863" t="s">
        <v>62</v>
      </c>
      <c r="E1863">
        <v>-10</v>
      </c>
      <c r="F1863" s="66" t="s">
        <v>7</v>
      </c>
      <c r="G1863" s="66" t="s">
        <v>8</v>
      </c>
      <c r="H1863" s="66" t="str">
        <f>TEXT(Data[[#This Row],[Buchung]],"MMM")</f>
        <v>Feb</v>
      </c>
      <c r="I1863" s="67">
        <f>YEAR(Data[[#This Row],[Buchung]])</f>
        <v>2020</v>
      </c>
      <c r="J1863" s="2">
        <f>ABS(Data[[#This Row],[Betrag]])</f>
        <v>10</v>
      </c>
      <c r="K1863" s="66" t="str">
        <f>IF(Data[[#This Row],[Betrag]]&lt;0,"A","E")</f>
        <v>A</v>
      </c>
    </row>
    <row r="1864" spans="1:11" x14ac:dyDescent="0.25">
      <c r="A1864" s="1">
        <v>43867</v>
      </c>
      <c r="B1864" s="66" t="s">
        <v>63</v>
      </c>
      <c r="C1864" s="66" t="s">
        <v>64</v>
      </c>
      <c r="D1864" t="s">
        <v>65</v>
      </c>
      <c r="E1864">
        <v>-70</v>
      </c>
      <c r="F1864" s="66" t="s">
        <v>7</v>
      </c>
      <c r="G1864" s="66" t="s">
        <v>11</v>
      </c>
      <c r="H1864" s="66" t="str">
        <f>TEXT(Data[[#This Row],[Buchung]],"MMM")</f>
        <v>Feb</v>
      </c>
      <c r="I1864" s="67">
        <f>YEAR(Data[[#This Row],[Buchung]])</f>
        <v>2020</v>
      </c>
      <c r="J1864" s="2">
        <f>ABS(Data[[#This Row],[Betrag]])</f>
        <v>70</v>
      </c>
      <c r="K1864" s="66" t="str">
        <f>IF(Data[[#This Row],[Betrag]]&lt;0,"A","E")</f>
        <v>A</v>
      </c>
    </row>
    <row r="1865" spans="1:11" x14ac:dyDescent="0.25">
      <c r="A1865" s="1">
        <v>43868</v>
      </c>
      <c r="B1865" s="66" t="s">
        <v>54</v>
      </c>
      <c r="C1865" s="66" t="s">
        <v>55</v>
      </c>
      <c r="D1865" t="s">
        <v>66</v>
      </c>
      <c r="E1865">
        <v>-80</v>
      </c>
      <c r="F1865" s="66" t="s">
        <v>7</v>
      </c>
      <c r="G1865" s="66" t="s">
        <v>57</v>
      </c>
      <c r="H1865" s="66" t="str">
        <f>TEXT(Data[[#This Row],[Buchung]],"MMM")</f>
        <v>Feb</v>
      </c>
      <c r="I1865" s="67">
        <f>YEAR(Data[[#This Row],[Buchung]])</f>
        <v>2020</v>
      </c>
      <c r="J1865" s="2">
        <f>ABS(Data[[#This Row],[Betrag]])</f>
        <v>80</v>
      </c>
      <c r="K1865" s="66" t="str">
        <f>IF(Data[[#This Row],[Betrag]]&lt;0,"A","E")</f>
        <v>A</v>
      </c>
    </row>
    <row r="1866" spans="1:11" x14ac:dyDescent="0.25">
      <c r="A1866" s="1">
        <v>43869</v>
      </c>
      <c r="B1866" s="66" t="s">
        <v>67</v>
      </c>
      <c r="C1866" s="66" t="s">
        <v>59</v>
      </c>
      <c r="D1866" t="s">
        <v>68</v>
      </c>
      <c r="E1866">
        <v>-25</v>
      </c>
      <c r="F1866" s="66" t="s">
        <v>7</v>
      </c>
      <c r="G1866" s="66" t="s">
        <v>10</v>
      </c>
      <c r="H1866" s="66" t="str">
        <f>TEXT(Data[[#This Row],[Buchung]],"MMM")</f>
        <v>Feb</v>
      </c>
      <c r="I1866" s="67">
        <f>YEAR(Data[[#This Row],[Buchung]])</f>
        <v>2020</v>
      </c>
      <c r="J1866" s="2">
        <f>ABS(Data[[#This Row],[Betrag]])</f>
        <v>25</v>
      </c>
      <c r="K1866" s="66" t="str">
        <f>IF(Data[[#This Row],[Betrag]]&lt;0,"A","E")</f>
        <v>A</v>
      </c>
    </row>
    <row r="1867" spans="1:11" x14ac:dyDescent="0.25">
      <c r="A1867" s="1">
        <v>43870</v>
      </c>
      <c r="B1867" s="66" t="s">
        <v>45</v>
      </c>
      <c r="C1867" s="66" t="s">
        <v>46</v>
      </c>
      <c r="D1867" t="s">
        <v>47</v>
      </c>
      <c r="E1867">
        <v>1000</v>
      </c>
      <c r="F1867" s="66" t="s">
        <v>7</v>
      </c>
      <c r="G1867" s="66" t="s">
        <v>9</v>
      </c>
      <c r="H1867" s="66" t="str">
        <f>TEXT(Data[[#This Row],[Buchung]],"MMM")</f>
        <v>Feb</v>
      </c>
      <c r="I1867" s="67">
        <f>YEAR(Data[[#This Row],[Buchung]])</f>
        <v>2020</v>
      </c>
      <c r="J1867" s="2">
        <f>ABS(Data[[#This Row],[Betrag]])</f>
        <v>1000</v>
      </c>
      <c r="K1867" s="66" t="str">
        <f>IF(Data[[#This Row],[Betrag]]&lt;0,"A","E")</f>
        <v>E</v>
      </c>
    </row>
    <row r="1868" spans="1:11" x14ac:dyDescent="0.25">
      <c r="A1868" s="1">
        <v>43871</v>
      </c>
      <c r="B1868" s="66" t="s">
        <v>48</v>
      </c>
      <c r="C1868" s="66" t="s">
        <v>49</v>
      </c>
      <c r="D1868" t="s">
        <v>50</v>
      </c>
      <c r="E1868">
        <v>-15</v>
      </c>
      <c r="F1868" s="66" t="s">
        <v>7</v>
      </c>
      <c r="G1868" s="66" t="s">
        <v>8</v>
      </c>
      <c r="H1868" s="66" t="str">
        <f>TEXT(Data[[#This Row],[Buchung]],"MMM")</f>
        <v>Feb</v>
      </c>
      <c r="I1868" s="67">
        <f>YEAR(Data[[#This Row],[Buchung]])</f>
        <v>2020</v>
      </c>
      <c r="J1868" s="2">
        <f>ABS(Data[[#This Row],[Betrag]])</f>
        <v>15</v>
      </c>
      <c r="K1868" s="66" t="str">
        <f>IF(Data[[#This Row],[Betrag]]&lt;0,"A","E")</f>
        <v>A</v>
      </c>
    </row>
    <row r="1869" spans="1:11" x14ac:dyDescent="0.25">
      <c r="A1869" s="1">
        <v>43872</v>
      </c>
      <c r="B1869" s="66" t="s">
        <v>51</v>
      </c>
      <c r="C1869" s="66" t="s">
        <v>52</v>
      </c>
      <c r="D1869" t="s">
        <v>53</v>
      </c>
      <c r="E1869">
        <v>-350</v>
      </c>
      <c r="F1869" s="66" t="s">
        <v>7</v>
      </c>
      <c r="G1869" s="66" t="s">
        <v>11</v>
      </c>
      <c r="H1869" s="66" t="str">
        <f>TEXT(Data[[#This Row],[Buchung]],"MMM")</f>
        <v>Feb</v>
      </c>
      <c r="I1869" s="67">
        <f>YEAR(Data[[#This Row],[Buchung]])</f>
        <v>2020</v>
      </c>
      <c r="J1869" s="2">
        <f>ABS(Data[[#This Row],[Betrag]])</f>
        <v>350</v>
      </c>
      <c r="K1869" s="66" t="str">
        <f>IF(Data[[#This Row],[Betrag]]&lt;0,"A","E")</f>
        <v>A</v>
      </c>
    </row>
    <row r="1870" spans="1:11" x14ac:dyDescent="0.25">
      <c r="A1870" s="1">
        <v>43873</v>
      </c>
      <c r="B1870" s="66" t="s">
        <v>54</v>
      </c>
      <c r="C1870" s="66" t="s">
        <v>55</v>
      </c>
      <c r="D1870" t="s">
        <v>56</v>
      </c>
      <c r="E1870">
        <v>-120</v>
      </c>
      <c r="F1870" s="66" t="s">
        <v>7</v>
      </c>
      <c r="G1870" s="66" t="s">
        <v>57</v>
      </c>
      <c r="H1870" s="66" t="str">
        <f>TEXT(Data[[#This Row],[Buchung]],"MMM")</f>
        <v>Feb</v>
      </c>
      <c r="I1870" s="67">
        <f>YEAR(Data[[#This Row],[Buchung]])</f>
        <v>2020</v>
      </c>
      <c r="J1870" s="2">
        <f>ABS(Data[[#This Row],[Betrag]])</f>
        <v>120</v>
      </c>
      <c r="K1870" s="66" t="str">
        <f>IF(Data[[#This Row],[Betrag]]&lt;0,"A","E")</f>
        <v>A</v>
      </c>
    </row>
    <row r="1871" spans="1:11" x14ac:dyDescent="0.25">
      <c r="A1871" s="1">
        <v>43874</v>
      </c>
      <c r="B1871" s="66" t="s">
        <v>58</v>
      </c>
      <c r="C1871" s="66" t="s">
        <v>59</v>
      </c>
      <c r="D1871" t="s">
        <v>60</v>
      </c>
      <c r="E1871">
        <v>-70</v>
      </c>
      <c r="F1871" s="66" t="s">
        <v>7</v>
      </c>
      <c r="G1871" s="66" t="s">
        <v>10</v>
      </c>
      <c r="H1871" s="66" t="str">
        <f>TEXT(Data[[#This Row],[Buchung]],"MMM")</f>
        <v>Feb</v>
      </c>
      <c r="I1871" s="67">
        <f>YEAR(Data[[#This Row],[Buchung]])</f>
        <v>2020</v>
      </c>
      <c r="J1871" s="2">
        <f>ABS(Data[[#This Row],[Betrag]])</f>
        <v>70</v>
      </c>
      <c r="K1871" s="66" t="str">
        <f>IF(Data[[#This Row],[Betrag]]&lt;0,"A","E")</f>
        <v>A</v>
      </c>
    </row>
    <row r="1872" spans="1:11" x14ac:dyDescent="0.25">
      <c r="A1872" s="1">
        <v>43875</v>
      </c>
      <c r="B1872" s="66" t="s">
        <v>45</v>
      </c>
      <c r="C1872" s="66" t="s">
        <v>46</v>
      </c>
      <c r="D1872" t="s">
        <v>47</v>
      </c>
      <c r="E1872">
        <v>1000</v>
      </c>
      <c r="F1872" s="66" t="s">
        <v>7</v>
      </c>
      <c r="G1872" s="66" t="s">
        <v>9</v>
      </c>
      <c r="H1872" s="66" t="str">
        <f>TEXT(Data[[#This Row],[Buchung]],"MMM")</f>
        <v>Feb</v>
      </c>
      <c r="I1872" s="67">
        <f>YEAR(Data[[#This Row],[Buchung]])</f>
        <v>2020</v>
      </c>
      <c r="J1872" s="2">
        <f>ABS(Data[[#This Row],[Betrag]])</f>
        <v>1000</v>
      </c>
      <c r="K1872" s="66" t="str">
        <f>IF(Data[[#This Row],[Betrag]]&lt;0,"A","E")</f>
        <v>E</v>
      </c>
    </row>
    <row r="1873" spans="1:11" x14ac:dyDescent="0.25">
      <c r="A1873" s="1">
        <v>43876</v>
      </c>
      <c r="B1873" s="66" t="s">
        <v>61</v>
      </c>
      <c r="C1873" s="66" t="s">
        <v>49</v>
      </c>
      <c r="D1873" t="s">
        <v>62</v>
      </c>
      <c r="E1873">
        <v>-10</v>
      </c>
      <c r="F1873" s="66" t="s">
        <v>7</v>
      </c>
      <c r="G1873" s="66" t="s">
        <v>8</v>
      </c>
      <c r="H1873" s="66" t="str">
        <f>TEXT(Data[[#This Row],[Buchung]],"MMM")</f>
        <v>Feb</v>
      </c>
      <c r="I1873" s="67">
        <f>YEAR(Data[[#This Row],[Buchung]])</f>
        <v>2020</v>
      </c>
      <c r="J1873" s="2">
        <f>ABS(Data[[#This Row],[Betrag]])</f>
        <v>10</v>
      </c>
      <c r="K1873" s="66" t="str">
        <f>IF(Data[[#This Row],[Betrag]]&lt;0,"A","E")</f>
        <v>A</v>
      </c>
    </row>
    <row r="1874" spans="1:11" x14ac:dyDescent="0.25">
      <c r="A1874" s="1">
        <v>43877</v>
      </c>
      <c r="B1874" s="66" t="s">
        <v>63</v>
      </c>
      <c r="C1874" s="66" t="s">
        <v>64</v>
      </c>
      <c r="D1874" t="s">
        <v>65</v>
      </c>
      <c r="E1874">
        <v>-60</v>
      </c>
      <c r="F1874" s="66" t="s">
        <v>7</v>
      </c>
      <c r="G1874" s="66" t="s">
        <v>11</v>
      </c>
      <c r="H1874" s="66" t="str">
        <f>TEXT(Data[[#This Row],[Buchung]],"MMM")</f>
        <v>Feb</v>
      </c>
      <c r="I1874" s="67">
        <f>YEAR(Data[[#This Row],[Buchung]])</f>
        <v>2020</v>
      </c>
      <c r="J1874" s="2">
        <f>ABS(Data[[#This Row],[Betrag]])</f>
        <v>60</v>
      </c>
      <c r="K1874" s="66" t="str">
        <f>IF(Data[[#This Row],[Betrag]]&lt;0,"A","E")</f>
        <v>A</v>
      </c>
    </row>
    <row r="1875" spans="1:11" x14ac:dyDescent="0.25">
      <c r="A1875" s="1">
        <v>43878</v>
      </c>
      <c r="B1875" s="66" t="s">
        <v>54</v>
      </c>
      <c r="C1875" s="66" t="s">
        <v>55</v>
      </c>
      <c r="D1875" t="s">
        <v>66</v>
      </c>
      <c r="E1875">
        <v>-80</v>
      </c>
      <c r="F1875" s="66" t="s">
        <v>7</v>
      </c>
      <c r="G1875" s="66" t="s">
        <v>57</v>
      </c>
      <c r="H1875" s="66" t="str">
        <f>TEXT(Data[[#This Row],[Buchung]],"MMM")</f>
        <v>Feb</v>
      </c>
      <c r="I1875" s="67">
        <f>YEAR(Data[[#This Row],[Buchung]])</f>
        <v>2020</v>
      </c>
      <c r="J1875" s="2">
        <f>ABS(Data[[#This Row],[Betrag]])</f>
        <v>80</v>
      </c>
      <c r="K1875" s="66" t="str">
        <f>IF(Data[[#This Row],[Betrag]]&lt;0,"A","E")</f>
        <v>A</v>
      </c>
    </row>
    <row r="1876" spans="1:11" x14ac:dyDescent="0.25">
      <c r="A1876" s="1">
        <v>43879</v>
      </c>
      <c r="B1876" s="66" t="s">
        <v>67</v>
      </c>
      <c r="C1876" s="66" t="s">
        <v>59</v>
      </c>
      <c r="D1876" t="s">
        <v>68</v>
      </c>
      <c r="E1876">
        <v>-30</v>
      </c>
      <c r="F1876" s="66" t="s">
        <v>7</v>
      </c>
      <c r="G1876" s="66" t="s">
        <v>10</v>
      </c>
      <c r="H1876" s="66" t="str">
        <f>TEXT(Data[[#This Row],[Buchung]],"MMM")</f>
        <v>Feb</v>
      </c>
      <c r="I1876" s="67">
        <f>YEAR(Data[[#This Row],[Buchung]])</f>
        <v>2020</v>
      </c>
      <c r="J1876" s="2">
        <f>ABS(Data[[#This Row],[Betrag]])</f>
        <v>30</v>
      </c>
      <c r="K1876" s="66" t="str">
        <f>IF(Data[[#This Row],[Betrag]]&lt;0,"A","E")</f>
        <v>A</v>
      </c>
    </row>
    <row r="1877" spans="1:11" x14ac:dyDescent="0.25">
      <c r="A1877" s="1">
        <v>43880</v>
      </c>
      <c r="B1877" s="66" t="s">
        <v>45</v>
      </c>
      <c r="C1877" s="66" t="s">
        <v>46</v>
      </c>
      <c r="D1877" t="s">
        <v>47</v>
      </c>
      <c r="E1877">
        <v>1000</v>
      </c>
      <c r="F1877" s="66" t="s">
        <v>7</v>
      </c>
      <c r="G1877" s="66" t="s">
        <v>9</v>
      </c>
      <c r="H1877" s="66" t="str">
        <f>TEXT(Data[[#This Row],[Buchung]],"MMM")</f>
        <v>Feb</v>
      </c>
      <c r="I1877" s="67">
        <f>YEAR(Data[[#This Row],[Buchung]])</f>
        <v>2020</v>
      </c>
      <c r="J1877" s="2">
        <f>ABS(Data[[#This Row],[Betrag]])</f>
        <v>1000</v>
      </c>
      <c r="K1877" s="66" t="str">
        <f>IF(Data[[#This Row],[Betrag]]&lt;0,"A","E")</f>
        <v>E</v>
      </c>
    </row>
    <row r="1878" spans="1:11" x14ac:dyDescent="0.25">
      <c r="A1878" s="1">
        <v>43881</v>
      </c>
      <c r="B1878" s="66" t="s">
        <v>48</v>
      </c>
      <c r="C1878" s="66" t="s">
        <v>49</v>
      </c>
      <c r="D1878" t="s">
        <v>50</v>
      </c>
      <c r="E1878">
        <v>-15</v>
      </c>
      <c r="F1878" s="66" t="s">
        <v>7</v>
      </c>
      <c r="G1878" s="66" t="s">
        <v>8</v>
      </c>
      <c r="H1878" s="66" t="str">
        <f>TEXT(Data[[#This Row],[Buchung]],"MMM")</f>
        <v>Feb</v>
      </c>
      <c r="I1878" s="67">
        <f>YEAR(Data[[#This Row],[Buchung]])</f>
        <v>2020</v>
      </c>
      <c r="J1878" s="2">
        <f>ABS(Data[[#This Row],[Betrag]])</f>
        <v>15</v>
      </c>
      <c r="K1878" s="66" t="str">
        <f>IF(Data[[#This Row],[Betrag]]&lt;0,"A","E")</f>
        <v>A</v>
      </c>
    </row>
    <row r="1879" spans="1:11" x14ac:dyDescent="0.25">
      <c r="A1879" s="1">
        <v>43882</v>
      </c>
      <c r="B1879" s="66" t="s">
        <v>51</v>
      </c>
      <c r="C1879" s="66" t="s">
        <v>52</v>
      </c>
      <c r="D1879" t="s">
        <v>53</v>
      </c>
      <c r="E1879">
        <v>-350</v>
      </c>
      <c r="F1879" s="66" t="s">
        <v>7</v>
      </c>
      <c r="G1879" s="66" t="s">
        <v>11</v>
      </c>
      <c r="H1879" s="66" t="str">
        <f>TEXT(Data[[#This Row],[Buchung]],"MMM")</f>
        <v>Feb</v>
      </c>
      <c r="I1879" s="67">
        <f>YEAR(Data[[#This Row],[Buchung]])</f>
        <v>2020</v>
      </c>
      <c r="J1879" s="2">
        <f>ABS(Data[[#This Row],[Betrag]])</f>
        <v>350</v>
      </c>
      <c r="K1879" s="66" t="str">
        <f>IF(Data[[#This Row],[Betrag]]&lt;0,"A","E")</f>
        <v>A</v>
      </c>
    </row>
    <row r="1880" spans="1:11" x14ac:dyDescent="0.25">
      <c r="A1880" s="1">
        <v>43883</v>
      </c>
      <c r="B1880" s="66" t="s">
        <v>54</v>
      </c>
      <c r="C1880" s="66" t="s">
        <v>55</v>
      </c>
      <c r="D1880" t="s">
        <v>56</v>
      </c>
      <c r="E1880">
        <v>-120</v>
      </c>
      <c r="F1880" s="66" t="s">
        <v>7</v>
      </c>
      <c r="G1880" s="66" t="s">
        <v>57</v>
      </c>
      <c r="H1880" s="66" t="str">
        <f>TEXT(Data[[#This Row],[Buchung]],"MMM")</f>
        <v>Feb</v>
      </c>
      <c r="I1880" s="67">
        <f>YEAR(Data[[#This Row],[Buchung]])</f>
        <v>2020</v>
      </c>
      <c r="J1880" s="2">
        <f>ABS(Data[[#This Row],[Betrag]])</f>
        <v>120</v>
      </c>
      <c r="K1880" s="66" t="str">
        <f>IF(Data[[#This Row],[Betrag]]&lt;0,"A","E")</f>
        <v>A</v>
      </c>
    </row>
    <row r="1881" spans="1:11" x14ac:dyDescent="0.25">
      <c r="A1881" s="1">
        <v>43884</v>
      </c>
      <c r="B1881" s="66" t="s">
        <v>58</v>
      </c>
      <c r="C1881" s="66" t="s">
        <v>59</v>
      </c>
      <c r="D1881" t="s">
        <v>60</v>
      </c>
      <c r="E1881">
        <v>-80</v>
      </c>
      <c r="F1881" s="66" t="s">
        <v>7</v>
      </c>
      <c r="G1881" s="66" t="s">
        <v>10</v>
      </c>
      <c r="H1881" s="66" t="str">
        <f>TEXT(Data[[#This Row],[Buchung]],"MMM")</f>
        <v>Feb</v>
      </c>
      <c r="I1881" s="67">
        <f>YEAR(Data[[#This Row],[Buchung]])</f>
        <v>2020</v>
      </c>
      <c r="J1881" s="2">
        <f>ABS(Data[[#This Row],[Betrag]])</f>
        <v>80</v>
      </c>
      <c r="K1881" s="66" t="str">
        <f>IF(Data[[#This Row],[Betrag]]&lt;0,"A","E")</f>
        <v>A</v>
      </c>
    </row>
    <row r="1882" spans="1:11" x14ac:dyDescent="0.25">
      <c r="A1882" s="1">
        <v>43885</v>
      </c>
      <c r="B1882" s="66" t="s">
        <v>45</v>
      </c>
      <c r="C1882" s="66" t="s">
        <v>46</v>
      </c>
      <c r="D1882" t="s">
        <v>47</v>
      </c>
      <c r="E1882">
        <v>1000</v>
      </c>
      <c r="F1882" s="66" t="s">
        <v>7</v>
      </c>
      <c r="G1882" s="66" t="s">
        <v>9</v>
      </c>
      <c r="H1882" s="66" t="str">
        <f>TEXT(Data[[#This Row],[Buchung]],"MMM")</f>
        <v>Feb</v>
      </c>
      <c r="I1882" s="67">
        <f>YEAR(Data[[#This Row],[Buchung]])</f>
        <v>2020</v>
      </c>
      <c r="J1882" s="2">
        <f>ABS(Data[[#This Row],[Betrag]])</f>
        <v>1000</v>
      </c>
      <c r="K1882" s="66" t="str">
        <f>IF(Data[[#This Row],[Betrag]]&lt;0,"A","E")</f>
        <v>E</v>
      </c>
    </row>
    <row r="1883" spans="1:11" x14ac:dyDescent="0.25">
      <c r="A1883" s="1">
        <v>43886</v>
      </c>
      <c r="B1883" s="66" t="s">
        <v>61</v>
      </c>
      <c r="C1883" s="66" t="s">
        <v>49</v>
      </c>
      <c r="D1883" t="s">
        <v>62</v>
      </c>
      <c r="E1883">
        <v>-10</v>
      </c>
      <c r="F1883" s="66" t="s">
        <v>7</v>
      </c>
      <c r="G1883" s="66" t="s">
        <v>8</v>
      </c>
      <c r="H1883" s="66" t="str">
        <f>TEXT(Data[[#This Row],[Buchung]],"MMM")</f>
        <v>Feb</v>
      </c>
      <c r="I1883" s="67">
        <f>YEAR(Data[[#This Row],[Buchung]])</f>
        <v>2020</v>
      </c>
      <c r="J1883" s="2">
        <f>ABS(Data[[#This Row],[Betrag]])</f>
        <v>10</v>
      </c>
      <c r="K1883" s="66" t="str">
        <f>IF(Data[[#This Row],[Betrag]]&lt;0,"A","E")</f>
        <v>A</v>
      </c>
    </row>
    <row r="1884" spans="1:11" x14ac:dyDescent="0.25">
      <c r="A1884" s="1">
        <v>43887</v>
      </c>
      <c r="B1884" s="66" t="s">
        <v>63</v>
      </c>
      <c r="C1884" s="66" t="s">
        <v>64</v>
      </c>
      <c r="D1884" t="s">
        <v>65</v>
      </c>
      <c r="E1884">
        <v>-65</v>
      </c>
      <c r="F1884" s="66" t="s">
        <v>7</v>
      </c>
      <c r="G1884" s="66" t="s">
        <v>11</v>
      </c>
      <c r="H1884" s="66" t="str">
        <f>TEXT(Data[[#This Row],[Buchung]],"MMM")</f>
        <v>Feb</v>
      </c>
      <c r="I1884" s="67">
        <f>YEAR(Data[[#This Row],[Buchung]])</f>
        <v>2020</v>
      </c>
      <c r="J1884" s="2">
        <f>ABS(Data[[#This Row],[Betrag]])</f>
        <v>65</v>
      </c>
      <c r="K1884" s="66" t="str">
        <f>IF(Data[[#This Row],[Betrag]]&lt;0,"A","E")</f>
        <v>A</v>
      </c>
    </row>
    <row r="1885" spans="1:11" x14ac:dyDescent="0.25">
      <c r="A1885" s="1">
        <v>43888</v>
      </c>
      <c r="B1885" s="66" t="s">
        <v>54</v>
      </c>
      <c r="C1885" s="66" t="s">
        <v>55</v>
      </c>
      <c r="D1885" t="s">
        <v>66</v>
      </c>
      <c r="E1885">
        <v>-80</v>
      </c>
      <c r="F1885" s="66" t="s">
        <v>7</v>
      </c>
      <c r="G1885" s="66" t="s">
        <v>57</v>
      </c>
      <c r="H1885" s="66" t="str">
        <f>TEXT(Data[[#This Row],[Buchung]],"MMM")</f>
        <v>Feb</v>
      </c>
      <c r="I1885" s="67">
        <f>YEAR(Data[[#This Row],[Buchung]])</f>
        <v>2020</v>
      </c>
      <c r="J1885" s="2">
        <f>ABS(Data[[#This Row],[Betrag]])</f>
        <v>80</v>
      </c>
      <c r="K1885" s="66" t="str">
        <f>IF(Data[[#This Row],[Betrag]]&lt;0,"A","E")</f>
        <v>A</v>
      </c>
    </row>
    <row r="1886" spans="1:11" x14ac:dyDescent="0.25">
      <c r="A1886" s="1">
        <v>43889</v>
      </c>
      <c r="B1886" s="66" t="s">
        <v>67</v>
      </c>
      <c r="C1886" s="66" t="s">
        <v>59</v>
      </c>
      <c r="D1886" t="s">
        <v>68</v>
      </c>
      <c r="E1886">
        <v>-35</v>
      </c>
      <c r="F1886" s="66" t="s">
        <v>7</v>
      </c>
      <c r="G1886" s="66" t="s">
        <v>10</v>
      </c>
      <c r="H1886" s="66" t="str">
        <f>TEXT(Data[[#This Row],[Buchung]],"MMM")</f>
        <v>Feb</v>
      </c>
      <c r="I1886" s="67">
        <f>YEAR(Data[[#This Row],[Buchung]])</f>
        <v>2020</v>
      </c>
      <c r="J1886" s="2">
        <f>ABS(Data[[#This Row],[Betrag]])</f>
        <v>35</v>
      </c>
      <c r="K1886" s="66" t="str">
        <f>IF(Data[[#This Row],[Betrag]]&lt;0,"A","E")</f>
        <v>A</v>
      </c>
    </row>
    <row r="1887" spans="1:11" x14ac:dyDescent="0.25">
      <c r="A1887" s="1">
        <v>43890</v>
      </c>
      <c r="B1887" s="66" t="s">
        <v>45</v>
      </c>
      <c r="C1887" s="66" t="s">
        <v>46</v>
      </c>
      <c r="D1887" t="s">
        <v>47</v>
      </c>
      <c r="E1887">
        <v>1000</v>
      </c>
      <c r="F1887" s="66" t="s">
        <v>7</v>
      </c>
      <c r="G1887" s="66" t="s">
        <v>9</v>
      </c>
      <c r="H1887" s="66" t="str">
        <f>TEXT(Data[[#This Row],[Buchung]],"MMM")</f>
        <v>Feb</v>
      </c>
      <c r="I1887" s="67">
        <f>YEAR(Data[[#This Row],[Buchung]])</f>
        <v>2020</v>
      </c>
      <c r="J1887" s="2">
        <f>ABS(Data[[#This Row],[Betrag]])</f>
        <v>1000</v>
      </c>
      <c r="K1887" s="66" t="str">
        <f>IF(Data[[#This Row],[Betrag]]&lt;0,"A","E")</f>
        <v>E</v>
      </c>
    </row>
    <row r="1888" spans="1:11" x14ac:dyDescent="0.25">
      <c r="A1888" s="1">
        <v>43891</v>
      </c>
      <c r="B1888" s="66" t="s">
        <v>45</v>
      </c>
      <c r="C1888" s="66" t="s">
        <v>46</v>
      </c>
      <c r="D1888" t="s">
        <v>47</v>
      </c>
      <c r="E1888">
        <v>1000</v>
      </c>
      <c r="F1888" s="66" t="s">
        <v>7</v>
      </c>
      <c r="G1888" s="66" t="s">
        <v>9</v>
      </c>
      <c r="H1888" s="66" t="str">
        <f>TEXT(Data[[#This Row],[Buchung]],"MMM")</f>
        <v>Mrz</v>
      </c>
      <c r="I1888" s="67">
        <f>YEAR(Data[[#This Row],[Buchung]])</f>
        <v>2020</v>
      </c>
      <c r="J1888" s="2">
        <f>ABS(Data[[#This Row],[Betrag]])</f>
        <v>1000</v>
      </c>
      <c r="K1888" s="66" t="str">
        <f>IF(Data[[#This Row],[Betrag]]&lt;0,"A","E")</f>
        <v>E</v>
      </c>
    </row>
    <row r="1889" spans="1:11" x14ac:dyDescent="0.25">
      <c r="A1889" s="1">
        <v>43892</v>
      </c>
      <c r="B1889" s="66" t="s">
        <v>48</v>
      </c>
      <c r="C1889" s="66" t="s">
        <v>49</v>
      </c>
      <c r="D1889" t="s">
        <v>50</v>
      </c>
      <c r="E1889">
        <v>-15</v>
      </c>
      <c r="F1889" s="66" t="s">
        <v>7</v>
      </c>
      <c r="G1889" s="66" t="s">
        <v>8</v>
      </c>
      <c r="H1889" s="66" t="str">
        <f>TEXT(Data[[#This Row],[Buchung]],"MMM")</f>
        <v>Mrz</v>
      </c>
      <c r="I1889" s="67">
        <f>YEAR(Data[[#This Row],[Buchung]])</f>
        <v>2020</v>
      </c>
      <c r="J1889" s="2">
        <f>ABS(Data[[#This Row],[Betrag]])</f>
        <v>15</v>
      </c>
      <c r="K1889" s="66" t="str">
        <f>IF(Data[[#This Row],[Betrag]]&lt;0,"A","E")</f>
        <v>A</v>
      </c>
    </row>
    <row r="1890" spans="1:11" x14ac:dyDescent="0.25">
      <c r="A1890" s="1">
        <v>43893</v>
      </c>
      <c r="B1890" s="66" t="s">
        <v>51</v>
      </c>
      <c r="C1890" s="66" t="s">
        <v>52</v>
      </c>
      <c r="D1890" t="s">
        <v>53</v>
      </c>
      <c r="E1890">
        <v>-350</v>
      </c>
      <c r="F1890" s="66" t="s">
        <v>7</v>
      </c>
      <c r="G1890" s="66" t="s">
        <v>11</v>
      </c>
      <c r="H1890" s="66" t="str">
        <f>TEXT(Data[[#This Row],[Buchung]],"MMM")</f>
        <v>Mrz</v>
      </c>
      <c r="I1890" s="67">
        <f>YEAR(Data[[#This Row],[Buchung]])</f>
        <v>2020</v>
      </c>
      <c r="J1890" s="2">
        <f>ABS(Data[[#This Row],[Betrag]])</f>
        <v>350</v>
      </c>
      <c r="K1890" s="66" t="str">
        <f>IF(Data[[#This Row],[Betrag]]&lt;0,"A","E")</f>
        <v>A</v>
      </c>
    </row>
    <row r="1891" spans="1:11" x14ac:dyDescent="0.25">
      <c r="A1891" s="1">
        <v>43894</v>
      </c>
      <c r="B1891" s="66" t="s">
        <v>54</v>
      </c>
      <c r="C1891" s="66" t="s">
        <v>55</v>
      </c>
      <c r="D1891" t="s">
        <v>56</v>
      </c>
      <c r="E1891">
        <v>-120</v>
      </c>
      <c r="F1891" s="66" t="s">
        <v>7</v>
      </c>
      <c r="G1891" s="66" t="s">
        <v>57</v>
      </c>
      <c r="H1891" s="66" t="str">
        <f>TEXT(Data[[#This Row],[Buchung]],"MMM")</f>
        <v>Mrz</v>
      </c>
      <c r="I1891" s="67">
        <f>YEAR(Data[[#This Row],[Buchung]])</f>
        <v>2020</v>
      </c>
      <c r="J1891" s="2">
        <f>ABS(Data[[#This Row],[Betrag]])</f>
        <v>120</v>
      </c>
      <c r="K1891" s="66" t="str">
        <f>IF(Data[[#This Row],[Betrag]]&lt;0,"A","E")</f>
        <v>A</v>
      </c>
    </row>
    <row r="1892" spans="1:11" x14ac:dyDescent="0.25">
      <c r="A1892" s="1">
        <v>43895</v>
      </c>
      <c r="B1892" s="66" t="s">
        <v>58</v>
      </c>
      <c r="C1892" s="66" t="s">
        <v>59</v>
      </c>
      <c r="D1892" t="s">
        <v>60</v>
      </c>
      <c r="E1892">
        <v>-50</v>
      </c>
      <c r="F1892" s="66" t="s">
        <v>7</v>
      </c>
      <c r="G1892" s="66" t="s">
        <v>10</v>
      </c>
      <c r="H1892" s="66" t="str">
        <f>TEXT(Data[[#This Row],[Buchung]],"MMM")</f>
        <v>Mrz</v>
      </c>
      <c r="I1892" s="67">
        <f>YEAR(Data[[#This Row],[Buchung]])</f>
        <v>2020</v>
      </c>
      <c r="J1892" s="2">
        <f>ABS(Data[[#This Row],[Betrag]])</f>
        <v>50</v>
      </c>
      <c r="K1892" s="66" t="str">
        <f>IF(Data[[#This Row],[Betrag]]&lt;0,"A","E")</f>
        <v>A</v>
      </c>
    </row>
    <row r="1893" spans="1:11" x14ac:dyDescent="0.25">
      <c r="A1893" s="1">
        <v>43896</v>
      </c>
      <c r="B1893" s="66" t="s">
        <v>45</v>
      </c>
      <c r="C1893" s="66" t="s">
        <v>46</v>
      </c>
      <c r="D1893" t="s">
        <v>47</v>
      </c>
      <c r="E1893">
        <v>1000</v>
      </c>
      <c r="F1893" s="66" t="s">
        <v>7</v>
      </c>
      <c r="G1893" s="66" t="s">
        <v>9</v>
      </c>
      <c r="H1893" s="66" t="str">
        <f>TEXT(Data[[#This Row],[Buchung]],"MMM")</f>
        <v>Mrz</v>
      </c>
      <c r="I1893" s="67">
        <f>YEAR(Data[[#This Row],[Buchung]])</f>
        <v>2020</v>
      </c>
      <c r="J1893" s="2">
        <f>ABS(Data[[#This Row],[Betrag]])</f>
        <v>1000</v>
      </c>
      <c r="K1893" s="66" t="str">
        <f>IF(Data[[#This Row],[Betrag]]&lt;0,"A","E")</f>
        <v>E</v>
      </c>
    </row>
    <row r="1894" spans="1:11" x14ac:dyDescent="0.25">
      <c r="A1894" s="1">
        <v>43897</v>
      </c>
      <c r="B1894" s="66" t="s">
        <v>61</v>
      </c>
      <c r="C1894" s="66" t="s">
        <v>49</v>
      </c>
      <c r="D1894" t="s">
        <v>62</v>
      </c>
      <c r="E1894">
        <v>-10</v>
      </c>
      <c r="F1894" s="66" t="s">
        <v>7</v>
      </c>
      <c r="G1894" s="66" t="s">
        <v>8</v>
      </c>
      <c r="H1894" s="66" t="str">
        <f>TEXT(Data[[#This Row],[Buchung]],"MMM")</f>
        <v>Mrz</v>
      </c>
      <c r="I1894" s="67">
        <f>YEAR(Data[[#This Row],[Buchung]])</f>
        <v>2020</v>
      </c>
      <c r="J1894" s="2">
        <f>ABS(Data[[#This Row],[Betrag]])</f>
        <v>10</v>
      </c>
      <c r="K1894" s="66" t="str">
        <f>IF(Data[[#This Row],[Betrag]]&lt;0,"A","E")</f>
        <v>A</v>
      </c>
    </row>
    <row r="1895" spans="1:11" x14ac:dyDescent="0.25">
      <c r="A1895" s="1">
        <v>43898</v>
      </c>
      <c r="B1895" s="66" t="s">
        <v>63</v>
      </c>
      <c r="C1895" s="66" t="s">
        <v>64</v>
      </c>
      <c r="D1895" t="s">
        <v>65</v>
      </c>
      <c r="E1895">
        <v>-60</v>
      </c>
      <c r="F1895" s="66" t="s">
        <v>7</v>
      </c>
      <c r="G1895" s="66" t="s">
        <v>11</v>
      </c>
      <c r="H1895" s="66" t="str">
        <f>TEXT(Data[[#This Row],[Buchung]],"MMM")</f>
        <v>Mrz</v>
      </c>
      <c r="I1895" s="67">
        <f>YEAR(Data[[#This Row],[Buchung]])</f>
        <v>2020</v>
      </c>
      <c r="J1895" s="2">
        <f>ABS(Data[[#This Row],[Betrag]])</f>
        <v>60</v>
      </c>
      <c r="K1895" s="66" t="str">
        <f>IF(Data[[#This Row],[Betrag]]&lt;0,"A","E")</f>
        <v>A</v>
      </c>
    </row>
    <row r="1896" spans="1:11" x14ac:dyDescent="0.25">
      <c r="A1896" s="1">
        <v>43899</v>
      </c>
      <c r="B1896" s="66" t="s">
        <v>54</v>
      </c>
      <c r="C1896" s="66" t="s">
        <v>55</v>
      </c>
      <c r="D1896" t="s">
        <v>66</v>
      </c>
      <c r="E1896">
        <v>-80</v>
      </c>
      <c r="F1896" s="66" t="s">
        <v>7</v>
      </c>
      <c r="G1896" s="66" t="s">
        <v>57</v>
      </c>
      <c r="H1896" s="66" t="str">
        <f>TEXT(Data[[#This Row],[Buchung]],"MMM")</f>
        <v>Mrz</v>
      </c>
      <c r="I1896" s="67">
        <f>YEAR(Data[[#This Row],[Buchung]])</f>
        <v>2020</v>
      </c>
      <c r="J1896" s="2">
        <f>ABS(Data[[#This Row],[Betrag]])</f>
        <v>80</v>
      </c>
      <c r="K1896" s="66" t="str">
        <f>IF(Data[[#This Row],[Betrag]]&lt;0,"A","E")</f>
        <v>A</v>
      </c>
    </row>
    <row r="1897" spans="1:11" x14ac:dyDescent="0.25">
      <c r="A1897" s="1">
        <v>43900</v>
      </c>
      <c r="B1897" s="66" t="s">
        <v>67</v>
      </c>
      <c r="C1897" s="66" t="s">
        <v>59</v>
      </c>
      <c r="D1897" t="s">
        <v>68</v>
      </c>
      <c r="E1897">
        <v>-20</v>
      </c>
      <c r="F1897" s="66" t="s">
        <v>7</v>
      </c>
      <c r="G1897" s="66" t="s">
        <v>10</v>
      </c>
      <c r="H1897" s="66" t="str">
        <f>TEXT(Data[[#This Row],[Buchung]],"MMM")</f>
        <v>Mrz</v>
      </c>
      <c r="I1897" s="67">
        <f>YEAR(Data[[#This Row],[Buchung]])</f>
        <v>2020</v>
      </c>
      <c r="J1897" s="2">
        <f>ABS(Data[[#This Row],[Betrag]])</f>
        <v>20</v>
      </c>
      <c r="K1897" s="66" t="str">
        <f>IF(Data[[#This Row],[Betrag]]&lt;0,"A","E")</f>
        <v>A</v>
      </c>
    </row>
    <row r="1898" spans="1:11" x14ac:dyDescent="0.25">
      <c r="A1898" s="1">
        <v>43901</v>
      </c>
      <c r="B1898" s="66" t="s">
        <v>45</v>
      </c>
      <c r="C1898" s="66" t="s">
        <v>46</v>
      </c>
      <c r="D1898" t="s">
        <v>47</v>
      </c>
      <c r="E1898">
        <v>1000</v>
      </c>
      <c r="F1898" s="66" t="s">
        <v>7</v>
      </c>
      <c r="G1898" s="66" t="s">
        <v>9</v>
      </c>
      <c r="H1898" s="66" t="str">
        <f>TEXT(Data[[#This Row],[Buchung]],"MMM")</f>
        <v>Mrz</v>
      </c>
      <c r="I1898" s="67">
        <f>YEAR(Data[[#This Row],[Buchung]])</f>
        <v>2020</v>
      </c>
      <c r="J1898" s="2">
        <f>ABS(Data[[#This Row],[Betrag]])</f>
        <v>1000</v>
      </c>
      <c r="K1898" s="66" t="str">
        <f>IF(Data[[#This Row],[Betrag]]&lt;0,"A","E")</f>
        <v>E</v>
      </c>
    </row>
    <row r="1899" spans="1:11" x14ac:dyDescent="0.25">
      <c r="A1899" s="1">
        <v>43902</v>
      </c>
      <c r="B1899" s="66" t="s">
        <v>48</v>
      </c>
      <c r="C1899" s="66" t="s">
        <v>49</v>
      </c>
      <c r="D1899" t="s">
        <v>50</v>
      </c>
      <c r="E1899">
        <v>-15</v>
      </c>
      <c r="F1899" s="66" t="s">
        <v>7</v>
      </c>
      <c r="G1899" s="66" t="s">
        <v>8</v>
      </c>
      <c r="H1899" s="66" t="str">
        <f>TEXT(Data[[#This Row],[Buchung]],"MMM")</f>
        <v>Mrz</v>
      </c>
      <c r="I1899" s="67">
        <f>YEAR(Data[[#This Row],[Buchung]])</f>
        <v>2020</v>
      </c>
      <c r="J1899" s="2">
        <f>ABS(Data[[#This Row],[Betrag]])</f>
        <v>15</v>
      </c>
      <c r="K1899" s="66" t="str">
        <f>IF(Data[[#This Row],[Betrag]]&lt;0,"A","E")</f>
        <v>A</v>
      </c>
    </row>
    <row r="1900" spans="1:11" x14ac:dyDescent="0.25">
      <c r="A1900" s="1">
        <v>43903</v>
      </c>
      <c r="B1900" s="66" t="s">
        <v>51</v>
      </c>
      <c r="C1900" s="66" t="s">
        <v>52</v>
      </c>
      <c r="D1900" t="s">
        <v>53</v>
      </c>
      <c r="E1900">
        <v>-350</v>
      </c>
      <c r="F1900" s="66" t="s">
        <v>7</v>
      </c>
      <c r="G1900" s="66" t="s">
        <v>11</v>
      </c>
      <c r="H1900" s="66" t="str">
        <f>TEXT(Data[[#This Row],[Buchung]],"MMM")</f>
        <v>Mrz</v>
      </c>
      <c r="I1900" s="67">
        <f>YEAR(Data[[#This Row],[Buchung]])</f>
        <v>2020</v>
      </c>
      <c r="J1900" s="2">
        <f>ABS(Data[[#This Row],[Betrag]])</f>
        <v>350</v>
      </c>
      <c r="K1900" s="66" t="str">
        <f>IF(Data[[#This Row],[Betrag]]&lt;0,"A","E")</f>
        <v>A</v>
      </c>
    </row>
    <row r="1901" spans="1:11" x14ac:dyDescent="0.25">
      <c r="A1901" s="1">
        <v>43904</v>
      </c>
      <c r="B1901" s="66" t="s">
        <v>54</v>
      </c>
      <c r="C1901" s="66" t="s">
        <v>55</v>
      </c>
      <c r="D1901" t="s">
        <v>56</v>
      </c>
      <c r="E1901">
        <v>-120</v>
      </c>
      <c r="F1901" s="66" t="s">
        <v>7</v>
      </c>
      <c r="G1901" s="66" t="s">
        <v>57</v>
      </c>
      <c r="H1901" s="66" t="str">
        <f>TEXT(Data[[#This Row],[Buchung]],"MMM")</f>
        <v>Mrz</v>
      </c>
      <c r="I1901" s="67">
        <f>YEAR(Data[[#This Row],[Buchung]])</f>
        <v>2020</v>
      </c>
      <c r="J1901" s="2">
        <f>ABS(Data[[#This Row],[Betrag]])</f>
        <v>120</v>
      </c>
      <c r="K1901" s="66" t="str">
        <f>IF(Data[[#This Row],[Betrag]]&lt;0,"A","E")</f>
        <v>A</v>
      </c>
    </row>
    <row r="1902" spans="1:11" x14ac:dyDescent="0.25">
      <c r="A1902" s="1">
        <v>43905</v>
      </c>
      <c r="B1902" s="66" t="s">
        <v>58</v>
      </c>
      <c r="C1902" s="66" t="s">
        <v>59</v>
      </c>
      <c r="D1902" t="s">
        <v>60</v>
      </c>
      <c r="E1902">
        <v>-60</v>
      </c>
      <c r="F1902" s="66" t="s">
        <v>7</v>
      </c>
      <c r="G1902" s="66" t="s">
        <v>10</v>
      </c>
      <c r="H1902" s="66" t="str">
        <f>TEXT(Data[[#This Row],[Buchung]],"MMM")</f>
        <v>Mrz</v>
      </c>
      <c r="I1902" s="67">
        <f>YEAR(Data[[#This Row],[Buchung]])</f>
        <v>2020</v>
      </c>
      <c r="J1902" s="2">
        <f>ABS(Data[[#This Row],[Betrag]])</f>
        <v>60</v>
      </c>
      <c r="K1902" s="66" t="str">
        <f>IF(Data[[#This Row],[Betrag]]&lt;0,"A","E")</f>
        <v>A</v>
      </c>
    </row>
    <row r="1903" spans="1:11" x14ac:dyDescent="0.25">
      <c r="A1903" s="1">
        <v>43906</v>
      </c>
      <c r="B1903" s="66" t="s">
        <v>45</v>
      </c>
      <c r="C1903" s="66" t="s">
        <v>46</v>
      </c>
      <c r="D1903" t="s">
        <v>47</v>
      </c>
      <c r="E1903">
        <v>1000</v>
      </c>
      <c r="F1903" s="66" t="s">
        <v>7</v>
      </c>
      <c r="G1903" s="66" t="s">
        <v>9</v>
      </c>
      <c r="H1903" s="66" t="str">
        <f>TEXT(Data[[#This Row],[Buchung]],"MMM")</f>
        <v>Mrz</v>
      </c>
      <c r="I1903" s="67">
        <f>YEAR(Data[[#This Row],[Buchung]])</f>
        <v>2020</v>
      </c>
      <c r="J1903" s="2">
        <f>ABS(Data[[#This Row],[Betrag]])</f>
        <v>1000</v>
      </c>
      <c r="K1903" s="66" t="str">
        <f>IF(Data[[#This Row],[Betrag]]&lt;0,"A","E")</f>
        <v>E</v>
      </c>
    </row>
    <row r="1904" spans="1:11" x14ac:dyDescent="0.25">
      <c r="A1904" s="1">
        <v>43907</v>
      </c>
      <c r="B1904" s="66" t="s">
        <v>61</v>
      </c>
      <c r="C1904" s="66" t="s">
        <v>49</v>
      </c>
      <c r="D1904" t="s">
        <v>62</v>
      </c>
      <c r="E1904">
        <v>-10</v>
      </c>
      <c r="F1904" s="66" t="s">
        <v>7</v>
      </c>
      <c r="G1904" s="66" t="s">
        <v>8</v>
      </c>
      <c r="H1904" s="66" t="str">
        <f>TEXT(Data[[#This Row],[Buchung]],"MMM")</f>
        <v>Mrz</v>
      </c>
      <c r="I1904" s="67">
        <f>YEAR(Data[[#This Row],[Buchung]])</f>
        <v>2020</v>
      </c>
      <c r="J1904" s="2">
        <f>ABS(Data[[#This Row],[Betrag]])</f>
        <v>10</v>
      </c>
      <c r="K1904" s="66" t="str">
        <f>IF(Data[[#This Row],[Betrag]]&lt;0,"A","E")</f>
        <v>A</v>
      </c>
    </row>
    <row r="1905" spans="1:11" x14ac:dyDescent="0.25">
      <c r="A1905" s="1">
        <v>43908</v>
      </c>
      <c r="B1905" s="66" t="s">
        <v>63</v>
      </c>
      <c r="C1905" s="66" t="s">
        <v>64</v>
      </c>
      <c r="D1905" t="s">
        <v>65</v>
      </c>
      <c r="E1905">
        <v>-70</v>
      </c>
      <c r="F1905" s="66" t="s">
        <v>7</v>
      </c>
      <c r="G1905" s="66" t="s">
        <v>11</v>
      </c>
      <c r="H1905" s="66" t="str">
        <f>TEXT(Data[[#This Row],[Buchung]],"MMM")</f>
        <v>Mrz</v>
      </c>
      <c r="I1905" s="67">
        <f>YEAR(Data[[#This Row],[Buchung]])</f>
        <v>2020</v>
      </c>
      <c r="J1905" s="2">
        <f>ABS(Data[[#This Row],[Betrag]])</f>
        <v>70</v>
      </c>
      <c r="K1905" s="66" t="str">
        <f>IF(Data[[#This Row],[Betrag]]&lt;0,"A","E")</f>
        <v>A</v>
      </c>
    </row>
    <row r="1906" spans="1:11" x14ac:dyDescent="0.25">
      <c r="A1906" s="1">
        <v>43909</v>
      </c>
      <c r="B1906" s="66" t="s">
        <v>54</v>
      </c>
      <c r="C1906" s="66" t="s">
        <v>55</v>
      </c>
      <c r="D1906" t="s">
        <v>66</v>
      </c>
      <c r="E1906">
        <v>-80</v>
      </c>
      <c r="F1906" s="66" t="s">
        <v>7</v>
      </c>
      <c r="G1906" s="66" t="s">
        <v>57</v>
      </c>
      <c r="H1906" s="66" t="str">
        <f>TEXT(Data[[#This Row],[Buchung]],"MMM")</f>
        <v>Mrz</v>
      </c>
      <c r="I1906" s="67">
        <f>YEAR(Data[[#This Row],[Buchung]])</f>
        <v>2020</v>
      </c>
      <c r="J1906" s="2">
        <f>ABS(Data[[#This Row],[Betrag]])</f>
        <v>80</v>
      </c>
      <c r="K1906" s="66" t="str">
        <f>IF(Data[[#This Row],[Betrag]]&lt;0,"A","E")</f>
        <v>A</v>
      </c>
    </row>
    <row r="1907" spans="1:11" x14ac:dyDescent="0.25">
      <c r="A1907" s="1">
        <v>43910</v>
      </c>
      <c r="B1907" s="66" t="s">
        <v>67</v>
      </c>
      <c r="C1907" s="66" t="s">
        <v>59</v>
      </c>
      <c r="D1907" t="s">
        <v>68</v>
      </c>
      <c r="E1907">
        <v>-25</v>
      </c>
      <c r="F1907" s="66" t="s">
        <v>7</v>
      </c>
      <c r="G1907" s="66" t="s">
        <v>10</v>
      </c>
      <c r="H1907" s="66" t="str">
        <f>TEXT(Data[[#This Row],[Buchung]],"MMM")</f>
        <v>Mrz</v>
      </c>
      <c r="I1907" s="67">
        <f>YEAR(Data[[#This Row],[Buchung]])</f>
        <v>2020</v>
      </c>
      <c r="J1907" s="2">
        <f>ABS(Data[[#This Row],[Betrag]])</f>
        <v>25</v>
      </c>
      <c r="K1907" s="66" t="str">
        <f>IF(Data[[#This Row],[Betrag]]&lt;0,"A","E")</f>
        <v>A</v>
      </c>
    </row>
    <row r="1908" spans="1:11" x14ac:dyDescent="0.25">
      <c r="A1908" s="1">
        <v>43911</v>
      </c>
      <c r="B1908" s="66" t="s">
        <v>45</v>
      </c>
      <c r="C1908" s="66" t="s">
        <v>46</v>
      </c>
      <c r="D1908" t="s">
        <v>47</v>
      </c>
      <c r="E1908">
        <v>1000</v>
      </c>
      <c r="F1908" s="66" t="s">
        <v>7</v>
      </c>
      <c r="G1908" s="66" t="s">
        <v>9</v>
      </c>
      <c r="H1908" s="66" t="str">
        <f>TEXT(Data[[#This Row],[Buchung]],"MMM")</f>
        <v>Mrz</v>
      </c>
      <c r="I1908" s="67">
        <f>YEAR(Data[[#This Row],[Buchung]])</f>
        <v>2020</v>
      </c>
      <c r="J1908" s="2">
        <f>ABS(Data[[#This Row],[Betrag]])</f>
        <v>1000</v>
      </c>
      <c r="K1908" s="66" t="str">
        <f>IF(Data[[#This Row],[Betrag]]&lt;0,"A","E")</f>
        <v>E</v>
      </c>
    </row>
    <row r="1909" spans="1:11" x14ac:dyDescent="0.25">
      <c r="A1909" s="1">
        <v>43912</v>
      </c>
      <c r="B1909" s="66" t="s">
        <v>48</v>
      </c>
      <c r="C1909" s="66" t="s">
        <v>49</v>
      </c>
      <c r="D1909" t="s">
        <v>50</v>
      </c>
      <c r="E1909">
        <v>-15</v>
      </c>
      <c r="F1909" s="66" t="s">
        <v>7</v>
      </c>
      <c r="G1909" s="66" t="s">
        <v>8</v>
      </c>
      <c r="H1909" s="66" t="str">
        <f>TEXT(Data[[#This Row],[Buchung]],"MMM")</f>
        <v>Mrz</v>
      </c>
      <c r="I1909" s="67">
        <f>YEAR(Data[[#This Row],[Buchung]])</f>
        <v>2020</v>
      </c>
      <c r="J1909" s="2">
        <f>ABS(Data[[#This Row],[Betrag]])</f>
        <v>15</v>
      </c>
      <c r="K1909" s="66" t="str">
        <f>IF(Data[[#This Row],[Betrag]]&lt;0,"A","E")</f>
        <v>A</v>
      </c>
    </row>
    <row r="1910" spans="1:11" x14ac:dyDescent="0.25">
      <c r="A1910" s="1">
        <v>43913</v>
      </c>
      <c r="B1910" s="66" t="s">
        <v>51</v>
      </c>
      <c r="C1910" s="66" t="s">
        <v>52</v>
      </c>
      <c r="D1910" t="s">
        <v>53</v>
      </c>
      <c r="E1910">
        <v>-350</v>
      </c>
      <c r="F1910" s="66" t="s">
        <v>7</v>
      </c>
      <c r="G1910" s="66" t="s">
        <v>11</v>
      </c>
      <c r="H1910" s="66" t="str">
        <f>TEXT(Data[[#This Row],[Buchung]],"MMM")</f>
        <v>Mrz</v>
      </c>
      <c r="I1910" s="67">
        <f>YEAR(Data[[#This Row],[Buchung]])</f>
        <v>2020</v>
      </c>
      <c r="J1910" s="2">
        <f>ABS(Data[[#This Row],[Betrag]])</f>
        <v>350</v>
      </c>
      <c r="K1910" s="66" t="str">
        <f>IF(Data[[#This Row],[Betrag]]&lt;0,"A","E")</f>
        <v>A</v>
      </c>
    </row>
    <row r="1911" spans="1:11" x14ac:dyDescent="0.25">
      <c r="A1911" s="1">
        <v>43914</v>
      </c>
      <c r="B1911" s="66" t="s">
        <v>54</v>
      </c>
      <c r="C1911" s="66" t="s">
        <v>55</v>
      </c>
      <c r="D1911" t="s">
        <v>56</v>
      </c>
      <c r="E1911">
        <v>-120</v>
      </c>
      <c r="F1911" s="66" t="s">
        <v>7</v>
      </c>
      <c r="G1911" s="66" t="s">
        <v>57</v>
      </c>
      <c r="H1911" s="66" t="str">
        <f>TEXT(Data[[#This Row],[Buchung]],"MMM")</f>
        <v>Mrz</v>
      </c>
      <c r="I1911" s="67">
        <f>YEAR(Data[[#This Row],[Buchung]])</f>
        <v>2020</v>
      </c>
      <c r="J1911" s="2">
        <f>ABS(Data[[#This Row],[Betrag]])</f>
        <v>120</v>
      </c>
      <c r="K1911" s="66" t="str">
        <f>IF(Data[[#This Row],[Betrag]]&lt;0,"A","E")</f>
        <v>A</v>
      </c>
    </row>
    <row r="1912" spans="1:11" x14ac:dyDescent="0.25">
      <c r="A1912" s="1">
        <v>43915</v>
      </c>
      <c r="B1912" s="66" t="s">
        <v>58</v>
      </c>
      <c r="C1912" s="66" t="s">
        <v>59</v>
      </c>
      <c r="D1912" t="s">
        <v>60</v>
      </c>
      <c r="E1912">
        <v>-70</v>
      </c>
      <c r="F1912" s="66" t="s">
        <v>7</v>
      </c>
      <c r="G1912" s="66" t="s">
        <v>10</v>
      </c>
      <c r="H1912" s="66" t="str">
        <f>TEXT(Data[[#This Row],[Buchung]],"MMM")</f>
        <v>Mrz</v>
      </c>
      <c r="I1912" s="67">
        <f>YEAR(Data[[#This Row],[Buchung]])</f>
        <v>2020</v>
      </c>
      <c r="J1912" s="2">
        <f>ABS(Data[[#This Row],[Betrag]])</f>
        <v>70</v>
      </c>
      <c r="K1912" s="66" t="str">
        <f>IF(Data[[#This Row],[Betrag]]&lt;0,"A","E")</f>
        <v>A</v>
      </c>
    </row>
    <row r="1913" spans="1:11" x14ac:dyDescent="0.25">
      <c r="A1913" s="1">
        <v>43916</v>
      </c>
      <c r="B1913" s="66" t="s">
        <v>45</v>
      </c>
      <c r="C1913" s="66" t="s">
        <v>46</v>
      </c>
      <c r="D1913" t="s">
        <v>47</v>
      </c>
      <c r="E1913">
        <v>1000</v>
      </c>
      <c r="F1913" s="66" t="s">
        <v>7</v>
      </c>
      <c r="G1913" s="66" t="s">
        <v>9</v>
      </c>
      <c r="H1913" s="66" t="str">
        <f>TEXT(Data[[#This Row],[Buchung]],"MMM")</f>
        <v>Mrz</v>
      </c>
      <c r="I1913" s="67">
        <f>YEAR(Data[[#This Row],[Buchung]])</f>
        <v>2020</v>
      </c>
      <c r="J1913" s="2">
        <f>ABS(Data[[#This Row],[Betrag]])</f>
        <v>1000</v>
      </c>
      <c r="K1913" s="66" t="str">
        <f>IF(Data[[#This Row],[Betrag]]&lt;0,"A","E")</f>
        <v>E</v>
      </c>
    </row>
    <row r="1914" spans="1:11" x14ac:dyDescent="0.25">
      <c r="A1914" s="1">
        <v>43917</v>
      </c>
      <c r="B1914" s="66" t="s">
        <v>61</v>
      </c>
      <c r="C1914" s="66" t="s">
        <v>49</v>
      </c>
      <c r="D1914" t="s">
        <v>62</v>
      </c>
      <c r="E1914">
        <v>-10</v>
      </c>
      <c r="F1914" s="66" t="s">
        <v>7</v>
      </c>
      <c r="G1914" s="66" t="s">
        <v>8</v>
      </c>
      <c r="H1914" s="66" t="str">
        <f>TEXT(Data[[#This Row],[Buchung]],"MMM")</f>
        <v>Mrz</v>
      </c>
      <c r="I1914" s="67">
        <f>YEAR(Data[[#This Row],[Buchung]])</f>
        <v>2020</v>
      </c>
      <c r="J1914" s="2">
        <f>ABS(Data[[#This Row],[Betrag]])</f>
        <v>10</v>
      </c>
      <c r="K1914" s="66" t="str">
        <f>IF(Data[[#This Row],[Betrag]]&lt;0,"A","E")</f>
        <v>A</v>
      </c>
    </row>
    <row r="1915" spans="1:11" x14ac:dyDescent="0.25">
      <c r="A1915" s="1">
        <v>43918</v>
      </c>
      <c r="B1915" s="66" t="s">
        <v>63</v>
      </c>
      <c r="C1915" s="66" t="s">
        <v>64</v>
      </c>
      <c r="D1915" t="s">
        <v>65</v>
      </c>
      <c r="E1915">
        <v>-60</v>
      </c>
      <c r="F1915" s="66" t="s">
        <v>7</v>
      </c>
      <c r="G1915" s="66" t="s">
        <v>11</v>
      </c>
      <c r="H1915" s="66" t="str">
        <f>TEXT(Data[[#This Row],[Buchung]],"MMM")</f>
        <v>Mrz</v>
      </c>
      <c r="I1915" s="67">
        <f>YEAR(Data[[#This Row],[Buchung]])</f>
        <v>2020</v>
      </c>
      <c r="J1915" s="2">
        <f>ABS(Data[[#This Row],[Betrag]])</f>
        <v>60</v>
      </c>
      <c r="K1915" s="66" t="str">
        <f>IF(Data[[#This Row],[Betrag]]&lt;0,"A","E")</f>
        <v>A</v>
      </c>
    </row>
    <row r="1916" spans="1:11" x14ac:dyDescent="0.25">
      <c r="A1916" s="1">
        <v>43919</v>
      </c>
      <c r="B1916" s="66" t="s">
        <v>54</v>
      </c>
      <c r="C1916" s="66" t="s">
        <v>55</v>
      </c>
      <c r="D1916" t="s">
        <v>66</v>
      </c>
      <c r="E1916">
        <v>-80</v>
      </c>
      <c r="F1916" s="66" t="s">
        <v>7</v>
      </c>
      <c r="G1916" s="66" t="s">
        <v>57</v>
      </c>
      <c r="H1916" s="66" t="str">
        <f>TEXT(Data[[#This Row],[Buchung]],"MMM")</f>
        <v>Mrz</v>
      </c>
      <c r="I1916" s="67">
        <f>YEAR(Data[[#This Row],[Buchung]])</f>
        <v>2020</v>
      </c>
      <c r="J1916" s="2">
        <f>ABS(Data[[#This Row],[Betrag]])</f>
        <v>80</v>
      </c>
      <c r="K1916" s="66" t="str">
        <f>IF(Data[[#This Row],[Betrag]]&lt;0,"A","E")</f>
        <v>A</v>
      </c>
    </row>
    <row r="1917" spans="1:11" x14ac:dyDescent="0.25">
      <c r="A1917" s="1">
        <v>43920</v>
      </c>
      <c r="B1917" s="66" t="s">
        <v>67</v>
      </c>
      <c r="C1917" s="66" t="s">
        <v>59</v>
      </c>
      <c r="D1917" t="s">
        <v>68</v>
      </c>
      <c r="E1917">
        <v>-30</v>
      </c>
      <c r="F1917" s="66" t="s">
        <v>7</v>
      </c>
      <c r="G1917" s="66" t="s">
        <v>10</v>
      </c>
      <c r="H1917" s="66" t="str">
        <f>TEXT(Data[[#This Row],[Buchung]],"MMM")</f>
        <v>Mrz</v>
      </c>
      <c r="I1917" s="67">
        <f>YEAR(Data[[#This Row],[Buchung]])</f>
        <v>2020</v>
      </c>
      <c r="J1917" s="2">
        <f>ABS(Data[[#This Row],[Betrag]])</f>
        <v>30</v>
      </c>
      <c r="K1917" s="66" t="str">
        <f>IF(Data[[#This Row],[Betrag]]&lt;0,"A","E")</f>
        <v>A</v>
      </c>
    </row>
    <row r="1918" spans="1:11" x14ac:dyDescent="0.25">
      <c r="A1918" s="1">
        <v>43921</v>
      </c>
      <c r="B1918" s="66" t="s">
        <v>45</v>
      </c>
      <c r="C1918" s="66" t="s">
        <v>46</v>
      </c>
      <c r="D1918" t="s">
        <v>47</v>
      </c>
      <c r="E1918">
        <v>1000</v>
      </c>
      <c r="F1918" s="66" t="s">
        <v>7</v>
      </c>
      <c r="G1918" s="66" t="s">
        <v>9</v>
      </c>
      <c r="H1918" s="66" t="str">
        <f>TEXT(Data[[#This Row],[Buchung]],"MMM")</f>
        <v>Mrz</v>
      </c>
      <c r="I1918" s="67">
        <f>YEAR(Data[[#This Row],[Buchung]])</f>
        <v>2020</v>
      </c>
      <c r="J1918" s="2">
        <f>ABS(Data[[#This Row],[Betrag]])</f>
        <v>1000</v>
      </c>
      <c r="K1918" s="66" t="str">
        <f>IF(Data[[#This Row],[Betrag]]&lt;0,"A","E")</f>
        <v>E</v>
      </c>
    </row>
    <row r="1919" spans="1:11" x14ac:dyDescent="0.25">
      <c r="A1919" s="1">
        <v>43922</v>
      </c>
      <c r="B1919" s="66" t="s">
        <v>48</v>
      </c>
      <c r="C1919" s="66" t="s">
        <v>49</v>
      </c>
      <c r="D1919" t="s">
        <v>50</v>
      </c>
      <c r="E1919">
        <v>-15</v>
      </c>
      <c r="F1919" s="66" t="s">
        <v>7</v>
      </c>
      <c r="G1919" s="66" t="s">
        <v>8</v>
      </c>
      <c r="H1919" s="66" t="str">
        <f>TEXT(Data[[#This Row],[Buchung]],"MMM")</f>
        <v>Apr</v>
      </c>
      <c r="I1919" s="67">
        <f>YEAR(Data[[#This Row],[Buchung]])</f>
        <v>2020</v>
      </c>
      <c r="J1919" s="2">
        <f>ABS(Data[[#This Row],[Betrag]])</f>
        <v>15</v>
      </c>
      <c r="K1919" s="66" t="str">
        <f>IF(Data[[#This Row],[Betrag]]&lt;0,"A","E")</f>
        <v>A</v>
      </c>
    </row>
    <row r="1920" spans="1:11" x14ac:dyDescent="0.25">
      <c r="A1920" s="1">
        <v>43923</v>
      </c>
      <c r="B1920" s="66" t="s">
        <v>51</v>
      </c>
      <c r="C1920" s="66" t="s">
        <v>52</v>
      </c>
      <c r="D1920" t="s">
        <v>53</v>
      </c>
      <c r="E1920">
        <v>-350</v>
      </c>
      <c r="F1920" s="66" t="s">
        <v>7</v>
      </c>
      <c r="G1920" s="66" t="s">
        <v>11</v>
      </c>
      <c r="H1920" s="66" t="str">
        <f>TEXT(Data[[#This Row],[Buchung]],"MMM")</f>
        <v>Apr</v>
      </c>
      <c r="I1920" s="67">
        <f>YEAR(Data[[#This Row],[Buchung]])</f>
        <v>2020</v>
      </c>
      <c r="J1920" s="2">
        <f>ABS(Data[[#This Row],[Betrag]])</f>
        <v>350</v>
      </c>
      <c r="K1920" s="66" t="str">
        <f>IF(Data[[#This Row],[Betrag]]&lt;0,"A","E")</f>
        <v>A</v>
      </c>
    </row>
    <row r="1921" spans="1:11" x14ac:dyDescent="0.25">
      <c r="A1921" s="1">
        <v>43924</v>
      </c>
      <c r="B1921" s="66" t="s">
        <v>54</v>
      </c>
      <c r="C1921" s="66" t="s">
        <v>55</v>
      </c>
      <c r="D1921" t="s">
        <v>56</v>
      </c>
      <c r="E1921">
        <v>-120</v>
      </c>
      <c r="F1921" s="66" t="s">
        <v>7</v>
      </c>
      <c r="G1921" s="66" t="s">
        <v>57</v>
      </c>
      <c r="H1921" s="66" t="str">
        <f>TEXT(Data[[#This Row],[Buchung]],"MMM")</f>
        <v>Apr</v>
      </c>
      <c r="I1921" s="67">
        <f>YEAR(Data[[#This Row],[Buchung]])</f>
        <v>2020</v>
      </c>
      <c r="J1921" s="2">
        <f>ABS(Data[[#This Row],[Betrag]])</f>
        <v>120</v>
      </c>
      <c r="K1921" s="66" t="str">
        <f>IF(Data[[#This Row],[Betrag]]&lt;0,"A","E")</f>
        <v>A</v>
      </c>
    </row>
    <row r="1922" spans="1:11" x14ac:dyDescent="0.25">
      <c r="A1922" s="1">
        <v>43925</v>
      </c>
      <c r="B1922" s="66" t="s">
        <v>58</v>
      </c>
      <c r="C1922" s="66" t="s">
        <v>59</v>
      </c>
      <c r="D1922" t="s">
        <v>60</v>
      </c>
      <c r="E1922">
        <v>-80</v>
      </c>
      <c r="F1922" s="66" t="s">
        <v>7</v>
      </c>
      <c r="G1922" s="66" t="s">
        <v>10</v>
      </c>
      <c r="H1922" s="66" t="str">
        <f>TEXT(Data[[#This Row],[Buchung]],"MMM")</f>
        <v>Apr</v>
      </c>
      <c r="I1922" s="67">
        <f>YEAR(Data[[#This Row],[Buchung]])</f>
        <v>2020</v>
      </c>
      <c r="J1922" s="2">
        <f>ABS(Data[[#This Row],[Betrag]])</f>
        <v>80</v>
      </c>
      <c r="K1922" s="66" t="str">
        <f>IF(Data[[#This Row],[Betrag]]&lt;0,"A","E")</f>
        <v>A</v>
      </c>
    </row>
    <row r="1923" spans="1:11" x14ac:dyDescent="0.25">
      <c r="A1923" s="1">
        <v>43926</v>
      </c>
      <c r="B1923" s="66" t="s">
        <v>45</v>
      </c>
      <c r="C1923" s="66" t="s">
        <v>46</v>
      </c>
      <c r="D1923" t="s">
        <v>47</v>
      </c>
      <c r="E1923">
        <v>1000</v>
      </c>
      <c r="F1923" s="66" t="s">
        <v>7</v>
      </c>
      <c r="G1923" s="66" t="s">
        <v>9</v>
      </c>
      <c r="H1923" s="66" t="str">
        <f>TEXT(Data[[#This Row],[Buchung]],"MMM")</f>
        <v>Apr</v>
      </c>
      <c r="I1923" s="67">
        <f>YEAR(Data[[#This Row],[Buchung]])</f>
        <v>2020</v>
      </c>
      <c r="J1923" s="2">
        <f>ABS(Data[[#This Row],[Betrag]])</f>
        <v>1000</v>
      </c>
      <c r="K1923" s="66" t="str">
        <f>IF(Data[[#This Row],[Betrag]]&lt;0,"A","E")</f>
        <v>E</v>
      </c>
    </row>
    <row r="1924" spans="1:11" x14ac:dyDescent="0.25">
      <c r="A1924" s="1">
        <v>43927</v>
      </c>
      <c r="B1924" s="66" t="s">
        <v>61</v>
      </c>
      <c r="C1924" s="66" t="s">
        <v>49</v>
      </c>
      <c r="D1924" t="s">
        <v>62</v>
      </c>
      <c r="E1924">
        <v>-10</v>
      </c>
      <c r="F1924" s="66" t="s">
        <v>7</v>
      </c>
      <c r="G1924" s="66" t="s">
        <v>8</v>
      </c>
      <c r="H1924" s="66" t="str">
        <f>TEXT(Data[[#This Row],[Buchung]],"MMM")</f>
        <v>Apr</v>
      </c>
      <c r="I1924" s="67">
        <f>YEAR(Data[[#This Row],[Buchung]])</f>
        <v>2020</v>
      </c>
      <c r="J1924" s="2">
        <f>ABS(Data[[#This Row],[Betrag]])</f>
        <v>10</v>
      </c>
      <c r="K1924" s="66" t="str">
        <f>IF(Data[[#This Row],[Betrag]]&lt;0,"A","E")</f>
        <v>A</v>
      </c>
    </row>
    <row r="1925" spans="1:11" x14ac:dyDescent="0.25">
      <c r="A1925" s="1">
        <v>43928</v>
      </c>
      <c r="B1925" s="66" t="s">
        <v>63</v>
      </c>
      <c r="C1925" s="66" t="s">
        <v>64</v>
      </c>
      <c r="D1925" t="s">
        <v>65</v>
      </c>
      <c r="E1925">
        <v>-65</v>
      </c>
      <c r="F1925" s="66" t="s">
        <v>7</v>
      </c>
      <c r="G1925" s="66" t="s">
        <v>11</v>
      </c>
      <c r="H1925" s="66" t="str">
        <f>TEXT(Data[[#This Row],[Buchung]],"MMM")</f>
        <v>Apr</v>
      </c>
      <c r="I1925" s="67">
        <f>YEAR(Data[[#This Row],[Buchung]])</f>
        <v>2020</v>
      </c>
      <c r="J1925" s="2">
        <f>ABS(Data[[#This Row],[Betrag]])</f>
        <v>65</v>
      </c>
      <c r="K1925" s="66" t="str">
        <f>IF(Data[[#This Row],[Betrag]]&lt;0,"A","E")</f>
        <v>A</v>
      </c>
    </row>
    <row r="1926" spans="1:11" x14ac:dyDescent="0.25">
      <c r="A1926" s="1">
        <v>43929</v>
      </c>
      <c r="B1926" s="66" t="s">
        <v>54</v>
      </c>
      <c r="C1926" s="66" t="s">
        <v>55</v>
      </c>
      <c r="D1926" t="s">
        <v>66</v>
      </c>
      <c r="E1926">
        <v>-80</v>
      </c>
      <c r="F1926" s="66" t="s">
        <v>7</v>
      </c>
      <c r="G1926" s="66" t="s">
        <v>57</v>
      </c>
      <c r="H1926" s="66" t="str">
        <f>TEXT(Data[[#This Row],[Buchung]],"MMM")</f>
        <v>Apr</v>
      </c>
      <c r="I1926" s="67">
        <f>YEAR(Data[[#This Row],[Buchung]])</f>
        <v>2020</v>
      </c>
      <c r="J1926" s="2">
        <f>ABS(Data[[#This Row],[Betrag]])</f>
        <v>80</v>
      </c>
      <c r="K1926" s="66" t="str">
        <f>IF(Data[[#This Row],[Betrag]]&lt;0,"A","E")</f>
        <v>A</v>
      </c>
    </row>
    <row r="1927" spans="1:11" x14ac:dyDescent="0.25">
      <c r="A1927" s="1">
        <v>43930</v>
      </c>
      <c r="B1927" s="66" t="s">
        <v>67</v>
      </c>
      <c r="C1927" s="66" t="s">
        <v>59</v>
      </c>
      <c r="D1927" t="s">
        <v>68</v>
      </c>
      <c r="E1927">
        <v>-35</v>
      </c>
      <c r="F1927" s="66" t="s">
        <v>7</v>
      </c>
      <c r="G1927" s="66" t="s">
        <v>10</v>
      </c>
      <c r="H1927" s="66" t="str">
        <f>TEXT(Data[[#This Row],[Buchung]],"MMM")</f>
        <v>Apr</v>
      </c>
      <c r="I1927" s="67">
        <f>YEAR(Data[[#This Row],[Buchung]])</f>
        <v>2020</v>
      </c>
      <c r="J1927" s="2">
        <f>ABS(Data[[#This Row],[Betrag]])</f>
        <v>35</v>
      </c>
      <c r="K1927" s="66" t="str">
        <f>IF(Data[[#This Row],[Betrag]]&lt;0,"A","E")</f>
        <v>A</v>
      </c>
    </row>
    <row r="1928" spans="1:11" x14ac:dyDescent="0.25">
      <c r="A1928" s="1">
        <v>43931</v>
      </c>
      <c r="B1928" s="66" t="s">
        <v>45</v>
      </c>
      <c r="C1928" s="66" t="s">
        <v>46</v>
      </c>
      <c r="D1928" t="s">
        <v>47</v>
      </c>
      <c r="E1928">
        <v>1000</v>
      </c>
      <c r="F1928" s="66" t="s">
        <v>7</v>
      </c>
      <c r="G1928" s="66" t="s">
        <v>9</v>
      </c>
      <c r="H1928" s="66" t="str">
        <f>TEXT(Data[[#This Row],[Buchung]],"MMM")</f>
        <v>Apr</v>
      </c>
      <c r="I1928" s="67">
        <f>YEAR(Data[[#This Row],[Buchung]])</f>
        <v>2020</v>
      </c>
      <c r="J1928" s="2">
        <f>ABS(Data[[#This Row],[Betrag]])</f>
        <v>1000</v>
      </c>
      <c r="K1928" s="66" t="str">
        <f>IF(Data[[#This Row],[Betrag]]&lt;0,"A","E")</f>
        <v>E</v>
      </c>
    </row>
    <row r="1929" spans="1:11" x14ac:dyDescent="0.25">
      <c r="A1929" s="1">
        <v>43932</v>
      </c>
      <c r="B1929" s="66" t="s">
        <v>45</v>
      </c>
      <c r="C1929" s="66" t="s">
        <v>46</v>
      </c>
      <c r="D1929" t="s">
        <v>47</v>
      </c>
      <c r="E1929">
        <v>1000</v>
      </c>
      <c r="F1929" s="66" t="s">
        <v>7</v>
      </c>
      <c r="G1929" s="66" t="s">
        <v>9</v>
      </c>
      <c r="H1929" s="66" t="str">
        <f>TEXT(Data[[#This Row],[Buchung]],"MMM")</f>
        <v>Apr</v>
      </c>
      <c r="I1929" s="67">
        <f>YEAR(Data[[#This Row],[Buchung]])</f>
        <v>2020</v>
      </c>
      <c r="J1929" s="2">
        <f>ABS(Data[[#This Row],[Betrag]])</f>
        <v>1000</v>
      </c>
      <c r="K1929" s="66" t="str">
        <f>IF(Data[[#This Row],[Betrag]]&lt;0,"A","E")</f>
        <v>E</v>
      </c>
    </row>
    <row r="1930" spans="1:11" x14ac:dyDescent="0.25">
      <c r="A1930" s="1">
        <v>43933</v>
      </c>
      <c r="B1930" s="66" t="s">
        <v>48</v>
      </c>
      <c r="C1930" s="66" t="s">
        <v>49</v>
      </c>
      <c r="D1930" t="s">
        <v>50</v>
      </c>
      <c r="E1930">
        <v>-15</v>
      </c>
      <c r="F1930" s="66" t="s">
        <v>7</v>
      </c>
      <c r="G1930" s="66" t="s">
        <v>8</v>
      </c>
      <c r="H1930" s="66" t="str">
        <f>TEXT(Data[[#This Row],[Buchung]],"MMM")</f>
        <v>Apr</v>
      </c>
      <c r="I1930" s="67">
        <f>YEAR(Data[[#This Row],[Buchung]])</f>
        <v>2020</v>
      </c>
      <c r="J1930" s="2">
        <f>ABS(Data[[#This Row],[Betrag]])</f>
        <v>15</v>
      </c>
      <c r="K1930" s="66" t="str">
        <f>IF(Data[[#This Row],[Betrag]]&lt;0,"A","E")</f>
        <v>A</v>
      </c>
    </row>
    <row r="1931" spans="1:11" x14ac:dyDescent="0.25">
      <c r="A1931" s="1">
        <v>43934</v>
      </c>
      <c r="B1931" s="66" t="s">
        <v>51</v>
      </c>
      <c r="C1931" s="66" t="s">
        <v>52</v>
      </c>
      <c r="D1931" t="s">
        <v>53</v>
      </c>
      <c r="E1931">
        <v>-350</v>
      </c>
      <c r="F1931" s="66" t="s">
        <v>7</v>
      </c>
      <c r="G1931" s="66" t="s">
        <v>11</v>
      </c>
      <c r="H1931" s="66" t="str">
        <f>TEXT(Data[[#This Row],[Buchung]],"MMM")</f>
        <v>Apr</v>
      </c>
      <c r="I1931" s="67">
        <f>YEAR(Data[[#This Row],[Buchung]])</f>
        <v>2020</v>
      </c>
      <c r="J1931" s="2">
        <f>ABS(Data[[#This Row],[Betrag]])</f>
        <v>350</v>
      </c>
      <c r="K1931" s="66" t="str">
        <f>IF(Data[[#This Row],[Betrag]]&lt;0,"A","E")</f>
        <v>A</v>
      </c>
    </row>
    <row r="1932" spans="1:11" x14ac:dyDescent="0.25">
      <c r="A1932" s="1">
        <v>43935</v>
      </c>
      <c r="B1932" s="66" t="s">
        <v>54</v>
      </c>
      <c r="C1932" s="66" t="s">
        <v>55</v>
      </c>
      <c r="D1932" t="s">
        <v>56</v>
      </c>
      <c r="E1932">
        <v>-120</v>
      </c>
      <c r="F1932" s="66" t="s">
        <v>7</v>
      </c>
      <c r="G1932" s="66" t="s">
        <v>57</v>
      </c>
      <c r="H1932" s="66" t="str">
        <f>TEXT(Data[[#This Row],[Buchung]],"MMM")</f>
        <v>Apr</v>
      </c>
      <c r="I1932" s="67">
        <f>YEAR(Data[[#This Row],[Buchung]])</f>
        <v>2020</v>
      </c>
      <c r="J1932" s="2">
        <f>ABS(Data[[#This Row],[Betrag]])</f>
        <v>120</v>
      </c>
      <c r="K1932" s="66" t="str">
        <f>IF(Data[[#This Row],[Betrag]]&lt;0,"A","E")</f>
        <v>A</v>
      </c>
    </row>
    <row r="1933" spans="1:11" x14ac:dyDescent="0.25">
      <c r="A1933" s="1">
        <v>43936</v>
      </c>
      <c r="B1933" s="66" t="s">
        <v>58</v>
      </c>
      <c r="C1933" s="66" t="s">
        <v>59</v>
      </c>
      <c r="D1933" t="s">
        <v>60</v>
      </c>
      <c r="E1933">
        <v>-50</v>
      </c>
      <c r="F1933" s="66" t="s">
        <v>7</v>
      </c>
      <c r="G1933" s="66" t="s">
        <v>10</v>
      </c>
      <c r="H1933" s="66" t="str">
        <f>TEXT(Data[[#This Row],[Buchung]],"MMM")</f>
        <v>Apr</v>
      </c>
      <c r="I1933" s="67">
        <f>YEAR(Data[[#This Row],[Buchung]])</f>
        <v>2020</v>
      </c>
      <c r="J1933" s="2">
        <f>ABS(Data[[#This Row],[Betrag]])</f>
        <v>50</v>
      </c>
      <c r="K1933" s="66" t="str">
        <f>IF(Data[[#This Row],[Betrag]]&lt;0,"A","E")</f>
        <v>A</v>
      </c>
    </row>
    <row r="1934" spans="1:11" x14ac:dyDescent="0.25">
      <c r="A1934" s="1">
        <v>43937</v>
      </c>
      <c r="B1934" s="66" t="s">
        <v>45</v>
      </c>
      <c r="C1934" s="66" t="s">
        <v>46</v>
      </c>
      <c r="D1934" t="s">
        <v>47</v>
      </c>
      <c r="E1934">
        <v>1000</v>
      </c>
      <c r="F1934" s="66" t="s">
        <v>7</v>
      </c>
      <c r="G1934" s="66" t="s">
        <v>9</v>
      </c>
      <c r="H1934" s="66" t="str">
        <f>TEXT(Data[[#This Row],[Buchung]],"MMM")</f>
        <v>Apr</v>
      </c>
      <c r="I1934" s="67">
        <f>YEAR(Data[[#This Row],[Buchung]])</f>
        <v>2020</v>
      </c>
      <c r="J1934" s="2">
        <f>ABS(Data[[#This Row],[Betrag]])</f>
        <v>1000</v>
      </c>
      <c r="K1934" s="66" t="str">
        <f>IF(Data[[#This Row],[Betrag]]&lt;0,"A","E")</f>
        <v>E</v>
      </c>
    </row>
    <row r="1935" spans="1:11" x14ac:dyDescent="0.25">
      <c r="A1935" s="1">
        <v>43938</v>
      </c>
      <c r="B1935" s="66" t="s">
        <v>61</v>
      </c>
      <c r="C1935" s="66" t="s">
        <v>49</v>
      </c>
      <c r="D1935" t="s">
        <v>62</v>
      </c>
      <c r="E1935">
        <v>-10</v>
      </c>
      <c r="F1935" s="66" t="s">
        <v>7</v>
      </c>
      <c r="G1935" s="66" t="s">
        <v>8</v>
      </c>
      <c r="H1935" s="66" t="str">
        <f>TEXT(Data[[#This Row],[Buchung]],"MMM")</f>
        <v>Apr</v>
      </c>
      <c r="I1935" s="67">
        <f>YEAR(Data[[#This Row],[Buchung]])</f>
        <v>2020</v>
      </c>
      <c r="J1935" s="2">
        <f>ABS(Data[[#This Row],[Betrag]])</f>
        <v>10</v>
      </c>
      <c r="K1935" s="66" t="str">
        <f>IF(Data[[#This Row],[Betrag]]&lt;0,"A","E")</f>
        <v>A</v>
      </c>
    </row>
    <row r="1936" spans="1:11" x14ac:dyDescent="0.25">
      <c r="A1936" s="1">
        <v>43939</v>
      </c>
      <c r="B1936" s="66" t="s">
        <v>63</v>
      </c>
      <c r="C1936" s="66" t="s">
        <v>64</v>
      </c>
      <c r="D1936" t="s">
        <v>65</v>
      </c>
      <c r="E1936">
        <v>-60</v>
      </c>
      <c r="F1936" s="66" t="s">
        <v>7</v>
      </c>
      <c r="G1936" s="66" t="s">
        <v>11</v>
      </c>
      <c r="H1936" s="66" t="str">
        <f>TEXT(Data[[#This Row],[Buchung]],"MMM")</f>
        <v>Apr</v>
      </c>
      <c r="I1936" s="67">
        <f>YEAR(Data[[#This Row],[Buchung]])</f>
        <v>2020</v>
      </c>
      <c r="J1936" s="2">
        <f>ABS(Data[[#This Row],[Betrag]])</f>
        <v>60</v>
      </c>
      <c r="K1936" s="66" t="str">
        <f>IF(Data[[#This Row],[Betrag]]&lt;0,"A","E")</f>
        <v>A</v>
      </c>
    </row>
    <row r="1937" spans="1:11" x14ac:dyDescent="0.25">
      <c r="A1937" s="1">
        <v>43940</v>
      </c>
      <c r="B1937" s="66" t="s">
        <v>54</v>
      </c>
      <c r="C1937" s="66" t="s">
        <v>55</v>
      </c>
      <c r="D1937" t="s">
        <v>66</v>
      </c>
      <c r="E1937">
        <v>-80</v>
      </c>
      <c r="F1937" s="66" t="s">
        <v>7</v>
      </c>
      <c r="G1937" s="66" t="s">
        <v>57</v>
      </c>
      <c r="H1937" s="66" t="str">
        <f>TEXT(Data[[#This Row],[Buchung]],"MMM")</f>
        <v>Apr</v>
      </c>
      <c r="I1937" s="67">
        <f>YEAR(Data[[#This Row],[Buchung]])</f>
        <v>2020</v>
      </c>
      <c r="J1937" s="2">
        <f>ABS(Data[[#This Row],[Betrag]])</f>
        <v>80</v>
      </c>
      <c r="K1937" s="66" t="str">
        <f>IF(Data[[#This Row],[Betrag]]&lt;0,"A","E")</f>
        <v>A</v>
      </c>
    </row>
    <row r="1938" spans="1:11" x14ac:dyDescent="0.25">
      <c r="A1938" s="1">
        <v>43941</v>
      </c>
      <c r="B1938" s="66" t="s">
        <v>67</v>
      </c>
      <c r="C1938" s="66" t="s">
        <v>59</v>
      </c>
      <c r="D1938" t="s">
        <v>68</v>
      </c>
      <c r="E1938">
        <v>-20</v>
      </c>
      <c r="F1938" s="66" t="s">
        <v>7</v>
      </c>
      <c r="G1938" s="66" t="s">
        <v>10</v>
      </c>
      <c r="H1938" s="66" t="str">
        <f>TEXT(Data[[#This Row],[Buchung]],"MMM")</f>
        <v>Apr</v>
      </c>
      <c r="I1938" s="67">
        <f>YEAR(Data[[#This Row],[Buchung]])</f>
        <v>2020</v>
      </c>
      <c r="J1938" s="2">
        <f>ABS(Data[[#This Row],[Betrag]])</f>
        <v>20</v>
      </c>
      <c r="K1938" s="66" t="str">
        <f>IF(Data[[#This Row],[Betrag]]&lt;0,"A","E")</f>
        <v>A</v>
      </c>
    </row>
    <row r="1939" spans="1:11" x14ac:dyDescent="0.25">
      <c r="A1939" s="1">
        <v>43942</v>
      </c>
      <c r="B1939" s="66" t="s">
        <v>45</v>
      </c>
      <c r="C1939" s="66" t="s">
        <v>46</v>
      </c>
      <c r="D1939" t="s">
        <v>47</v>
      </c>
      <c r="E1939">
        <v>1000</v>
      </c>
      <c r="F1939" s="66" t="s">
        <v>7</v>
      </c>
      <c r="G1939" s="66" t="s">
        <v>9</v>
      </c>
      <c r="H1939" s="66" t="str">
        <f>TEXT(Data[[#This Row],[Buchung]],"MMM")</f>
        <v>Apr</v>
      </c>
      <c r="I1939" s="67">
        <f>YEAR(Data[[#This Row],[Buchung]])</f>
        <v>2020</v>
      </c>
      <c r="J1939" s="2">
        <f>ABS(Data[[#This Row],[Betrag]])</f>
        <v>1000</v>
      </c>
      <c r="K1939" s="66" t="str">
        <f>IF(Data[[#This Row],[Betrag]]&lt;0,"A","E")</f>
        <v>E</v>
      </c>
    </row>
    <row r="1940" spans="1:11" x14ac:dyDescent="0.25">
      <c r="A1940" s="1">
        <v>43943</v>
      </c>
      <c r="B1940" s="66" t="s">
        <v>48</v>
      </c>
      <c r="C1940" s="66" t="s">
        <v>49</v>
      </c>
      <c r="D1940" t="s">
        <v>50</v>
      </c>
      <c r="E1940">
        <v>-15</v>
      </c>
      <c r="F1940" s="66" t="s">
        <v>7</v>
      </c>
      <c r="G1940" s="66" t="s">
        <v>8</v>
      </c>
      <c r="H1940" s="66" t="str">
        <f>TEXT(Data[[#This Row],[Buchung]],"MMM")</f>
        <v>Apr</v>
      </c>
      <c r="I1940" s="67">
        <f>YEAR(Data[[#This Row],[Buchung]])</f>
        <v>2020</v>
      </c>
      <c r="J1940" s="2">
        <f>ABS(Data[[#This Row],[Betrag]])</f>
        <v>15</v>
      </c>
      <c r="K1940" s="66" t="str">
        <f>IF(Data[[#This Row],[Betrag]]&lt;0,"A","E")</f>
        <v>A</v>
      </c>
    </row>
    <row r="1941" spans="1:11" x14ac:dyDescent="0.25">
      <c r="A1941" s="1">
        <v>43944</v>
      </c>
      <c r="B1941" s="66" t="s">
        <v>51</v>
      </c>
      <c r="C1941" s="66" t="s">
        <v>52</v>
      </c>
      <c r="D1941" t="s">
        <v>53</v>
      </c>
      <c r="E1941">
        <v>-350</v>
      </c>
      <c r="F1941" s="66" t="s">
        <v>7</v>
      </c>
      <c r="G1941" s="66" t="s">
        <v>11</v>
      </c>
      <c r="H1941" s="66" t="str">
        <f>TEXT(Data[[#This Row],[Buchung]],"MMM")</f>
        <v>Apr</v>
      </c>
      <c r="I1941" s="67">
        <f>YEAR(Data[[#This Row],[Buchung]])</f>
        <v>2020</v>
      </c>
      <c r="J1941" s="2">
        <f>ABS(Data[[#This Row],[Betrag]])</f>
        <v>350</v>
      </c>
      <c r="K1941" s="66" t="str">
        <f>IF(Data[[#This Row],[Betrag]]&lt;0,"A","E")</f>
        <v>A</v>
      </c>
    </row>
    <row r="1942" spans="1:11" x14ac:dyDescent="0.25">
      <c r="A1942" s="1">
        <v>43945</v>
      </c>
      <c r="B1942" s="66" t="s">
        <v>54</v>
      </c>
      <c r="C1942" s="66" t="s">
        <v>55</v>
      </c>
      <c r="D1942" t="s">
        <v>56</v>
      </c>
      <c r="E1942">
        <v>-120</v>
      </c>
      <c r="F1942" s="66" t="s">
        <v>7</v>
      </c>
      <c r="G1942" s="66" t="s">
        <v>57</v>
      </c>
      <c r="H1942" s="66" t="str">
        <f>TEXT(Data[[#This Row],[Buchung]],"MMM")</f>
        <v>Apr</v>
      </c>
      <c r="I1942" s="67">
        <f>YEAR(Data[[#This Row],[Buchung]])</f>
        <v>2020</v>
      </c>
      <c r="J1942" s="2">
        <f>ABS(Data[[#This Row],[Betrag]])</f>
        <v>120</v>
      </c>
      <c r="K1942" s="66" t="str">
        <f>IF(Data[[#This Row],[Betrag]]&lt;0,"A","E")</f>
        <v>A</v>
      </c>
    </row>
    <row r="1943" spans="1:11" x14ac:dyDescent="0.25">
      <c r="A1943" s="1">
        <v>43946</v>
      </c>
      <c r="B1943" s="66" t="s">
        <v>58</v>
      </c>
      <c r="C1943" s="66" t="s">
        <v>59</v>
      </c>
      <c r="D1943" t="s">
        <v>60</v>
      </c>
      <c r="E1943">
        <v>-60</v>
      </c>
      <c r="F1943" s="66" t="s">
        <v>7</v>
      </c>
      <c r="G1943" s="66" t="s">
        <v>10</v>
      </c>
      <c r="H1943" s="66" t="str">
        <f>TEXT(Data[[#This Row],[Buchung]],"MMM")</f>
        <v>Apr</v>
      </c>
      <c r="I1943" s="67">
        <f>YEAR(Data[[#This Row],[Buchung]])</f>
        <v>2020</v>
      </c>
      <c r="J1943" s="2">
        <f>ABS(Data[[#This Row],[Betrag]])</f>
        <v>60</v>
      </c>
      <c r="K1943" s="66" t="str">
        <f>IF(Data[[#This Row],[Betrag]]&lt;0,"A","E")</f>
        <v>A</v>
      </c>
    </row>
    <row r="1944" spans="1:11" x14ac:dyDescent="0.25">
      <c r="A1944" s="1">
        <v>43947</v>
      </c>
      <c r="B1944" s="66" t="s">
        <v>45</v>
      </c>
      <c r="C1944" s="66" t="s">
        <v>46</v>
      </c>
      <c r="D1944" t="s">
        <v>47</v>
      </c>
      <c r="E1944">
        <v>1000</v>
      </c>
      <c r="F1944" s="66" t="s">
        <v>7</v>
      </c>
      <c r="G1944" s="66" t="s">
        <v>9</v>
      </c>
      <c r="H1944" s="66" t="str">
        <f>TEXT(Data[[#This Row],[Buchung]],"MMM")</f>
        <v>Apr</v>
      </c>
      <c r="I1944" s="67">
        <f>YEAR(Data[[#This Row],[Buchung]])</f>
        <v>2020</v>
      </c>
      <c r="J1944" s="2">
        <f>ABS(Data[[#This Row],[Betrag]])</f>
        <v>1000</v>
      </c>
      <c r="K1944" s="66" t="str">
        <f>IF(Data[[#This Row],[Betrag]]&lt;0,"A","E")</f>
        <v>E</v>
      </c>
    </row>
    <row r="1945" spans="1:11" x14ac:dyDescent="0.25">
      <c r="A1945" s="1">
        <v>43948</v>
      </c>
      <c r="B1945" s="66" t="s">
        <v>61</v>
      </c>
      <c r="C1945" s="66" t="s">
        <v>49</v>
      </c>
      <c r="D1945" t="s">
        <v>62</v>
      </c>
      <c r="E1945">
        <v>-10</v>
      </c>
      <c r="F1945" s="66" t="s">
        <v>7</v>
      </c>
      <c r="G1945" s="66" t="s">
        <v>8</v>
      </c>
      <c r="H1945" s="66" t="str">
        <f>TEXT(Data[[#This Row],[Buchung]],"MMM")</f>
        <v>Apr</v>
      </c>
      <c r="I1945" s="67">
        <f>YEAR(Data[[#This Row],[Buchung]])</f>
        <v>2020</v>
      </c>
      <c r="J1945" s="2">
        <f>ABS(Data[[#This Row],[Betrag]])</f>
        <v>10</v>
      </c>
      <c r="K1945" s="66" t="str">
        <f>IF(Data[[#This Row],[Betrag]]&lt;0,"A","E")</f>
        <v>A</v>
      </c>
    </row>
    <row r="1946" spans="1:11" x14ac:dyDescent="0.25">
      <c r="A1946" s="1">
        <v>43949</v>
      </c>
      <c r="B1946" s="66" t="s">
        <v>63</v>
      </c>
      <c r="C1946" s="66" t="s">
        <v>64</v>
      </c>
      <c r="D1946" t="s">
        <v>65</v>
      </c>
      <c r="E1946">
        <v>-70</v>
      </c>
      <c r="F1946" s="66" t="s">
        <v>7</v>
      </c>
      <c r="G1946" s="66" t="s">
        <v>11</v>
      </c>
      <c r="H1946" s="66" t="str">
        <f>TEXT(Data[[#This Row],[Buchung]],"MMM")</f>
        <v>Apr</v>
      </c>
      <c r="I1946" s="67">
        <f>YEAR(Data[[#This Row],[Buchung]])</f>
        <v>2020</v>
      </c>
      <c r="J1946" s="2">
        <f>ABS(Data[[#This Row],[Betrag]])</f>
        <v>70</v>
      </c>
      <c r="K1946" s="66" t="str">
        <f>IF(Data[[#This Row],[Betrag]]&lt;0,"A","E")</f>
        <v>A</v>
      </c>
    </row>
    <row r="1947" spans="1:11" x14ac:dyDescent="0.25">
      <c r="A1947" s="1">
        <v>43950</v>
      </c>
      <c r="B1947" s="66" t="s">
        <v>54</v>
      </c>
      <c r="C1947" s="66" t="s">
        <v>55</v>
      </c>
      <c r="D1947" t="s">
        <v>66</v>
      </c>
      <c r="E1947">
        <v>-80</v>
      </c>
      <c r="F1947" s="66" t="s">
        <v>7</v>
      </c>
      <c r="G1947" s="66" t="s">
        <v>57</v>
      </c>
      <c r="H1947" s="66" t="str">
        <f>TEXT(Data[[#This Row],[Buchung]],"MMM")</f>
        <v>Apr</v>
      </c>
      <c r="I1947" s="67">
        <f>YEAR(Data[[#This Row],[Buchung]])</f>
        <v>2020</v>
      </c>
      <c r="J1947" s="2">
        <f>ABS(Data[[#This Row],[Betrag]])</f>
        <v>80</v>
      </c>
      <c r="K1947" s="66" t="str">
        <f>IF(Data[[#This Row],[Betrag]]&lt;0,"A","E")</f>
        <v>A</v>
      </c>
    </row>
    <row r="1948" spans="1:11" x14ac:dyDescent="0.25">
      <c r="A1948" s="1">
        <v>43951</v>
      </c>
      <c r="B1948" s="66" t="s">
        <v>67</v>
      </c>
      <c r="C1948" s="66" t="s">
        <v>59</v>
      </c>
      <c r="D1948" t="s">
        <v>68</v>
      </c>
      <c r="E1948">
        <v>-25</v>
      </c>
      <c r="F1948" s="66" t="s">
        <v>7</v>
      </c>
      <c r="G1948" s="66" t="s">
        <v>10</v>
      </c>
      <c r="H1948" s="66" t="str">
        <f>TEXT(Data[[#This Row],[Buchung]],"MMM")</f>
        <v>Apr</v>
      </c>
      <c r="I1948" s="67">
        <f>YEAR(Data[[#This Row],[Buchung]])</f>
        <v>2020</v>
      </c>
      <c r="J1948" s="2">
        <f>ABS(Data[[#This Row],[Betrag]])</f>
        <v>25</v>
      </c>
      <c r="K1948" s="66" t="str">
        <f>IF(Data[[#This Row],[Betrag]]&lt;0,"A","E")</f>
        <v>A</v>
      </c>
    </row>
    <row r="1949" spans="1:11" x14ac:dyDescent="0.25">
      <c r="A1949" s="1">
        <v>43952</v>
      </c>
      <c r="B1949" s="66" t="s">
        <v>45</v>
      </c>
      <c r="C1949" s="66" t="s">
        <v>46</v>
      </c>
      <c r="D1949" t="s">
        <v>47</v>
      </c>
      <c r="E1949">
        <v>1000</v>
      </c>
      <c r="F1949" s="66" t="s">
        <v>7</v>
      </c>
      <c r="G1949" s="66" t="s">
        <v>9</v>
      </c>
      <c r="H1949" s="66" t="str">
        <f>TEXT(Data[[#This Row],[Buchung]],"MMM")</f>
        <v>Mai</v>
      </c>
      <c r="I1949" s="67">
        <f>YEAR(Data[[#This Row],[Buchung]])</f>
        <v>2020</v>
      </c>
      <c r="J1949" s="2">
        <f>ABS(Data[[#This Row],[Betrag]])</f>
        <v>1000</v>
      </c>
      <c r="K1949" s="66" t="str">
        <f>IF(Data[[#This Row],[Betrag]]&lt;0,"A","E")</f>
        <v>E</v>
      </c>
    </row>
    <row r="1950" spans="1:11" x14ac:dyDescent="0.25">
      <c r="A1950" s="1">
        <v>43953</v>
      </c>
      <c r="B1950" s="66" t="s">
        <v>48</v>
      </c>
      <c r="C1950" s="66" t="s">
        <v>49</v>
      </c>
      <c r="D1950" t="s">
        <v>50</v>
      </c>
      <c r="E1950">
        <v>-15</v>
      </c>
      <c r="F1950" s="66" t="s">
        <v>7</v>
      </c>
      <c r="G1950" s="66" t="s">
        <v>8</v>
      </c>
      <c r="H1950" s="66" t="str">
        <f>TEXT(Data[[#This Row],[Buchung]],"MMM")</f>
        <v>Mai</v>
      </c>
      <c r="I1950" s="67">
        <f>YEAR(Data[[#This Row],[Buchung]])</f>
        <v>2020</v>
      </c>
      <c r="J1950" s="2">
        <f>ABS(Data[[#This Row],[Betrag]])</f>
        <v>15</v>
      </c>
      <c r="K1950" s="66" t="str">
        <f>IF(Data[[#This Row],[Betrag]]&lt;0,"A","E")</f>
        <v>A</v>
      </c>
    </row>
    <row r="1951" spans="1:11" x14ac:dyDescent="0.25">
      <c r="A1951" s="1">
        <v>43954</v>
      </c>
      <c r="B1951" s="66" t="s">
        <v>51</v>
      </c>
      <c r="C1951" s="66" t="s">
        <v>52</v>
      </c>
      <c r="D1951" t="s">
        <v>53</v>
      </c>
      <c r="E1951">
        <v>-350</v>
      </c>
      <c r="F1951" s="66" t="s">
        <v>7</v>
      </c>
      <c r="G1951" s="66" t="s">
        <v>11</v>
      </c>
      <c r="H1951" s="66" t="str">
        <f>TEXT(Data[[#This Row],[Buchung]],"MMM")</f>
        <v>Mai</v>
      </c>
      <c r="I1951" s="67">
        <f>YEAR(Data[[#This Row],[Buchung]])</f>
        <v>2020</v>
      </c>
      <c r="J1951" s="2">
        <f>ABS(Data[[#This Row],[Betrag]])</f>
        <v>350</v>
      </c>
      <c r="K1951" s="66" t="str">
        <f>IF(Data[[#This Row],[Betrag]]&lt;0,"A","E")</f>
        <v>A</v>
      </c>
    </row>
    <row r="1952" spans="1:11" x14ac:dyDescent="0.25">
      <c r="A1952" s="1">
        <v>43955</v>
      </c>
      <c r="B1952" s="66" t="s">
        <v>54</v>
      </c>
      <c r="C1952" s="66" t="s">
        <v>55</v>
      </c>
      <c r="D1952" t="s">
        <v>56</v>
      </c>
      <c r="E1952">
        <v>-120</v>
      </c>
      <c r="F1952" s="66" t="s">
        <v>7</v>
      </c>
      <c r="G1952" s="66" t="s">
        <v>57</v>
      </c>
      <c r="H1952" s="66" t="str">
        <f>TEXT(Data[[#This Row],[Buchung]],"MMM")</f>
        <v>Mai</v>
      </c>
      <c r="I1952" s="67">
        <f>YEAR(Data[[#This Row],[Buchung]])</f>
        <v>2020</v>
      </c>
      <c r="J1952" s="2">
        <f>ABS(Data[[#This Row],[Betrag]])</f>
        <v>120</v>
      </c>
      <c r="K1952" s="66" t="str">
        <f>IF(Data[[#This Row],[Betrag]]&lt;0,"A","E")</f>
        <v>A</v>
      </c>
    </row>
    <row r="1953" spans="1:11" x14ac:dyDescent="0.25">
      <c r="A1953" s="1">
        <v>43956</v>
      </c>
      <c r="B1953" s="66" t="s">
        <v>58</v>
      </c>
      <c r="C1953" s="66" t="s">
        <v>59</v>
      </c>
      <c r="D1953" t="s">
        <v>60</v>
      </c>
      <c r="E1953">
        <v>-70</v>
      </c>
      <c r="F1953" s="66" t="s">
        <v>7</v>
      </c>
      <c r="G1953" s="66" t="s">
        <v>10</v>
      </c>
      <c r="H1953" s="66" t="str">
        <f>TEXT(Data[[#This Row],[Buchung]],"MMM")</f>
        <v>Mai</v>
      </c>
      <c r="I1953" s="67">
        <f>YEAR(Data[[#This Row],[Buchung]])</f>
        <v>2020</v>
      </c>
      <c r="J1953" s="2">
        <f>ABS(Data[[#This Row],[Betrag]])</f>
        <v>70</v>
      </c>
      <c r="K1953" s="66" t="str">
        <f>IF(Data[[#This Row],[Betrag]]&lt;0,"A","E")</f>
        <v>A</v>
      </c>
    </row>
    <row r="1954" spans="1:11" x14ac:dyDescent="0.25">
      <c r="A1954" s="1">
        <v>43957</v>
      </c>
      <c r="B1954" s="66" t="s">
        <v>45</v>
      </c>
      <c r="C1954" s="66" t="s">
        <v>46</v>
      </c>
      <c r="D1954" t="s">
        <v>47</v>
      </c>
      <c r="E1954">
        <v>1000</v>
      </c>
      <c r="F1954" s="66" t="s">
        <v>7</v>
      </c>
      <c r="G1954" s="66" t="s">
        <v>9</v>
      </c>
      <c r="H1954" s="66" t="str">
        <f>TEXT(Data[[#This Row],[Buchung]],"MMM")</f>
        <v>Mai</v>
      </c>
      <c r="I1954" s="67">
        <f>YEAR(Data[[#This Row],[Buchung]])</f>
        <v>2020</v>
      </c>
      <c r="J1954" s="2">
        <f>ABS(Data[[#This Row],[Betrag]])</f>
        <v>1000</v>
      </c>
      <c r="K1954" s="66" t="str">
        <f>IF(Data[[#This Row],[Betrag]]&lt;0,"A","E")</f>
        <v>E</v>
      </c>
    </row>
    <row r="1955" spans="1:11" x14ac:dyDescent="0.25">
      <c r="A1955" s="1">
        <v>43958</v>
      </c>
      <c r="B1955" s="66" t="s">
        <v>61</v>
      </c>
      <c r="C1955" s="66" t="s">
        <v>49</v>
      </c>
      <c r="D1955" t="s">
        <v>62</v>
      </c>
      <c r="E1955">
        <v>-10</v>
      </c>
      <c r="F1955" s="66" t="s">
        <v>7</v>
      </c>
      <c r="G1955" s="66" t="s">
        <v>8</v>
      </c>
      <c r="H1955" s="66" t="str">
        <f>TEXT(Data[[#This Row],[Buchung]],"MMM")</f>
        <v>Mai</v>
      </c>
      <c r="I1955" s="67">
        <f>YEAR(Data[[#This Row],[Buchung]])</f>
        <v>2020</v>
      </c>
      <c r="J1955" s="2">
        <f>ABS(Data[[#This Row],[Betrag]])</f>
        <v>10</v>
      </c>
      <c r="K1955" s="66" t="str">
        <f>IF(Data[[#This Row],[Betrag]]&lt;0,"A","E")</f>
        <v>A</v>
      </c>
    </row>
    <row r="1956" spans="1:11" x14ac:dyDescent="0.25">
      <c r="A1956" s="1">
        <v>43959</v>
      </c>
      <c r="B1956" s="66" t="s">
        <v>63</v>
      </c>
      <c r="C1956" s="66" t="s">
        <v>64</v>
      </c>
      <c r="D1956" t="s">
        <v>65</v>
      </c>
      <c r="E1956">
        <v>-60</v>
      </c>
      <c r="F1956" s="66" t="s">
        <v>7</v>
      </c>
      <c r="G1956" s="66" t="s">
        <v>11</v>
      </c>
      <c r="H1956" s="66" t="str">
        <f>TEXT(Data[[#This Row],[Buchung]],"MMM")</f>
        <v>Mai</v>
      </c>
      <c r="I1956" s="67">
        <f>YEAR(Data[[#This Row],[Buchung]])</f>
        <v>2020</v>
      </c>
      <c r="J1956" s="2">
        <f>ABS(Data[[#This Row],[Betrag]])</f>
        <v>60</v>
      </c>
      <c r="K1956" s="66" t="str">
        <f>IF(Data[[#This Row],[Betrag]]&lt;0,"A","E")</f>
        <v>A</v>
      </c>
    </row>
    <row r="1957" spans="1:11" x14ac:dyDescent="0.25">
      <c r="A1957" s="1">
        <v>43960</v>
      </c>
      <c r="B1957" s="66" t="s">
        <v>54</v>
      </c>
      <c r="C1957" s="66" t="s">
        <v>55</v>
      </c>
      <c r="D1957" t="s">
        <v>66</v>
      </c>
      <c r="E1957">
        <v>-80</v>
      </c>
      <c r="F1957" s="66" t="s">
        <v>7</v>
      </c>
      <c r="G1957" s="66" t="s">
        <v>57</v>
      </c>
      <c r="H1957" s="66" t="str">
        <f>TEXT(Data[[#This Row],[Buchung]],"MMM")</f>
        <v>Mai</v>
      </c>
      <c r="I1957" s="67">
        <f>YEAR(Data[[#This Row],[Buchung]])</f>
        <v>2020</v>
      </c>
      <c r="J1957" s="2">
        <f>ABS(Data[[#This Row],[Betrag]])</f>
        <v>80</v>
      </c>
      <c r="K1957" s="66" t="str">
        <f>IF(Data[[#This Row],[Betrag]]&lt;0,"A","E")</f>
        <v>A</v>
      </c>
    </row>
    <row r="1958" spans="1:11" x14ac:dyDescent="0.25">
      <c r="A1958" s="1">
        <v>43961</v>
      </c>
      <c r="B1958" s="66" t="s">
        <v>67</v>
      </c>
      <c r="C1958" s="66" t="s">
        <v>59</v>
      </c>
      <c r="D1958" t="s">
        <v>68</v>
      </c>
      <c r="E1958">
        <v>-30</v>
      </c>
      <c r="F1958" s="66" t="s">
        <v>7</v>
      </c>
      <c r="G1958" s="66" t="s">
        <v>10</v>
      </c>
      <c r="H1958" s="66" t="str">
        <f>TEXT(Data[[#This Row],[Buchung]],"MMM")</f>
        <v>Mai</v>
      </c>
      <c r="I1958" s="67">
        <f>YEAR(Data[[#This Row],[Buchung]])</f>
        <v>2020</v>
      </c>
      <c r="J1958" s="2">
        <f>ABS(Data[[#This Row],[Betrag]])</f>
        <v>30</v>
      </c>
      <c r="K1958" s="66" t="str">
        <f>IF(Data[[#This Row],[Betrag]]&lt;0,"A","E")</f>
        <v>A</v>
      </c>
    </row>
    <row r="1959" spans="1:11" x14ac:dyDescent="0.25">
      <c r="A1959" s="1">
        <v>43962</v>
      </c>
      <c r="B1959" s="66" t="s">
        <v>45</v>
      </c>
      <c r="C1959" s="66" t="s">
        <v>46</v>
      </c>
      <c r="D1959" t="s">
        <v>47</v>
      </c>
      <c r="E1959">
        <v>1000</v>
      </c>
      <c r="F1959" s="66" t="s">
        <v>7</v>
      </c>
      <c r="G1959" s="66" t="s">
        <v>9</v>
      </c>
      <c r="H1959" s="66" t="str">
        <f>TEXT(Data[[#This Row],[Buchung]],"MMM")</f>
        <v>Mai</v>
      </c>
      <c r="I1959" s="67">
        <f>YEAR(Data[[#This Row],[Buchung]])</f>
        <v>2020</v>
      </c>
      <c r="J1959" s="2">
        <f>ABS(Data[[#This Row],[Betrag]])</f>
        <v>1000</v>
      </c>
      <c r="K1959" s="66" t="str">
        <f>IF(Data[[#This Row],[Betrag]]&lt;0,"A","E")</f>
        <v>E</v>
      </c>
    </row>
    <row r="1960" spans="1:11" x14ac:dyDescent="0.25">
      <c r="A1960" s="1">
        <v>43963</v>
      </c>
      <c r="B1960" s="66" t="s">
        <v>48</v>
      </c>
      <c r="C1960" s="66" t="s">
        <v>49</v>
      </c>
      <c r="D1960" t="s">
        <v>50</v>
      </c>
      <c r="E1960">
        <v>-15</v>
      </c>
      <c r="F1960" s="66" t="s">
        <v>7</v>
      </c>
      <c r="G1960" s="66" t="s">
        <v>8</v>
      </c>
      <c r="H1960" s="66" t="str">
        <f>TEXT(Data[[#This Row],[Buchung]],"MMM")</f>
        <v>Mai</v>
      </c>
      <c r="I1960" s="67">
        <f>YEAR(Data[[#This Row],[Buchung]])</f>
        <v>2020</v>
      </c>
      <c r="J1960" s="2">
        <f>ABS(Data[[#This Row],[Betrag]])</f>
        <v>15</v>
      </c>
      <c r="K1960" s="66" t="str">
        <f>IF(Data[[#This Row],[Betrag]]&lt;0,"A","E")</f>
        <v>A</v>
      </c>
    </row>
    <row r="1961" spans="1:11" x14ac:dyDescent="0.25">
      <c r="A1961" s="1">
        <v>43964</v>
      </c>
      <c r="B1961" s="66" t="s">
        <v>51</v>
      </c>
      <c r="C1961" s="66" t="s">
        <v>52</v>
      </c>
      <c r="D1961" t="s">
        <v>53</v>
      </c>
      <c r="E1961">
        <v>-350</v>
      </c>
      <c r="F1961" s="66" t="s">
        <v>7</v>
      </c>
      <c r="G1961" s="66" t="s">
        <v>11</v>
      </c>
      <c r="H1961" s="66" t="str">
        <f>TEXT(Data[[#This Row],[Buchung]],"MMM")</f>
        <v>Mai</v>
      </c>
      <c r="I1961" s="67">
        <f>YEAR(Data[[#This Row],[Buchung]])</f>
        <v>2020</v>
      </c>
      <c r="J1961" s="2">
        <f>ABS(Data[[#This Row],[Betrag]])</f>
        <v>350</v>
      </c>
      <c r="K1961" s="66" t="str">
        <f>IF(Data[[#This Row],[Betrag]]&lt;0,"A","E")</f>
        <v>A</v>
      </c>
    </row>
    <row r="1962" spans="1:11" x14ac:dyDescent="0.25">
      <c r="A1962" s="1">
        <v>43965</v>
      </c>
      <c r="B1962" s="66" t="s">
        <v>54</v>
      </c>
      <c r="C1962" s="66" t="s">
        <v>55</v>
      </c>
      <c r="D1962" t="s">
        <v>56</v>
      </c>
      <c r="E1962">
        <v>-120</v>
      </c>
      <c r="F1962" s="66" t="s">
        <v>7</v>
      </c>
      <c r="G1962" s="66" t="s">
        <v>57</v>
      </c>
      <c r="H1962" s="66" t="str">
        <f>TEXT(Data[[#This Row],[Buchung]],"MMM")</f>
        <v>Mai</v>
      </c>
      <c r="I1962" s="67">
        <f>YEAR(Data[[#This Row],[Buchung]])</f>
        <v>2020</v>
      </c>
      <c r="J1962" s="2">
        <f>ABS(Data[[#This Row],[Betrag]])</f>
        <v>120</v>
      </c>
      <c r="K1962" s="66" t="str">
        <f>IF(Data[[#This Row],[Betrag]]&lt;0,"A","E")</f>
        <v>A</v>
      </c>
    </row>
    <row r="1963" spans="1:11" x14ac:dyDescent="0.25">
      <c r="A1963" s="1">
        <v>43966</v>
      </c>
      <c r="B1963" s="66" t="s">
        <v>58</v>
      </c>
      <c r="C1963" s="66" t="s">
        <v>59</v>
      </c>
      <c r="D1963" t="s">
        <v>60</v>
      </c>
      <c r="E1963">
        <v>-80</v>
      </c>
      <c r="F1963" s="66" t="s">
        <v>7</v>
      </c>
      <c r="G1963" s="66" t="s">
        <v>10</v>
      </c>
      <c r="H1963" s="66" t="str">
        <f>TEXT(Data[[#This Row],[Buchung]],"MMM")</f>
        <v>Mai</v>
      </c>
      <c r="I1963" s="67">
        <f>YEAR(Data[[#This Row],[Buchung]])</f>
        <v>2020</v>
      </c>
      <c r="J1963" s="2">
        <f>ABS(Data[[#This Row],[Betrag]])</f>
        <v>80</v>
      </c>
      <c r="K1963" s="66" t="str">
        <f>IF(Data[[#This Row],[Betrag]]&lt;0,"A","E")</f>
        <v>A</v>
      </c>
    </row>
    <row r="1964" spans="1:11" x14ac:dyDescent="0.25">
      <c r="A1964" s="1">
        <v>43967</v>
      </c>
      <c r="B1964" s="66" t="s">
        <v>45</v>
      </c>
      <c r="C1964" s="66" t="s">
        <v>46</v>
      </c>
      <c r="D1964" t="s">
        <v>47</v>
      </c>
      <c r="E1964">
        <v>1000</v>
      </c>
      <c r="F1964" s="66" t="s">
        <v>7</v>
      </c>
      <c r="G1964" s="66" t="s">
        <v>9</v>
      </c>
      <c r="H1964" s="66" t="str">
        <f>TEXT(Data[[#This Row],[Buchung]],"MMM")</f>
        <v>Mai</v>
      </c>
      <c r="I1964" s="67">
        <f>YEAR(Data[[#This Row],[Buchung]])</f>
        <v>2020</v>
      </c>
      <c r="J1964" s="2">
        <f>ABS(Data[[#This Row],[Betrag]])</f>
        <v>1000</v>
      </c>
      <c r="K1964" s="66" t="str">
        <f>IF(Data[[#This Row],[Betrag]]&lt;0,"A","E")</f>
        <v>E</v>
      </c>
    </row>
    <row r="1965" spans="1:11" x14ac:dyDescent="0.25">
      <c r="A1965" s="1">
        <v>43968</v>
      </c>
      <c r="B1965" s="66" t="s">
        <v>61</v>
      </c>
      <c r="C1965" s="66" t="s">
        <v>49</v>
      </c>
      <c r="D1965" t="s">
        <v>62</v>
      </c>
      <c r="E1965">
        <v>-10</v>
      </c>
      <c r="F1965" s="66" t="s">
        <v>7</v>
      </c>
      <c r="G1965" s="66" t="s">
        <v>8</v>
      </c>
      <c r="H1965" s="66" t="str">
        <f>TEXT(Data[[#This Row],[Buchung]],"MMM")</f>
        <v>Mai</v>
      </c>
      <c r="I1965" s="67">
        <f>YEAR(Data[[#This Row],[Buchung]])</f>
        <v>2020</v>
      </c>
      <c r="J1965" s="2">
        <f>ABS(Data[[#This Row],[Betrag]])</f>
        <v>10</v>
      </c>
      <c r="K1965" s="66" t="str">
        <f>IF(Data[[#This Row],[Betrag]]&lt;0,"A","E")</f>
        <v>A</v>
      </c>
    </row>
    <row r="1966" spans="1:11" x14ac:dyDescent="0.25">
      <c r="A1966" s="1">
        <v>43969</v>
      </c>
      <c r="B1966" s="66" t="s">
        <v>63</v>
      </c>
      <c r="C1966" s="66" t="s">
        <v>64</v>
      </c>
      <c r="D1966" t="s">
        <v>65</v>
      </c>
      <c r="E1966">
        <v>-65</v>
      </c>
      <c r="F1966" s="66" t="s">
        <v>7</v>
      </c>
      <c r="G1966" s="66" t="s">
        <v>11</v>
      </c>
      <c r="H1966" s="66" t="str">
        <f>TEXT(Data[[#This Row],[Buchung]],"MMM")</f>
        <v>Mai</v>
      </c>
      <c r="I1966" s="67">
        <f>YEAR(Data[[#This Row],[Buchung]])</f>
        <v>2020</v>
      </c>
      <c r="J1966" s="2">
        <f>ABS(Data[[#This Row],[Betrag]])</f>
        <v>65</v>
      </c>
      <c r="K1966" s="66" t="str">
        <f>IF(Data[[#This Row],[Betrag]]&lt;0,"A","E")</f>
        <v>A</v>
      </c>
    </row>
    <row r="1967" spans="1:11" x14ac:dyDescent="0.25">
      <c r="A1967" s="1">
        <v>43970</v>
      </c>
      <c r="B1967" s="66" t="s">
        <v>54</v>
      </c>
      <c r="C1967" s="66" t="s">
        <v>55</v>
      </c>
      <c r="D1967" t="s">
        <v>66</v>
      </c>
      <c r="E1967">
        <v>-80</v>
      </c>
      <c r="F1967" s="66" t="s">
        <v>7</v>
      </c>
      <c r="G1967" s="66" t="s">
        <v>57</v>
      </c>
      <c r="H1967" s="66" t="str">
        <f>TEXT(Data[[#This Row],[Buchung]],"MMM")</f>
        <v>Mai</v>
      </c>
      <c r="I1967" s="67">
        <f>YEAR(Data[[#This Row],[Buchung]])</f>
        <v>2020</v>
      </c>
      <c r="J1967" s="2">
        <f>ABS(Data[[#This Row],[Betrag]])</f>
        <v>80</v>
      </c>
      <c r="K1967" s="66" t="str">
        <f>IF(Data[[#This Row],[Betrag]]&lt;0,"A","E")</f>
        <v>A</v>
      </c>
    </row>
    <row r="1968" spans="1:11" x14ac:dyDescent="0.25">
      <c r="A1968" s="1">
        <v>43971</v>
      </c>
      <c r="B1968" s="66" t="s">
        <v>67</v>
      </c>
      <c r="C1968" s="66" t="s">
        <v>59</v>
      </c>
      <c r="D1968" t="s">
        <v>68</v>
      </c>
      <c r="E1968">
        <v>-35</v>
      </c>
      <c r="F1968" s="66" t="s">
        <v>7</v>
      </c>
      <c r="G1968" s="66" t="s">
        <v>10</v>
      </c>
      <c r="H1968" s="66" t="str">
        <f>TEXT(Data[[#This Row],[Buchung]],"MMM")</f>
        <v>Mai</v>
      </c>
      <c r="I1968" s="67">
        <f>YEAR(Data[[#This Row],[Buchung]])</f>
        <v>2020</v>
      </c>
      <c r="J1968" s="2">
        <f>ABS(Data[[#This Row],[Betrag]])</f>
        <v>35</v>
      </c>
      <c r="K1968" s="66" t="str">
        <f>IF(Data[[#This Row],[Betrag]]&lt;0,"A","E")</f>
        <v>A</v>
      </c>
    </row>
    <row r="1969" spans="1:11" x14ac:dyDescent="0.25">
      <c r="A1969" s="1">
        <v>43972</v>
      </c>
      <c r="B1969" s="66" t="s">
        <v>45</v>
      </c>
      <c r="C1969" s="66" t="s">
        <v>46</v>
      </c>
      <c r="D1969" t="s">
        <v>47</v>
      </c>
      <c r="E1969">
        <v>1000</v>
      </c>
      <c r="F1969" s="66" t="s">
        <v>7</v>
      </c>
      <c r="G1969" s="66" t="s">
        <v>9</v>
      </c>
      <c r="H1969" s="66" t="str">
        <f>TEXT(Data[[#This Row],[Buchung]],"MMM")</f>
        <v>Mai</v>
      </c>
      <c r="I1969" s="67">
        <f>YEAR(Data[[#This Row],[Buchung]])</f>
        <v>2020</v>
      </c>
      <c r="J1969" s="2">
        <f>ABS(Data[[#This Row],[Betrag]])</f>
        <v>1000</v>
      </c>
      <c r="K1969" s="66" t="str">
        <f>IF(Data[[#This Row],[Betrag]]&lt;0,"A","E")</f>
        <v>E</v>
      </c>
    </row>
    <row r="1970" spans="1:11" x14ac:dyDescent="0.25">
      <c r="A1970" s="1">
        <v>43973</v>
      </c>
      <c r="B1970" s="66" t="s">
        <v>45</v>
      </c>
      <c r="C1970" s="66" t="s">
        <v>46</v>
      </c>
      <c r="D1970" t="s">
        <v>47</v>
      </c>
      <c r="E1970">
        <v>1000</v>
      </c>
      <c r="F1970" s="66" t="s">
        <v>7</v>
      </c>
      <c r="G1970" s="66" t="s">
        <v>9</v>
      </c>
      <c r="H1970" s="66" t="str">
        <f>TEXT(Data[[#This Row],[Buchung]],"MMM")</f>
        <v>Mai</v>
      </c>
      <c r="I1970" s="67">
        <f>YEAR(Data[[#This Row],[Buchung]])</f>
        <v>2020</v>
      </c>
      <c r="J1970" s="2">
        <f>ABS(Data[[#This Row],[Betrag]])</f>
        <v>1000</v>
      </c>
      <c r="K1970" s="66" t="str">
        <f>IF(Data[[#This Row],[Betrag]]&lt;0,"A","E")</f>
        <v>E</v>
      </c>
    </row>
    <row r="1971" spans="1:11" x14ac:dyDescent="0.25">
      <c r="A1971" s="1">
        <v>43974</v>
      </c>
      <c r="B1971" s="66" t="s">
        <v>48</v>
      </c>
      <c r="C1971" s="66" t="s">
        <v>49</v>
      </c>
      <c r="D1971" t="s">
        <v>50</v>
      </c>
      <c r="E1971">
        <v>-15</v>
      </c>
      <c r="F1971" s="66" t="s">
        <v>7</v>
      </c>
      <c r="G1971" s="66" t="s">
        <v>8</v>
      </c>
      <c r="H1971" s="66" t="str">
        <f>TEXT(Data[[#This Row],[Buchung]],"MMM")</f>
        <v>Mai</v>
      </c>
      <c r="I1971" s="67">
        <f>YEAR(Data[[#This Row],[Buchung]])</f>
        <v>2020</v>
      </c>
      <c r="J1971" s="2">
        <f>ABS(Data[[#This Row],[Betrag]])</f>
        <v>15</v>
      </c>
      <c r="K1971" s="66" t="str">
        <f>IF(Data[[#This Row],[Betrag]]&lt;0,"A","E")</f>
        <v>A</v>
      </c>
    </row>
    <row r="1972" spans="1:11" x14ac:dyDescent="0.25">
      <c r="A1972" s="1">
        <v>43975</v>
      </c>
      <c r="B1972" s="66" t="s">
        <v>51</v>
      </c>
      <c r="C1972" s="66" t="s">
        <v>52</v>
      </c>
      <c r="D1972" t="s">
        <v>53</v>
      </c>
      <c r="E1972">
        <v>-350</v>
      </c>
      <c r="F1972" s="66" t="s">
        <v>7</v>
      </c>
      <c r="G1972" s="66" t="s">
        <v>11</v>
      </c>
      <c r="H1972" s="66" t="str">
        <f>TEXT(Data[[#This Row],[Buchung]],"MMM")</f>
        <v>Mai</v>
      </c>
      <c r="I1972" s="67">
        <f>YEAR(Data[[#This Row],[Buchung]])</f>
        <v>2020</v>
      </c>
      <c r="J1972" s="2">
        <f>ABS(Data[[#This Row],[Betrag]])</f>
        <v>350</v>
      </c>
      <c r="K1972" s="66" t="str">
        <f>IF(Data[[#This Row],[Betrag]]&lt;0,"A","E")</f>
        <v>A</v>
      </c>
    </row>
    <row r="1973" spans="1:11" x14ac:dyDescent="0.25">
      <c r="A1973" s="1">
        <v>43976</v>
      </c>
      <c r="B1973" s="66" t="s">
        <v>54</v>
      </c>
      <c r="C1973" s="66" t="s">
        <v>55</v>
      </c>
      <c r="D1973" t="s">
        <v>56</v>
      </c>
      <c r="E1973">
        <v>-120</v>
      </c>
      <c r="F1973" s="66" t="s">
        <v>7</v>
      </c>
      <c r="G1973" s="66" t="s">
        <v>57</v>
      </c>
      <c r="H1973" s="66" t="str">
        <f>TEXT(Data[[#This Row],[Buchung]],"MMM")</f>
        <v>Mai</v>
      </c>
      <c r="I1973" s="67">
        <f>YEAR(Data[[#This Row],[Buchung]])</f>
        <v>2020</v>
      </c>
      <c r="J1973" s="2">
        <f>ABS(Data[[#This Row],[Betrag]])</f>
        <v>120</v>
      </c>
      <c r="K1973" s="66" t="str">
        <f>IF(Data[[#This Row],[Betrag]]&lt;0,"A","E")</f>
        <v>A</v>
      </c>
    </row>
    <row r="1974" spans="1:11" x14ac:dyDescent="0.25">
      <c r="A1974" s="1">
        <v>43977</v>
      </c>
      <c r="B1974" s="66" t="s">
        <v>58</v>
      </c>
      <c r="C1974" s="66" t="s">
        <v>59</v>
      </c>
      <c r="D1974" t="s">
        <v>60</v>
      </c>
      <c r="E1974">
        <v>-50</v>
      </c>
      <c r="F1974" s="66" t="s">
        <v>7</v>
      </c>
      <c r="G1974" s="66" t="s">
        <v>10</v>
      </c>
      <c r="H1974" s="66" t="str">
        <f>TEXT(Data[[#This Row],[Buchung]],"MMM")</f>
        <v>Mai</v>
      </c>
      <c r="I1974" s="67">
        <f>YEAR(Data[[#This Row],[Buchung]])</f>
        <v>2020</v>
      </c>
      <c r="J1974" s="2">
        <f>ABS(Data[[#This Row],[Betrag]])</f>
        <v>50</v>
      </c>
      <c r="K1974" s="66" t="str">
        <f>IF(Data[[#This Row],[Betrag]]&lt;0,"A","E")</f>
        <v>A</v>
      </c>
    </row>
    <row r="1975" spans="1:11" x14ac:dyDescent="0.25">
      <c r="A1975" s="1">
        <v>43978</v>
      </c>
      <c r="B1975" s="66" t="s">
        <v>45</v>
      </c>
      <c r="C1975" s="66" t="s">
        <v>46</v>
      </c>
      <c r="D1975" t="s">
        <v>47</v>
      </c>
      <c r="E1975">
        <v>1000</v>
      </c>
      <c r="F1975" s="66" t="s">
        <v>7</v>
      </c>
      <c r="G1975" s="66" t="s">
        <v>9</v>
      </c>
      <c r="H1975" s="66" t="str">
        <f>TEXT(Data[[#This Row],[Buchung]],"MMM")</f>
        <v>Mai</v>
      </c>
      <c r="I1975" s="67">
        <f>YEAR(Data[[#This Row],[Buchung]])</f>
        <v>2020</v>
      </c>
      <c r="J1975" s="2">
        <f>ABS(Data[[#This Row],[Betrag]])</f>
        <v>1000</v>
      </c>
      <c r="K1975" s="66" t="str">
        <f>IF(Data[[#This Row],[Betrag]]&lt;0,"A","E")</f>
        <v>E</v>
      </c>
    </row>
    <row r="1976" spans="1:11" x14ac:dyDescent="0.25">
      <c r="A1976" s="1">
        <v>43979</v>
      </c>
      <c r="B1976" s="66" t="s">
        <v>61</v>
      </c>
      <c r="C1976" s="66" t="s">
        <v>49</v>
      </c>
      <c r="D1976" t="s">
        <v>62</v>
      </c>
      <c r="E1976">
        <v>-10</v>
      </c>
      <c r="F1976" s="66" t="s">
        <v>7</v>
      </c>
      <c r="G1976" s="66" t="s">
        <v>8</v>
      </c>
      <c r="H1976" s="66" t="str">
        <f>TEXT(Data[[#This Row],[Buchung]],"MMM")</f>
        <v>Mai</v>
      </c>
      <c r="I1976" s="67">
        <f>YEAR(Data[[#This Row],[Buchung]])</f>
        <v>2020</v>
      </c>
      <c r="J1976" s="2">
        <f>ABS(Data[[#This Row],[Betrag]])</f>
        <v>10</v>
      </c>
      <c r="K1976" s="66" t="str">
        <f>IF(Data[[#This Row],[Betrag]]&lt;0,"A","E")</f>
        <v>A</v>
      </c>
    </row>
    <row r="1977" spans="1:11" x14ac:dyDescent="0.25">
      <c r="A1977" s="1">
        <v>43980</v>
      </c>
      <c r="B1977" s="66" t="s">
        <v>63</v>
      </c>
      <c r="C1977" s="66" t="s">
        <v>64</v>
      </c>
      <c r="D1977" t="s">
        <v>65</v>
      </c>
      <c r="E1977">
        <v>-60</v>
      </c>
      <c r="F1977" s="66" t="s">
        <v>7</v>
      </c>
      <c r="G1977" s="66" t="s">
        <v>11</v>
      </c>
      <c r="H1977" s="66" t="str">
        <f>TEXT(Data[[#This Row],[Buchung]],"MMM")</f>
        <v>Mai</v>
      </c>
      <c r="I1977" s="67">
        <f>YEAR(Data[[#This Row],[Buchung]])</f>
        <v>2020</v>
      </c>
      <c r="J1977" s="2">
        <f>ABS(Data[[#This Row],[Betrag]])</f>
        <v>60</v>
      </c>
      <c r="K1977" s="66" t="str">
        <f>IF(Data[[#This Row],[Betrag]]&lt;0,"A","E")</f>
        <v>A</v>
      </c>
    </row>
    <row r="1978" spans="1:11" x14ac:dyDescent="0.25">
      <c r="A1978" s="1">
        <v>43981</v>
      </c>
      <c r="B1978" s="66" t="s">
        <v>54</v>
      </c>
      <c r="C1978" s="66" t="s">
        <v>55</v>
      </c>
      <c r="D1978" t="s">
        <v>66</v>
      </c>
      <c r="E1978">
        <v>-80</v>
      </c>
      <c r="F1978" s="66" t="s">
        <v>7</v>
      </c>
      <c r="G1978" s="66" t="s">
        <v>57</v>
      </c>
      <c r="H1978" s="66" t="str">
        <f>TEXT(Data[[#This Row],[Buchung]],"MMM")</f>
        <v>Mai</v>
      </c>
      <c r="I1978" s="67">
        <f>YEAR(Data[[#This Row],[Buchung]])</f>
        <v>2020</v>
      </c>
      <c r="J1978" s="2">
        <f>ABS(Data[[#This Row],[Betrag]])</f>
        <v>80</v>
      </c>
      <c r="K1978" s="66" t="str">
        <f>IF(Data[[#This Row],[Betrag]]&lt;0,"A","E")</f>
        <v>A</v>
      </c>
    </row>
    <row r="1979" spans="1:11" x14ac:dyDescent="0.25">
      <c r="A1979" s="1">
        <v>43982</v>
      </c>
      <c r="B1979" s="66" t="s">
        <v>67</v>
      </c>
      <c r="C1979" s="66" t="s">
        <v>59</v>
      </c>
      <c r="D1979" t="s">
        <v>68</v>
      </c>
      <c r="E1979">
        <v>-20</v>
      </c>
      <c r="F1979" s="66" t="s">
        <v>7</v>
      </c>
      <c r="G1979" s="66" t="s">
        <v>10</v>
      </c>
      <c r="H1979" s="66" t="str">
        <f>TEXT(Data[[#This Row],[Buchung]],"MMM")</f>
        <v>Mai</v>
      </c>
      <c r="I1979" s="67">
        <f>YEAR(Data[[#This Row],[Buchung]])</f>
        <v>2020</v>
      </c>
      <c r="J1979" s="2">
        <f>ABS(Data[[#This Row],[Betrag]])</f>
        <v>20</v>
      </c>
      <c r="K1979" s="66" t="str">
        <f>IF(Data[[#This Row],[Betrag]]&lt;0,"A","E")</f>
        <v>A</v>
      </c>
    </row>
    <row r="1980" spans="1:11" x14ac:dyDescent="0.25">
      <c r="A1980" s="1">
        <v>43983</v>
      </c>
      <c r="B1980" s="66" t="s">
        <v>45</v>
      </c>
      <c r="C1980" s="66" t="s">
        <v>46</v>
      </c>
      <c r="D1980" t="s">
        <v>47</v>
      </c>
      <c r="E1980">
        <v>1000</v>
      </c>
      <c r="F1980" s="66" t="s">
        <v>7</v>
      </c>
      <c r="G1980" s="66" t="s">
        <v>9</v>
      </c>
      <c r="H1980" s="66" t="str">
        <f>TEXT(Data[[#This Row],[Buchung]],"MMM")</f>
        <v>Jun</v>
      </c>
      <c r="I1980" s="67">
        <f>YEAR(Data[[#This Row],[Buchung]])</f>
        <v>2020</v>
      </c>
      <c r="J1980" s="2">
        <f>ABS(Data[[#This Row],[Betrag]])</f>
        <v>1000</v>
      </c>
      <c r="K1980" s="66" t="str">
        <f>IF(Data[[#This Row],[Betrag]]&lt;0,"A","E")</f>
        <v>E</v>
      </c>
    </row>
    <row r="1981" spans="1:11" x14ac:dyDescent="0.25">
      <c r="A1981" s="1">
        <v>43984</v>
      </c>
      <c r="B1981" s="66" t="s">
        <v>48</v>
      </c>
      <c r="C1981" s="66" t="s">
        <v>49</v>
      </c>
      <c r="D1981" t="s">
        <v>50</v>
      </c>
      <c r="E1981">
        <v>-15</v>
      </c>
      <c r="F1981" s="66" t="s">
        <v>7</v>
      </c>
      <c r="G1981" s="66" t="s">
        <v>8</v>
      </c>
      <c r="H1981" s="66" t="str">
        <f>TEXT(Data[[#This Row],[Buchung]],"MMM")</f>
        <v>Jun</v>
      </c>
      <c r="I1981" s="67">
        <f>YEAR(Data[[#This Row],[Buchung]])</f>
        <v>2020</v>
      </c>
      <c r="J1981" s="2">
        <f>ABS(Data[[#This Row],[Betrag]])</f>
        <v>15</v>
      </c>
      <c r="K1981" s="66" t="str">
        <f>IF(Data[[#This Row],[Betrag]]&lt;0,"A","E")</f>
        <v>A</v>
      </c>
    </row>
    <row r="1982" spans="1:11" x14ac:dyDescent="0.25">
      <c r="A1982" s="1">
        <v>43985</v>
      </c>
      <c r="B1982" s="66" t="s">
        <v>51</v>
      </c>
      <c r="C1982" s="66" t="s">
        <v>52</v>
      </c>
      <c r="D1982" t="s">
        <v>53</v>
      </c>
      <c r="E1982">
        <v>-350</v>
      </c>
      <c r="F1982" s="66" t="s">
        <v>7</v>
      </c>
      <c r="G1982" s="66" t="s">
        <v>11</v>
      </c>
      <c r="H1982" s="66" t="str">
        <f>TEXT(Data[[#This Row],[Buchung]],"MMM")</f>
        <v>Jun</v>
      </c>
      <c r="I1982" s="67">
        <f>YEAR(Data[[#This Row],[Buchung]])</f>
        <v>2020</v>
      </c>
      <c r="J1982" s="2">
        <f>ABS(Data[[#This Row],[Betrag]])</f>
        <v>350</v>
      </c>
      <c r="K1982" s="66" t="str">
        <f>IF(Data[[#This Row],[Betrag]]&lt;0,"A","E")</f>
        <v>A</v>
      </c>
    </row>
    <row r="1983" spans="1:11" x14ac:dyDescent="0.25">
      <c r="A1983" s="1">
        <v>43986</v>
      </c>
      <c r="B1983" s="66" t="s">
        <v>54</v>
      </c>
      <c r="C1983" s="66" t="s">
        <v>55</v>
      </c>
      <c r="D1983" t="s">
        <v>56</v>
      </c>
      <c r="E1983">
        <v>-120</v>
      </c>
      <c r="F1983" s="66" t="s">
        <v>7</v>
      </c>
      <c r="G1983" s="66" t="s">
        <v>57</v>
      </c>
      <c r="H1983" s="66" t="str">
        <f>TEXT(Data[[#This Row],[Buchung]],"MMM")</f>
        <v>Jun</v>
      </c>
      <c r="I1983" s="67">
        <f>YEAR(Data[[#This Row],[Buchung]])</f>
        <v>2020</v>
      </c>
      <c r="J1983" s="2">
        <f>ABS(Data[[#This Row],[Betrag]])</f>
        <v>120</v>
      </c>
      <c r="K1983" s="66" t="str">
        <f>IF(Data[[#This Row],[Betrag]]&lt;0,"A","E")</f>
        <v>A</v>
      </c>
    </row>
    <row r="1984" spans="1:11" x14ac:dyDescent="0.25">
      <c r="A1984" s="1">
        <v>43987</v>
      </c>
      <c r="B1984" s="66" t="s">
        <v>58</v>
      </c>
      <c r="C1984" s="66" t="s">
        <v>59</v>
      </c>
      <c r="D1984" t="s">
        <v>60</v>
      </c>
      <c r="E1984">
        <v>-60</v>
      </c>
      <c r="F1984" s="66" t="s">
        <v>7</v>
      </c>
      <c r="G1984" s="66" t="s">
        <v>10</v>
      </c>
      <c r="H1984" s="66" t="str">
        <f>TEXT(Data[[#This Row],[Buchung]],"MMM")</f>
        <v>Jun</v>
      </c>
      <c r="I1984" s="67">
        <f>YEAR(Data[[#This Row],[Buchung]])</f>
        <v>2020</v>
      </c>
      <c r="J1984" s="2">
        <f>ABS(Data[[#This Row],[Betrag]])</f>
        <v>60</v>
      </c>
      <c r="K1984" s="66" t="str">
        <f>IF(Data[[#This Row],[Betrag]]&lt;0,"A","E")</f>
        <v>A</v>
      </c>
    </row>
    <row r="1985" spans="1:11" x14ac:dyDescent="0.25">
      <c r="A1985" s="1">
        <v>43988</v>
      </c>
      <c r="B1985" s="66" t="s">
        <v>45</v>
      </c>
      <c r="C1985" s="66" t="s">
        <v>46</v>
      </c>
      <c r="D1985" t="s">
        <v>47</v>
      </c>
      <c r="E1985">
        <v>1000</v>
      </c>
      <c r="F1985" s="66" t="s">
        <v>7</v>
      </c>
      <c r="G1985" s="66" t="s">
        <v>9</v>
      </c>
      <c r="H1985" s="66" t="str">
        <f>TEXT(Data[[#This Row],[Buchung]],"MMM")</f>
        <v>Jun</v>
      </c>
      <c r="I1985" s="67">
        <f>YEAR(Data[[#This Row],[Buchung]])</f>
        <v>2020</v>
      </c>
      <c r="J1985" s="2">
        <f>ABS(Data[[#This Row],[Betrag]])</f>
        <v>1000</v>
      </c>
      <c r="K1985" s="66" t="str">
        <f>IF(Data[[#This Row],[Betrag]]&lt;0,"A","E")</f>
        <v>E</v>
      </c>
    </row>
    <row r="1986" spans="1:11" x14ac:dyDescent="0.25">
      <c r="A1986" s="1">
        <v>43989</v>
      </c>
      <c r="B1986" s="66" t="s">
        <v>61</v>
      </c>
      <c r="C1986" s="66" t="s">
        <v>49</v>
      </c>
      <c r="D1986" t="s">
        <v>62</v>
      </c>
      <c r="E1986">
        <v>-10</v>
      </c>
      <c r="F1986" s="66" t="s">
        <v>7</v>
      </c>
      <c r="G1986" s="66" t="s">
        <v>8</v>
      </c>
      <c r="H1986" s="66" t="str">
        <f>TEXT(Data[[#This Row],[Buchung]],"MMM")</f>
        <v>Jun</v>
      </c>
      <c r="I1986" s="67">
        <f>YEAR(Data[[#This Row],[Buchung]])</f>
        <v>2020</v>
      </c>
      <c r="J1986" s="2">
        <f>ABS(Data[[#This Row],[Betrag]])</f>
        <v>10</v>
      </c>
      <c r="K1986" s="66" t="str">
        <f>IF(Data[[#This Row],[Betrag]]&lt;0,"A","E")</f>
        <v>A</v>
      </c>
    </row>
    <row r="1987" spans="1:11" x14ac:dyDescent="0.25">
      <c r="A1987" s="1">
        <v>43990</v>
      </c>
      <c r="B1987" s="66" t="s">
        <v>63</v>
      </c>
      <c r="C1987" s="66" t="s">
        <v>64</v>
      </c>
      <c r="D1987" t="s">
        <v>65</v>
      </c>
      <c r="E1987">
        <v>-70</v>
      </c>
      <c r="F1987" s="66" t="s">
        <v>7</v>
      </c>
      <c r="G1987" s="66" t="s">
        <v>11</v>
      </c>
      <c r="H1987" s="66" t="str">
        <f>TEXT(Data[[#This Row],[Buchung]],"MMM")</f>
        <v>Jun</v>
      </c>
      <c r="I1987" s="67">
        <f>YEAR(Data[[#This Row],[Buchung]])</f>
        <v>2020</v>
      </c>
      <c r="J1987" s="2">
        <f>ABS(Data[[#This Row],[Betrag]])</f>
        <v>70</v>
      </c>
      <c r="K1987" s="66" t="str">
        <f>IF(Data[[#This Row],[Betrag]]&lt;0,"A","E")</f>
        <v>A</v>
      </c>
    </row>
    <row r="1988" spans="1:11" x14ac:dyDescent="0.25">
      <c r="A1988" s="1">
        <v>43991</v>
      </c>
      <c r="B1988" s="66" t="s">
        <v>54</v>
      </c>
      <c r="C1988" s="66" t="s">
        <v>55</v>
      </c>
      <c r="D1988" t="s">
        <v>66</v>
      </c>
      <c r="E1988">
        <v>-80</v>
      </c>
      <c r="F1988" s="66" t="s">
        <v>7</v>
      </c>
      <c r="G1988" s="66" t="s">
        <v>57</v>
      </c>
      <c r="H1988" s="66" t="str">
        <f>TEXT(Data[[#This Row],[Buchung]],"MMM")</f>
        <v>Jun</v>
      </c>
      <c r="I1988" s="67">
        <f>YEAR(Data[[#This Row],[Buchung]])</f>
        <v>2020</v>
      </c>
      <c r="J1988" s="2">
        <f>ABS(Data[[#This Row],[Betrag]])</f>
        <v>80</v>
      </c>
      <c r="K1988" s="66" t="str">
        <f>IF(Data[[#This Row],[Betrag]]&lt;0,"A","E")</f>
        <v>A</v>
      </c>
    </row>
    <row r="1989" spans="1:11" x14ac:dyDescent="0.25">
      <c r="A1989" s="1">
        <v>43992</v>
      </c>
      <c r="B1989" s="66" t="s">
        <v>67</v>
      </c>
      <c r="C1989" s="66" t="s">
        <v>59</v>
      </c>
      <c r="D1989" t="s">
        <v>68</v>
      </c>
      <c r="E1989">
        <v>-25</v>
      </c>
      <c r="F1989" s="66" t="s">
        <v>7</v>
      </c>
      <c r="G1989" s="66" t="s">
        <v>10</v>
      </c>
      <c r="H1989" s="66" t="str">
        <f>TEXT(Data[[#This Row],[Buchung]],"MMM")</f>
        <v>Jun</v>
      </c>
      <c r="I1989" s="67">
        <f>YEAR(Data[[#This Row],[Buchung]])</f>
        <v>2020</v>
      </c>
      <c r="J1989" s="2">
        <f>ABS(Data[[#This Row],[Betrag]])</f>
        <v>25</v>
      </c>
      <c r="K1989" s="66" t="str">
        <f>IF(Data[[#This Row],[Betrag]]&lt;0,"A","E")</f>
        <v>A</v>
      </c>
    </row>
    <row r="1990" spans="1:11" x14ac:dyDescent="0.25">
      <c r="A1990" s="1">
        <v>43993</v>
      </c>
      <c r="B1990" s="66" t="s">
        <v>45</v>
      </c>
      <c r="C1990" s="66" t="s">
        <v>46</v>
      </c>
      <c r="D1990" t="s">
        <v>47</v>
      </c>
      <c r="E1990">
        <v>1000</v>
      </c>
      <c r="F1990" s="66" t="s">
        <v>7</v>
      </c>
      <c r="G1990" s="66" t="s">
        <v>9</v>
      </c>
      <c r="H1990" s="66" t="str">
        <f>TEXT(Data[[#This Row],[Buchung]],"MMM")</f>
        <v>Jun</v>
      </c>
      <c r="I1990" s="67">
        <f>YEAR(Data[[#This Row],[Buchung]])</f>
        <v>2020</v>
      </c>
      <c r="J1990" s="2">
        <f>ABS(Data[[#This Row],[Betrag]])</f>
        <v>1000</v>
      </c>
      <c r="K1990" s="66" t="str">
        <f>IF(Data[[#This Row],[Betrag]]&lt;0,"A","E")</f>
        <v>E</v>
      </c>
    </row>
    <row r="1991" spans="1:11" x14ac:dyDescent="0.25">
      <c r="A1991" s="1">
        <v>43994</v>
      </c>
      <c r="B1991" s="66" t="s">
        <v>48</v>
      </c>
      <c r="C1991" s="66" t="s">
        <v>49</v>
      </c>
      <c r="D1991" t="s">
        <v>50</v>
      </c>
      <c r="E1991">
        <v>-15</v>
      </c>
      <c r="F1991" s="66" t="s">
        <v>7</v>
      </c>
      <c r="G1991" s="66" t="s">
        <v>8</v>
      </c>
      <c r="H1991" s="66" t="str">
        <f>TEXT(Data[[#This Row],[Buchung]],"MMM")</f>
        <v>Jun</v>
      </c>
      <c r="I1991" s="67">
        <f>YEAR(Data[[#This Row],[Buchung]])</f>
        <v>2020</v>
      </c>
      <c r="J1991" s="2">
        <f>ABS(Data[[#This Row],[Betrag]])</f>
        <v>15</v>
      </c>
      <c r="K1991" s="66" t="str">
        <f>IF(Data[[#This Row],[Betrag]]&lt;0,"A","E")</f>
        <v>A</v>
      </c>
    </row>
    <row r="1992" spans="1:11" x14ac:dyDescent="0.25">
      <c r="A1992" s="1">
        <v>43995</v>
      </c>
      <c r="B1992" s="66" t="s">
        <v>51</v>
      </c>
      <c r="C1992" s="66" t="s">
        <v>52</v>
      </c>
      <c r="D1992" t="s">
        <v>53</v>
      </c>
      <c r="E1992">
        <v>-350</v>
      </c>
      <c r="F1992" s="66" t="s">
        <v>7</v>
      </c>
      <c r="G1992" s="66" t="s">
        <v>11</v>
      </c>
      <c r="H1992" s="66" t="str">
        <f>TEXT(Data[[#This Row],[Buchung]],"MMM")</f>
        <v>Jun</v>
      </c>
      <c r="I1992" s="67">
        <f>YEAR(Data[[#This Row],[Buchung]])</f>
        <v>2020</v>
      </c>
      <c r="J1992" s="2">
        <f>ABS(Data[[#This Row],[Betrag]])</f>
        <v>350</v>
      </c>
      <c r="K1992" s="66" t="str">
        <f>IF(Data[[#This Row],[Betrag]]&lt;0,"A","E")</f>
        <v>A</v>
      </c>
    </row>
    <row r="1993" spans="1:11" x14ac:dyDescent="0.25">
      <c r="A1993" s="1">
        <v>43996</v>
      </c>
      <c r="B1993" s="66" t="s">
        <v>54</v>
      </c>
      <c r="C1993" s="66" t="s">
        <v>55</v>
      </c>
      <c r="D1993" t="s">
        <v>56</v>
      </c>
      <c r="E1993">
        <v>-120</v>
      </c>
      <c r="F1993" s="66" t="s">
        <v>7</v>
      </c>
      <c r="G1993" s="66" t="s">
        <v>57</v>
      </c>
      <c r="H1993" s="66" t="str">
        <f>TEXT(Data[[#This Row],[Buchung]],"MMM")</f>
        <v>Jun</v>
      </c>
      <c r="I1993" s="67">
        <f>YEAR(Data[[#This Row],[Buchung]])</f>
        <v>2020</v>
      </c>
      <c r="J1993" s="2">
        <f>ABS(Data[[#This Row],[Betrag]])</f>
        <v>120</v>
      </c>
      <c r="K1993" s="66" t="str">
        <f>IF(Data[[#This Row],[Betrag]]&lt;0,"A","E")</f>
        <v>A</v>
      </c>
    </row>
    <row r="1994" spans="1:11" x14ac:dyDescent="0.25">
      <c r="A1994" s="1">
        <v>43997</v>
      </c>
      <c r="B1994" s="66" t="s">
        <v>58</v>
      </c>
      <c r="C1994" s="66" t="s">
        <v>59</v>
      </c>
      <c r="D1994" t="s">
        <v>60</v>
      </c>
      <c r="E1994">
        <v>-70</v>
      </c>
      <c r="F1994" s="66" t="s">
        <v>7</v>
      </c>
      <c r="G1994" s="66" t="s">
        <v>10</v>
      </c>
      <c r="H1994" s="66" t="str">
        <f>TEXT(Data[[#This Row],[Buchung]],"MMM")</f>
        <v>Jun</v>
      </c>
      <c r="I1994" s="67">
        <f>YEAR(Data[[#This Row],[Buchung]])</f>
        <v>2020</v>
      </c>
      <c r="J1994" s="2">
        <f>ABS(Data[[#This Row],[Betrag]])</f>
        <v>70</v>
      </c>
      <c r="K1994" s="66" t="str">
        <f>IF(Data[[#This Row],[Betrag]]&lt;0,"A","E")</f>
        <v>A</v>
      </c>
    </row>
    <row r="1995" spans="1:11" x14ac:dyDescent="0.25">
      <c r="A1995" s="1">
        <v>43998</v>
      </c>
      <c r="B1995" s="66" t="s">
        <v>45</v>
      </c>
      <c r="C1995" s="66" t="s">
        <v>46</v>
      </c>
      <c r="D1995" t="s">
        <v>47</v>
      </c>
      <c r="E1995">
        <v>1000</v>
      </c>
      <c r="F1995" s="66" t="s">
        <v>7</v>
      </c>
      <c r="G1995" s="66" t="s">
        <v>9</v>
      </c>
      <c r="H1995" s="66" t="str">
        <f>TEXT(Data[[#This Row],[Buchung]],"MMM")</f>
        <v>Jun</v>
      </c>
      <c r="I1995" s="67">
        <f>YEAR(Data[[#This Row],[Buchung]])</f>
        <v>2020</v>
      </c>
      <c r="J1995" s="2">
        <f>ABS(Data[[#This Row],[Betrag]])</f>
        <v>1000</v>
      </c>
      <c r="K1995" s="66" t="str">
        <f>IF(Data[[#This Row],[Betrag]]&lt;0,"A","E")</f>
        <v>E</v>
      </c>
    </row>
    <row r="1996" spans="1:11" x14ac:dyDescent="0.25">
      <c r="A1996" s="1">
        <v>43999</v>
      </c>
      <c r="B1996" s="66" t="s">
        <v>61</v>
      </c>
      <c r="C1996" s="66" t="s">
        <v>49</v>
      </c>
      <c r="D1996" t="s">
        <v>62</v>
      </c>
      <c r="E1996">
        <v>-10</v>
      </c>
      <c r="F1996" s="66" t="s">
        <v>7</v>
      </c>
      <c r="G1996" s="66" t="s">
        <v>8</v>
      </c>
      <c r="H1996" s="66" t="str">
        <f>TEXT(Data[[#This Row],[Buchung]],"MMM")</f>
        <v>Jun</v>
      </c>
      <c r="I1996" s="67">
        <f>YEAR(Data[[#This Row],[Buchung]])</f>
        <v>2020</v>
      </c>
      <c r="J1996" s="2">
        <f>ABS(Data[[#This Row],[Betrag]])</f>
        <v>10</v>
      </c>
      <c r="K1996" s="66" t="str">
        <f>IF(Data[[#This Row],[Betrag]]&lt;0,"A","E")</f>
        <v>A</v>
      </c>
    </row>
    <row r="1997" spans="1:11" x14ac:dyDescent="0.25">
      <c r="A1997" s="1">
        <v>44000</v>
      </c>
      <c r="B1997" s="66" t="s">
        <v>63</v>
      </c>
      <c r="C1997" s="66" t="s">
        <v>64</v>
      </c>
      <c r="D1997" t="s">
        <v>65</v>
      </c>
      <c r="E1997">
        <v>-60</v>
      </c>
      <c r="F1997" s="66" t="s">
        <v>7</v>
      </c>
      <c r="G1997" s="66" t="s">
        <v>11</v>
      </c>
      <c r="H1997" s="66" t="str">
        <f>TEXT(Data[[#This Row],[Buchung]],"MMM")</f>
        <v>Jun</v>
      </c>
      <c r="I1997" s="67">
        <f>YEAR(Data[[#This Row],[Buchung]])</f>
        <v>2020</v>
      </c>
      <c r="J1997" s="2">
        <f>ABS(Data[[#This Row],[Betrag]])</f>
        <v>60</v>
      </c>
      <c r="K1997" s="66" t="str">
        <f>IF(Data[[#This Row],[Betrag]]&lt;0,"A","E")</f>
        <v>A</v>
      </c>
    </row>
    <row r="1998" spans="1:11" x14ac:dyDescent="0.25">
      <c r="A1998" s="1">
        <v>44001</v>
      </c>
      <c r="B1998" s="66" t="s">
        <v>54</v>
      </c>
      <c r="C1998" s="66" t="s">
        <v>55</v>
      </c>
      <c r="D1998" t="s">
        <v>66</v>
      </c>
      <c r="E1998">
        <v>-80</v>
      </c>
      <c r="F1998" s="66" t="s">
        <v>7</v>
      </c>
      <c r="G1998" s="66" t="s">
        <v>57</v>
      </c>
      <c r="H1998" s="66" t="str">
        <f>TEXT(Data[[#This Row],[Buchung]],"MMM")</f>
        <v>Jun</v>
      </c>
      <c r="I1998" s="67">
        <f>YEAR(Data[[#This Row],[Buchung]])</f>
        <v>2020</v>
      </c>
      <c r="J1998" s="2">
        <f>ABS(Data[[#This Row],[Betrag]])</f>
        <v>80</v>
      </c>
      <c r="K1998" s="66" t="str">
        <f>IF(Data[[#This Row],[Betrag]]&lt;0,"A","E")</f>
        <v>A</v>
      </c>
    </row>
    <row r="1999" spans="1:11" x14ac:dyDescent="0.25">
      <c r="A1999" s="1">
        <v>44002</v>
      </c>
      <c r="B1999" s="66" t="s">
        <v>67</v>
      </c>
      <c r="C1999" s="66" t="s">
        <v>59</v>
      </c>
      <c r="D1999" t="s">
        <v>68</v>
      </c>
      <c r="E1999">
        <v>-30</v>
      </c>
      <c r="F1999" s="66" t="s">
        <v>7</v>
      </c>
      <c r="G1999" s="66" t="s">
        <v>10</v>
      </c>
      <c r="H1999" s="66" t="str">
        <f>TEXT(Data[[#This Row],[Buchung]],"MMM")</f>
        <v>Jun</v>
      </c>
      <c r="I1999" s="67">
        <f>YEAR(Data[[#This Row],[Buchung]])</f>
        <v>2020</v>
      </c>
      <c r="J1999" s="2">
        <f>ABS(Data[[#This Row],[Betrag]])</f>
        <v>30</v>
      </c>
      <c r="K1999" s="66" t="str">
        <f>IF(Data[[#This Row],[Betrag]]&lt;0,"A","E")</f>
        <v>A</v>
      </c>
    </row>
    <row r="2000" spans="1:11" x14ac:dyDescent="0.25">
      <c r="A2000" s="1">
        <v>44003</v>
      </c>
      <c r="B2000" s="66" t="s">
        <v>45</v>
      </c>
      <c r="C2000" s="66" t="s">
        <v>46</v>
      </c>
      <c r="D2000" t="s">
        <v>47</v>
      </c>
      <c r="E2000">
        <v>1000</v>
      </c>
      <c r="F2000" s="66" t="s">
        <v>7</v>
      </c>
      <c r="G2000" s="66" t="s">
        <v>9</v>
      </c>
      <c r="H2000" s="66" t="str">
        <f>TEXT(Data[[#This Row],[Buchung]],"MMM")</f>
        <v>Jun</v>
      </c>
      <c r="I2000" s="67">
        <f>YEAR(Data[[#This Row],[Buchung]])</f>
        <v>2020</v>
      </c>
      <c r="J2000" s="2">
        <f>ABS(Data[[#This Row],[Betrag]])</f>
        <v>1000</v>
      </c>
      <c r="K2000" s="66" t="str">
        <f>IF(Data[[#This Row],[Betrag]]&lt;0,"A","E")</f>
        <v>E</v>
      </c>
    </row>
    <row r="2001" spans="1:11" x14ac:dyDescent="0.25">
      <c r="A2001" s="1">
        <v>44004</v>
      </c>
      <c r="B2001" s="66" t="s">
        <v>48</v>
      </c>
      <c r="C2001" s="66" t="s">
        <v>49</v>
      </c>
      <c r="D2001" t="s">
        <v>50</v>
      </c>
      <c r="E2001">
        <v>-15</v>
      </c>
      <c r="F2001" s="66" t="s">
        <v>7</v>
      </c>
      <c r="G2001" s="66" t="s">
        <v>8</v>
      </c>
      <c r="H2001" s="66" t="str">
        <f>TEXT(Data[[#This Row],[Buchung]],"MMM")</f>
        <v>Jun</v>
      </c>
      <c r="I2001" s="67">
        <f>YEAR(Data[[#This Row],[Buchung]])</f>
        <v>2020</v>
      </c>
      <c r="J2001" s="2">
        <f>ABS(Data[[#This Row],[Betrag]])</f>
        <v>15</v>
      </c>
      <c r="K2001" s="66" t="str">
        <f>IF(Data[[#This Row],[Betrag]]&lt;0,"A","E")</f>
        <v>A</v>
      </c>
    </row>
    <row r="2002" spans="1:11" x14ac:dyDescent="0.25">
      <c r="A2002" s="1">
        <v>44005</v>
      </c>
      <c r="B2002" s="66" t="s">
        <v>51</v>
      </c>
      <c r="C2002" s="66" t="s">
        <v>52</v>
      </c>
      <c r="D2002" t="s">
        <v>53</v>
      </c>
      <c r="E2002">
        <v>-350</v>
      </c>
      <c r="F2002" s="66" t="s">
        <v>7</v>
      </c>
      <c r="G2002" s="66" t="s">
        <v>11</v>
      </c>
      <c r="H2002" s="66" t="str">
        <f>TEXT(Data[[#This Row],[Buchung]],"MMM")</f>
        <v>Jun</v>
      </c>
      <c r="I2002" s="67">
        <f>YEAR(Data[[#This Row],[Buchung]])</f>
        <v>2020</v>
      </c>
      <c r="J2002" s="2">
        <f>ABS(Data[[#This Row],[Betrag]])</f>
        <v>350</v>
      </c>
      <c r="K2002" s="66" t="str">
        <f>IF(Data[[#This Row],[Betrag]]&lt;0,"A","E")</f>
        <v>A</v>
      </c>
    </row>
    <row r="2003" spans="1:11" x14ac:dyDescent="0.25">
      <c r="A2003" s="1">
        <v>44006</v>
      </c>
      <c r="B2003" s="66" t="s">
        <v>54</v>
      </c>
      <c r="C2003" s="66" t="s">
        <v>55</v>
      </c>
      <c r="D2003" t="s">
        <v>56</v>
      </c>
      <c r="E2003">
        <v>-120</v>
      </c>
      <c r="F2003" s="66" t="s">
        <v>7</v>
      </c>
      <c r="G2003" s="66" t="s">
        <v>57</v>
      </c>
      <c r="H2003" s="66" t="str">
        <f>TEXT(Data[[#This Row],[Buchung]],"MMM")</f>
        <v>Jun</v>
      </c>
      <c r="I2003" s="67">
        <f>YEAR(Data[[#This Row],[Buchung]])</f>
        <v>2020</v>
      </c>
      <c r="J2003" s="2">
        <f>ABS(Data[[#This Row],[Betrag]])</f>
        <v>120</v>
      </c>
      <c r="K2003" s="66" t="str">
        <f>IF(Data[[#This Row],[Betrag]]&lt;0,"A","E")</f>
        <v>A</v>
      </c>
    </row>
    <row r="2004" spans="1:11" x14ac:dyDescent="0.25">
      <c r="A2004" s="1">
        <v>44007</v>
      </c>
      <c r="B2004" s="66" t="s">
        <v>58</v>
      </c>
      <c r="C2004" s="66" t="s">
        <v>59</v>
      </c>
      <c r="D2004" t="s">
        <v>60</v>
      </c>
      <c r="E2004">
        <v>-80</v>
      </c>
      <c r="F2004" s="66" t="s">
        <v>7</v>
      </c>
      <c r="G2004" s="66" t="s">
        <v>10</v>
      </c>
      <c r="H2004" s="66" t="str">
        <f>TEXT(Data[[#This Row],[Buchung]],"MMM")</f>
        <v>Jun</v>
      </c>
      <c r="I2004" s="67">
        <f>YEAR(Data[[#This Row],[Buchung]])</f>
        <v>2020</v>
      </c>
      <c r="J2004" s="2">
        <f>ABS(Data[[#This Row],[Betrag]])</f>
        <v>80</v>
      </c>
      <c r="K2004" s="66" t="str">
        <f>IF(Data[[#This Row],[Betrag]]&lt;0,"A","E")</f>
        <v>A</v>
      </c>
    </row>
    <row r="2005" spans="1:11" x14ac:dyDescent="0.25">
      <c r="A2005" s="1">
        <v>44008</v>
      </c>
      <c r="B2005" s="66" t="s">
        <v>45</v>
      </c>
      <c r="C2005" s="66" t="s">
        <v>46</v>
      </c>
      <c r="D2005" t="s">
        <v>47</v>
      </c>
      <c r="E2005">
        <v>1000</v>
      </c>
      <c r="F2005" s="66" t="s">
        <v>7</v>
      </c>
      <c r="G2005" s="66" t="s">
        <v>9</v>
      </c>
      <c r="H2005" s="66" t="str">
        <f>TEXT(Data[[#This Row],[Buchung]],"MMM")</f>
        <v>Jun</v>
      </c>
      <c r="I2005" s="67">
        <f>YEAR(Data[[#This Row],[Buchung]])</f>
        <v>2020</v>
      </c>
      <c r="J2005" s="2">
        <f>ABS(Data[[#This Row],[Betrag]])</f>
        <v>1000</v>
      </c>
      <c r="K2005" s="66" t="str">
        <f>IF(Data[[#This Row],[Betrag]]&lt;0,"A","E")</f>
        <v>E</v>
      </c>
    </row>
    <row r="2006" spans="1:11" x14ac:dyDescent="0.25">
      <c r="A2006" s="1">
        <v>44009</v>
      </c>
      <c r="B2006" s="66" t="s">
        <v>61</v>
      </c>
      <c r="C2006" s="66" t="s">
        <v>49</v>
      </c>
      <c r="D2006" t="s">
        <v>62</v>
      </c>
      <c r="E2006">
        <v>-10</v>
      </c>
      <c r="F2006" s="66" t="s">
        <v>7</v>
      </c>
      <c r="G2006" s="66" t="s">
        <v>8</v>
      </c>
      <c r="H2006" s="66" t="str">
        <f>TEXT(Data[[#This Row],[Buchung]],"MMM")</f>
        <v>Jun</v>
      </c>
      <c r="I2006" s="67">
        <f>YEAR(Data[[#This Row],[Buchung]])</f>
        <v>2020</v>
      </c>
      <c r="J2006" s="2">
        <f>ABS(Data[[#This Row],[Betrag]])</f>
        <v>10</v>
      </c>
      <c r="K2006" s="66" t="str">
        <f>IF(Data[[#This Row],[Betrag]]&lt;0,"A","E")</f>
        <v>A</v>
      </c>
    </row>
    <row r="2007" spans="1:11" x14ac:dyDescent="0.25">
      <c r="A2007" s="1">
        <v>44010</v>
      </c>
      <c r="B2007" s="66" t="s">
        <v>63</v>
      </c>
      <c r="C2007" s="66" t="s">
        <v>64</v>
      </c>
      <c r="D2007" t="s">
        <v>65</v>
      </c>
      <c r="E2007">
        <v>-65</v>
      </c>
      <c r="F2007" s="66" t="s">
        <v>7</v>
      </c>
      <c r="G2007" s="66" t="s">
        <v>11</v>
      </c>
      <c r="H2007" s="66" t="str">
        <f>TEXT(Data[[#This Row],[Buchung]],"MMM")</f>
        <v>Jun</v>
      </c>
      <c r="I2007" s="67">
        <f>YEAR(Data[[#This Row],[Buchung]])</f>
        <v>2020</v>
      </c>
      <c r="J2007" s="2">
        <f>ABS(Data[[#This Row],[Betrag]])</f>
        <v>65</v>
      </c>
      <c r="K2007" s="66" t="str">
        <f>IF(Data[[#This Row],[Betrag]]&lt;0,"A","E")</f>
        <v>A</v>
      </c>
    </row>
    <row r="2008" spans="1:11" x14ac:dyDescent="0.25">
      <c r="A2008" s="1">
        <v>44011</v>
      </c>
      <c r="B2008" s="66" t="s">
        <v>54</v>
      </c>
      <c r="C2008" s="66" t="s">
        <v>55</v>
      </c>
      <c r="D2008" t="s">
        <v>66</v>
      </c>
      <c r="E2008">
        <v>-80</v>
      </c>
      <c r="F2008" s="66" t="s">
        <v>7</v>
      </c>
      <c r="G2008" s="66" t="s">
        <v>57</v>
      </c>
      <c r="H2008" s="66" t="str">
        <f>TEXT(Data[[#This Row],[Buchung]],"MMM")</f>
        <v>Jun</v>
      </c>
      <c r="I2008" s="67">
        <f>YEAR(Data[[#This Row],[Buchung]])</f>
        <v>2020</v>
      </c>
      <c r="J2008" s="2">
        <f>ABS(Data[[#This Row],[Betrag]])</f>
        <v>80</v>
      </c>
      <c r="K2008" s="66" t="str">
        <f>IF(Data[[#This Row],[Betrag]]&lt;0,"A","E")</f>
        <v>A</v>
      </c>
    </row>
    <row r="2009" spans="1:11" x14ac:dyDescent="0.25">
      <c r="A2009" s="1">
        <v>44012</v>
      </c>
      <c r="B2009" s="66" t="s">
        <v>67</v>
      </c>
      <c r="C2009" s="66" t="s">
        <v>59</v>
      </c>
      <c r="D2009" t="s">
        <v>68</v>
      </c>
      <c r="E2009">
        <v>-35</v>
      </c>
      <c r="F2009" s="66" t="s">
        <v>7</v>
      </c>
      <c r="G2009" s="66" t="s">
        <v>10</v>
      </c>
      <c r="H2009" s="66" t="str">
        <f>TEXT(Data[[#This Row],[Buchung]],"MMM")</f>
        <v>Jun</v>
      </c>
      <c r="I2009" s="67">
        <f>YEAR(Data[[#This Row],[Buchung]])</f>
        <v>2020</v>
      </c>
      <c r="J2009" s="2">
        <f>ABS(Data[[#This Row],[Betrag]])</f>
        <v>35</v>
      </c>
      <c r="K2009" s="66" t="str">
        <f>IF(Data[[#This Row],[Betrag]]&lt;0,"A","E")</f>
        <v>A</v>
      </c>
    </row>
    <row r="2010" spans="1:11" x14ac:dyDescent="0.25">
      <c r="A2010" s="1">
        <v>44013</v>
      </c>
      <c r="B2010" s="66" t="s">
        <v>45</v>
      </c>
      <c r="C2010" s="66" t="s">
        <v>46</v>
      </c>
      <c r="D2010" t="s">
        <v>47</v>
      </c>
      <c r="E2010">
        <v>1000</v>
      </c>
      <c r="F2010" s="66" t="s">
        <v>7</v>
      </c>
      <c r="G2010" s="66" t="s">
        <v>9</v>
      </c>
      <c r="H2010" s="66" t="str">
        <f>TEXT(Data[[#This Row],[Buchung]],"MMM")</f>
        <v>Jul</v>
      </c>
      <c r="I2010" s="67">
        <f>YEAR(Data[[#This Row],[Buchung]])</f>
        <v>2020</v>
      </c>
      <c r="J2010" s="2">
        <f>ABS(Data[[#This Row],[Betrag]])</f>
        <v>1000</v>
      </c>
      <c r="K2010" s="66" t="str">
        <f>IF(Data[[#This Row],[Betrag]]&lt;0,"A","E")</f>
        <v>E</v>
      </c>
    </row>
    <row r="2011" spans="1:11" x14ac:dyDescent="0.25">
      <c r="A2011" s="1">
        <v>44014</v>
      </c>
      <c r="B2011" s="66" t="s">
        <v>45</v>
      </c>
      <c r="C2011" s="66" t="s">
        <v>46</v>
      </c>
      <c r="D2011" t="s">
        <v>47</v>
      </c>
      <c r="E2011">
        <v>1000</v>
      </c>
      <c r="F2011" s="66" t="s">
        <v>7</v>
      </c>
      <c r="G2011" s="66" t="s">
        <v>9</v>
      </c>
      <c r="H2011" s="66" t="str">
        <f>TEXT(Data[[#This Row],[Buchung]],"MMM")</f>
        <v>Jul</v>
      </c>
      <c r="I2011" s="67">
        <f>YEAR(Data[[#This Row],[Buchung]])</f>
        <v>2020</v>
      </c>
      <c r="J2011" s="2">
        <f>ABS(Data[[#This Row],[Betrag]])</f>
        <v>1000</v>
      </c>
      <c r="K2011" s="66" t="str">
        <f>IF(Data[[#This Row],[Betrag]]&lt;0,"A","E")</f>
        <v>E</v>
      </c>
    </row>
    <row r="2012" spans="1:11" x14ac:dyDescent="0.25">
      <c r="A2012" s="1">
        <v>44015</v>
      </c>
      <c r="B2012" s="66" t="s">
        <v>48</v>
      </c>
      <c r="C2012" s="66" t="s">
        <v>49</v>
      </c>
      <c r="D2012" t="s">
        <v>50</v>
      </c>
      <c r="E2012">
        <v>-15</v>
      </c>
      <c r="F2012" s="66" t="s">
        <v>7</v>
      </c>
      <c r="G2012" s="66" t="s">
        <v>8</v>
      </c>
      <c r="H2012" s="66" t="str">
        <f>TEXT(Data[[#This Row],[Buchung]],"MMM")</f>
        <v>Jul</v>
      </c>
      <c r="I2012" s="67">
        <f>YEAR(Data[[#This Row],[Buchung]])</f>
        <v>2020</v>
      </c>
      <c r="J2012" s="2">
        <f>ABS(Data[[#This Row],[Betrag]])</f>
        <v>15</v>
      </c>
      <c r="K2012" s="66" t="str">
        <f>IF(Data[[#This Row],[Betrag]]&lt;0,"A","E")</f>
        <v>A</v>
      </c>
    </row>
    <row r="2013" spans="1:11" x14ac:dyDescent="0.25">
      <c r="A2013" s="1">
        <v>44016</v>
      </c>
      <c r="B2013" s="66" t="s">
        <v>51</v>
      </c>
      <c r="C2013" s="66" t="s">
        <v>52</v>
      </c>
      <c r="D2013" t="s">
        <v>53</v>
      </c>
      <c r="E2013">
        <v>-350</v>
      </c>
      <c r="F2013" s="66" t="s">
        <v>7</v>
      </c>
      <c r="G2013" s="66" t="s">
        <v>11</v>
      </c>
      <c r="H2013" s="66" t="str">
        <f>TEXT(Data[[#This Row],[Buchung]],"MMM")</f>
        <v>Jul</v>
      </c>
      <c r="I2013" s="67">
        <f>YEAR(Data[[#This Row],[Buchung]])</f>
        <v>2020</v>
      </c>
      <c r="J2013" s="2">
        <f>ABS(Data[[#This Row],[Betrag]])</f>
        <v>350</v>
      </c>
      <c r="K2013" s="66" t="str">
        <f>IF(Data[[#This Row],[Betrag]]&lt;0,"A","E")</f>
        <v>A</v>
      </c>
    </row>
    <row r="2014" spans="1:11" x14ac:dyDescent="0.25">
      <c r="A2014" s="1">
        <v>44017</v>
      </c>
      <c r="B2014" s="66" t="s">
        <v>54</v>
      </c>
      <c r="C2014" s="66" t="s">
        <v>55</v>
      </c>
      <c r="D2014" t="s">
        <v>56</v>
      </c>
      <c r="E2014">
        <v>-120</v>
      </c>
      <c r="F2014" s="66" t="s">
        <v>7</v>
      </c>
      <c r="G2014" s="66" t="s">
        <v>57</v>
      </c>
      <c r="H2014" s="66" t="str">
        <f>TEXT(Data[[#This Row],[Buchung]],"MMM")</f>
        <v>Jul</v>
      </c>
      <c r="I2014" s="67">
        <f>YEAR(Data[[#This Row],[Buchung]])</f>
        <v>2020</v>
      </c>
      <c r="J2014" s="2">
        <f>ABS(Data[[#This Row],[Betrag]])</f>
        <v>120</v>
      </c>
      <c r="K2014" s="66" t="str">
        <f>IF(Data[[#This Row],[Betrag]]&lt;0,"A","E")</f>
        <v>A</v>
      </c>
    </row>
    <row r="2015" spans="1:11" x14ac:dyDescent="0.25">
      <c r="A2015" s="1">
        <v>44018</v>
      </c>
      <c r="B2015" s="66" t="s">
        <v>58</v>
      </c>
      <c r="C2015" s="66" t="s">
        <v>59</v>
      </c>
      <c r="D2015" t="s">
        <v>60</v>
      </c>
      <c r="E2015">
        <v>-50</v>
      </c>
      <c r="F2015" s="66" t="s">
        <v>7</v>
      </c>
      <c r="G2015" s="66" t="s">
        <v>10</v>
      </c>
      <c r="H2015" s="66" t="str">
        <f>TEXT(Data[[#This Row],[Buchung]],"MMM")</f>
        <v>Jul</v>
      </c>
      <c r="I2015" s="67">
        <f>YEAR(Data[[#This Row],[Buchung]])</f>
        <v>2020</v>
      </c>
      <c r="J2015" s="2">
        <f>ABS(Data[[#This Row],[Betrag]])</f>
        <v>50</v>
      </c>
      <c r="K2015" s="66" t="str">
        <f>IF(Data[[#This Row],[Betrag]]&lt;0,"A","E")</f>
        <v>A</v>
      </c>
    </row>
    <row r="2016" spans="1:11" x14ac:dyDescent="0.25">
      <c r="A2016" s="1">
        <v>44019</v>
      </c>
      <c r="B2016" s="66" t="s">
        <v>45</v>
      </c>
      <c r="C2016" s="66" t="s">
        <v>46</v>
      </c>
      <c r="D2016" t="s">
        <v>47</v>
      </c>
      <c r="E2016">
        <v>1000</v>
      </c>
      <c r="F2016" s="66" t="s">
        <v>7</v>
      </c>
      <c r="G2016" s="66" t="s">
        <v>9</v>
      </c>
      <c r="H2016" s="66" t="str">
        <f>TEXT(Data[[#This Row],[Buchung]],"MMM")</f>
        <v>Jul</v>
      </c>
      <c r="I2016" s="67">
        <f>YEAR(Data[[#This Row],[Buchung]])</f>
        <v>2020</v>
      </c>
      <c r="J2016" s="2">
        <f>ABS(Data[[#This Row],[Betrag]])</f>
        <v>1000</v>
      </c>
      <c r="K2016" s="66" t="str">
        <f>IF(Data[[#This Row],[Betrag]]&lt;0,"A","E")</f>
        <v>E</v>
      </c>
    </row>
    <row r="2017" spans="1:11" x14ac:dyDescent="0.25">
      <c r="A2017" s="1">
        <v>44020</v>
      </c>
      <c r="B2017" s="66" t="s">
        <v>61</v>
      </c>
      <c r="C2017" s="66" t="s">
        <v>49</v>
      </c>
      <c r="D2017" t="s">
        <v>62</v>
      </c>
      <c r="E2017">
        <v>-10</v>
      </c>
      <c r="F2017" s="66" t="s">
        <v>7</v>
      </c>
      <c r="G2017" s="66" t="s">
        <v>8</v>
      </c>
      <c r="H2017" s="66" t="str">
        <f>TEXT(Data[[#This Row],[Buchung]],"MMM")</f>
        <v>Jul</v>
      </c>
      <c r="I2017" s="67">
        <f>YEAR(Data[[#This Row],[Buchung]])</f>
        <v>2020</v>
      </c>
      <c r="J2017" s="2">
        <f>ABS(Data[[#This Row],[Betrag]])</f>
        <v>10</v>
      </c>
      <c r="K2017" s="66" t="str">
        <f>IF(Data[[#This Row],[Betrag]]&lt;0,"A","E")</f>
        <v>A</v>
      </c>
    </row>
    <row r="2018" spans="1:11" x14ac:dyDescent="0.25">
      <c r="A2018" s="1">
        <v>44021</v>
      </c>
      <c r="B2018" s="66" t="s">
        <v>63</v>
      </c>
      <c r="C2018" s="66" t="s">
        <v>64</v>
      </c>
      <c r="D2018" t="s">
        <v>65</v>
      </c>
      <c r="E2018">
        <v>-60</v>
      </c>
      <c r="F2018" s="66" t="s">
        <v>7</v>
      </c>
      <c r="G2018" s="66" t="s">
        <v>11</v>
      </c>
      <c r="H2018" s="66" t="str">
        <f>TEXT(Data[[#This Row],[Buchung]],"MMM")</f>
        <v>Jul</v>
      </c>
      <c r="I2018" s="67">
        <f>YEAR(Data[[#This Row],[Buchung]])</f>
        <v>2020</v>
      </c>
      <c r="J2018" s="2">
        <f>ABS(Data[[#This Row],[Betrag]])</f>
        <v>60</v>
      </c>
      <c r="K2018" s="66" t="str">
        <f>IF(Data[[#This Row],[Betrag]]&lt;0,"A","E")</f>
        <v>A</v>
      </c>
    </row>
    <row r="2019" spans="1:11" x14ac:dyDescent="0.25">
      <c r="A2019" s="1">
        <v>44022</v>
      </c>
      <c r="B2019" s="66" t="s">
        <v>54</v>
      </c>
      <c r="C2019" s="66" t="s">
        <v>55</v>
      </c>
      <c r="D2019" t="s">
        <v>66</v>
      </c>
      <c r="E2019">
        <v>-80</v>
      </c>
      <c r="F2019" s="66" t="s">
        <v>7</v>
      </c>
      <c r="G2019" s="66" t="s">
        <v>57</v>
      </c>
      <c r="H2019" s="66" t="str">
        <f>TEXT(Data[[#This Row],[Buchung]],"MMM")</f>
        <v>Jul</v>
      </c>
      <c r="I2019" s="67">
        <f>YEAR(Data[[#This Row],[Buchung]])</f>
        <v>2020</v>
      </c>
      <c r="J2019" s="2">
        <f>ABS(Data[[#This Row],[Betrag]])</f>
        <v>80</v>
      </c>
      <c r="K2019" s="66" t="str">
        <f>IF(Data[[#This Row],[Betrag]]&lt;0,"A","E")</f>
        <v>A</v>
      </c>
    </row>
    <row r="2020" spans="1:11" x14ac:dyDescent="0.25">
      <c r="A2020" s="1">
        <v>44023</v>
      </c>
      <c r="B2020" s="66" t="s">
        <v>67</v>
      </c>
      <c r="C2020" s="66" t="s">
        <v>59</v>
      </c>
      <c r="D2020" t="s">
        <v>68</v>
      </c>
      <c r="E2020">
        <v>-20</v>
      </c>
      <c r="F2020" s="66" t="s">
        <v>7</v>
      </c>
      <c r="G2020" s="66" t="s">
        <v>10</v>
      </c>
      <c r="H2020" s="66" t="str">
        <f>TEXT(Data[[#This Row],[Buchung]],"MMM")</f>
        <v>Jul</v>
      </c>
      <c r="I2020" s="67">
        <f>YEAR(Data[[#This Row],[Buchung]])</f>
        <v>2020</v>
      </c>
      <c r="J2020" s="2">
        <f>ABS(Data[[#This Row],[Betrag]])</f>
        <v>20</v>
      </c>
      <c r="K2020" s="66" t="str">
        <f>IF(Data[[#This Row],[Betrag]]&lt;0,"A","E")</f>
        <v>A</v>
      </c>
    </row>
    <row r="2021" spans="1:11" x14ac:dyDescent="0.25">
      <c r="A2021" s="1">
        <v>44024</v>
      </c>
      <c r="B2021" s="66" t="s">
        <v>45</v>
      </c>
      <c r="C2021" s="66" t="s">
        <v>46</v>
      </c>
      <c r="D2021" t="s">
        <v>47</v>
      </c>
      <c r="E2021">
        <v>1000</v>
      </c>
      <c r="F2021" s="66" t="s">
        <v>7</v>
      </c>
      <c r="G2021" s="66" t="s">
        <v>9</v>
      </c>
      <c r="H2021" s="66" t="str">
        <f>TEXT(Data[[#This Row],[Buchung]],"MMM")</f>
        <v>Jul</v>
      </c>
      <c r="I2021" s="67">
        <f>YEAR(Data[[#This Row],[Buchung]])</f>
        <v>2020</v>
      </c>
      <c r="J2021" s="2">
        <f>ABS(Data[[#This Row],[Betrag]])</f>
        <v>1000</v>
      </c>
      <c r="K2021" s="66" t="str">
        <f>IF(Data[[#This Row],[Betrag]]&lt;0,"A","E")</f>
        <v>E</v>
      </c>
    </row>
    <row r="2022" spans="1:11" x14ac:dyDescent="0.25">
      <c r="A2022" s="1">
        <v>44025</v>
      </c>
      <c r="B2022" s="66" t="s">
        <v>48</v>
      </c>
      <c r="C2022" s="66" t="s">
        <v>49</v>
      </c>
      <c r="D2022" t="s">
        <v>50</v>
      </c>
      <c r="E2022">
        <v>-15</v>
      </c>
      <c r="F2022" s="66" t="s">
        <v>7</v>
      </c>
      <c r="G2022" s="66" t="s">
        <v>8</v>
      </c>
      <c r="H2022" s="66" t="str">
        <f>TEXT(Data[[#This Row],[Buchung]],"MMM")</f>
        <v>Jul</v>
      </c>
      <c r="I2022" s="67">
        <f>YEAR(Data[[#This Row],[Buchung]])</f>
        <v>2020</v>
      </c>
      <c r="J2022" s="2">
        <f>ABS(Data[[#This Row],[Betrag]])</f>
        <v>15</v>
      </c>
      <c r="K2022" s="66" t="str">
        <f>IF(Data[[#This Row],[Betrag]]&lt;0,"A","E")</f>
        <v>A</v>
      </c>
    </row>
    <row r="2023" spans="1:11" x14ac:dyDescent="0.25">
      <c r="A2023" s="1">
        <v>44026</v>
      </c>
      <c r="B2023" s="66" t="s">
        <v>51</v>
      </c>
      <c r="C2023" s="66" t="s">
        <v>52</v>
      </c>
      <c r="D2023" t="s">
        <v>53</v>
      </c>
      <c r="E2023">
        <v>-350</v>
      </c>
      <c r="F2023" s="66" t="s">
        <v>7</v>
      </c>
      <c r="G2023" s="66" t="s">
        <v>11</v>
      </c>
      <c r="H2023" s="66" t="str">
        <f>TEXT(Data[[#This Row],[Buchung]],"MMM")</f>
        <v>Jul</v>
      </c>
      <c r="I2023" s="67">
        <f>YEAR(Data[[#This Row],[Buchung]])</f>
        <v>2020</v>
      </c>
      <c r="J2023" s="2">
        <f>ABS(Data[[#This Row],[Betrag]])</f>
        <v>350</v>
      </c>
      <c r="K2023" s="66" t="str">
        <f>IF(Data[[#This Row],[Betrag]]&lt;0,"A","E")</f>
        <v>A</v>
      </c>
    </row>
    <row r="2024" spans="1:11" x14ac:dyDescent="0.25">
      <c r="A2024" s="1">
        <v>44027</v>
      </c>
      <c r="B2024" s="66" t="s">
        <v>54</v>
      </c>
      <c r="C2024" s="66" t="s">
        <v>55</v>
      </c>
      <c r="D2024" t="s">
        <v>56</v>
      </c>
      <c r="E2024">
        <v>-120</v>
      </c>
      <c r="F2024" s="66" t="s">
        <v>7</v>
      </c>
      <c r="G2024" s="66" t="s">
        <v>57</v>
      </c>
      <c r="H2024" s="66" t="str">
        <f>TEXT(Data[[#This Row],[Buchung]],"MMM")</f>
        <v>Jul</v>
      </c>
      <c r="I2024" s="67">
        <f>YEAR(Data[[#This Row],[Buchung]])</f>
        <v>2020</v>
      </c>
      <c r="J2024" s="2">
        <f>ABS(Data[[#This Row],[Betrag]])</f>
        <v>120</v>
      </c>
      <c r="K2024" s="66" t="str">
        <f>IF(Data[[#This Row],[Betrag]]&lt;0,"A","E")</f>
        <v>A</v>
      </c>
    </row>
    <row r="2025" spans="1:11" x14ac:dyDescent="0.25">
      <c r="A2025" s="1">
        <v>44028</v>
      </c>
      <c r="B2025" s="66" t="s">
        <v>58</v>
      </c>
      <c r="C2025" s="66" t="s">
        <v>59</v>
      </c>
      <c r="D2025" t="s">
        <v>60</v>
      </c>
      <c r="E2025">
        <v>-60</v>
      </c>
      <c r="F2025" s="66" t="s">
        <v>7</v>
      </c>
      <c r="G2025" s="66" t="s">
        <v>10</v>
      </c>
      <c r="H2025" s="66" t="str">
        <f>TEXT(Data[[#This Row],[Buchung]],"MMM")</f>
        <v>Jul</v>
      </c>
      <c r="I2025" s="67">
        <f>YEAR(Data[[#This Row],[Buchung]])</f>
        <v>2020</v>
      </c>
      <c r="J2025" s="2">
        <f>ABS(Data[[#This Row],[Betrag]])</f>
        <v>60</v>
      </c>
      <c r="K2025" s="66" t="str">
        <f>IF(Data[[#This Row],[Betrag]]&lt;0,"A","E")</f>
        <v>A</v>
      </c>
    </row>
    <row r="2026" spans="1:11" x14ac:dyDescent="0.25">
      <c r="A2026" s="1">
        <v>44029</v>
      </c>
      <c r="B2026" s="66" t="s">
        <v>45</v>
      </c>
      <c r="C2026" s="66" t="s">
        <v>46</v>
      </c>
      <c r="D2026" t="s">
        <v>47</v>
      </c>
      <c r="E2026">
        <v>1000</v>
      </c>
      <c r="F2026" s="66" t="s">
        <v>7</v>
      </c>
      <c r="G2026" s="66" t="s">
        <v>9</v>
      </c>
      <c r="H2026" s="66" t="str">
        <f>TEXT(Data[[#This Row],[Buchung]],"MMM")</f>
        <v>Jul</v>
      </c>
      <c r="I2026" s="67">
        <f>YEAR(Data[[#This Row],[Buchung]])</f>
        <v>2020</v>
      </c>
      <c r="J2026" s="2">
        <f>ABS(Data[[#This Row],[Betrag]])</f>
        <v>1000</v>
      </c>
      <c r="K2026" s="66" t="str">
        <f>IF(Data[[#This Row],[Betrag]]&lt;0,"A","E")</f>
        <v>E</v>
      </c>
    </row>
    <row r="2027" spans="1:11" x14ac:dyDescent="0.25">
      <c r="A2027" s="1">
        <v>44030</v>
      </c>
      <c r="B2027" s="66" t="s">
        <v>61</v>
      </c>
      <c r="C2027" s="66" t="s">
        <v>49</v>
      </c>
      <c r="D2027" t="s">
        <v>62</v>
      </c>
      <c r="E2027">
        <v>-10</v>
      </c>
      <c r="F2027" s="66" t="s">
        <v>7</v>
      </c>
      <c r="G2027" s="66" t="s">
        <v>8</v>
      </c>
      <c r="H2027" s="66" t="str">
        <f>TEXT(Data[[#This Row],[Buchung]],"MMM")</f>
        <v>Jul</v>
      </c>
      <c r="I2027" s="67">
        <f>YEAR(Data[[#This Row],[Buchung]])</f>
        <v>2020</v>
      </c>
      <c r="J2027" s="2">
        <f>ABS(Data[[#This Row],[Betrag]])</f>
        <v>10</v>
      </c>
      <c r="K2027" s="66" t="str">
        <f>IF(Data[[#This Row],[Betrag]]&lt;0,"A","E")</f>
        <v>A</v>
      </c>
    </row>
    <row r="2028" spans="1:11" x14ac:dyDescent="0.25">
      <c r="A2028" s="1">
        <v>44031</v>
      </c>
      <c r="B2028" s="66" t="s">
        <v>63</v>
      </c>
      <c r="C2028" s="66" t="s">
        <v>64</v>
      </c>
      <c r="D2028" t="s">
        <v>65</v>
      </c>
      <c r="E2028">
        <v>-70</v>
      </c>
      <c r="F2028" s="66" t="s">
        <v>7</v>
      </c>
      <c r="G2028" s="66" t="s">
        <v>11</v>
      </c>
      <c r="H2028" s="66" t="str">
        <f>TEXT(Data[[#This Row],[Buchung]],"MMM")</f>
        <v>Jul</v>
      </c>
      <c r="I2028" s="67">
        <f>YEAR(Data[[#This Row],[Buchung]])</f>
        <v>2020</v>
      </c>
      <c r="J2028" s="2">
        <f>ABS(Data[[#This Row],[Betrag]])</f>
        <v>70</v>
      </c>
      <c r="K2028" s="66" t="str">
        <f>IF(Data[[#This Row],[Betrag]]&lt;0,"A","E")</f>
        <v>A</v>
      </c>
    </row>
    <row r="2029" spans="1:11" x14ac:dyDescent="0.25">
      <c r="A2029" s="1">
        <v>44032</v>
      </c>
      <c r="B2029" s="66" t="s">
        <v>54</v>
      </c>
      <c r="C2029" s="66" t="s">
        <v>55</v>
      </c>
      <c r="D2029" t="s">
        <v>66</v>
      </c>
      <c r="E2029">
        <v>-80</v>
      </c>
      <c r="F2029" s="66" t="s">
        <v>7</v>
      </c>
      <c r="G2029" s="66" t="s">
        <v>57</v>
      </c>
      <c r="H2029" s="66" t="str">
        <f>TEXT(Data[[#This Row],[Buchung]],"MMM")</f>
        <v>Jul</v>
      </c>
      <c r="I2029" s="67">
        <f>YEAR(Data[[#This Row],[Buchung]])</f>
        <v>2020</v>
      </c>
      <c r="J2029" s="2">
        <f>ABS(Data[[#This Row],[Betrag]])</f>
        <v>80</v>
      </c>
      <c r="K2029" s="66" t="str">
        <f>IF(Data[[#This Row],[Betrag]]&lt;0,"A","E")</f>
        <v>A</v>
      </c>
    </row>
    <row r="2030" spans="1:11" x14ac:dyDescent="0.25">
      <c r="A2030" s="1">
        <v>44033</v>
      </c>
      <c r="B2030" s="66" t="s">
        <v>67</v>
      </c>
      <c r="C2030" s="66" t="s">
        <v>59</v>
      </c>
      <c r="D2030" t="s">
        <v>68</v>
      </c>
      <c r="E2030">
        <v>-25</v>
      </c>
      <c r="F2030" s="66" t="s">
        <v>7</v>
      </c>
      <c r="G2030" s="66" t="s">
        <v>10</v>
      </c>
      <c r="H2030" s="66" t="str">
        <f>TEXT(Data[[#This Row],[Buchung]],"MMM")</f>
        <v>Jul</v>
      </c>
      <c r="I2030" s="67">
        <f>YEAR(Data[[#This Row],[Buchung]])</f>
        <v>2020</v>
      </c>
      <c r="J2030" s="2">
        <f>ABS(Data[[#This Row],[Betrag]])</f>
        <v>25</v>
      </c>
      <c r="K2030" s="66" t="str">
        <f>IF(Data[[#This Row],[Betrag]]&lt;0,"A","E")</f>
        <v>A</v>
      </c>
    </row>
    <row r="2031" spans="1:11" x14ac:dyDescent="0.25">
      <c r="A2031" s="1">
        <v>44034</v>
      </c>
      <c r="B2031" s="66" t="s">
        <v>45</v>
      </c>
      <c r="C2031" s="66" t="s">
        <v>46</v>
      </c>
      <c r="D2031" t="s">
        <v>47</v>
      </c>
      <c r="E2031">
        <v>1000</v>
      </c>
      <c r="F2031" s="66" t="s">
        <v>7</v>
      </c>
      <c r="G2031" s="66" t="s">
        <v>9</v>
      </c>
      <c r="H2031" s="66" t="str">
        <f>TEXT(Data[[#This Row],[Buchung]],"MMM")</f>
        <v>Jul</v>
      </c>
      <c r="I2031" s="67">
        <f>YEAR(Data[[#This Row],[Buchung]])</f>
        <v>2020</v>
      </c>
      <c r="J2031" s="2">
        <f>ABS(Data[[#This Row],[Betrag]])</f>
        <v>1000</v>
      </c>
      <c r="K2031" s="66" t="str">
        <f>IF(Data[[#This Row],[Betrag]]&lt;0,"A","E")</f>
        <v>E</v>
      </c>
    </row>
    <row r="2032" spans="1:11" x14ac:dyDescent="0.25">
      <c r="A2032" s="1">
        <v>44035</v>
      </c>
      <c r="B2032" s="66" t="s">
        <v>48</v>
      </c>
      <c r="C2032" s="66" t="s">
        <v>49</v>
      </c>
      <c r="D2032" t="s">
        <v>50</v>
      </c>
      <c r="E2032">
        <v>-15</v>
      </c>
      <c r="F2032" s="66" t="s">
        <v>7</v>
      </c>
      <c r="G2032" s="66" t="s">
        <v>8</v>
      </c>
      <c r="H2032" s="66" t="str">
        <f>TEXT(Data[[#This Row],[Buchung]],"MMM")</f>
        <v>Jul</v>
      </c>
      <c r="I2032" s="67">
        <f>YEAR(Data[[#This Row],[Buchung]])</f>
        <v>2020</v>
      </c>
      <c r="J2032" s="2">
        <f>ABS(Data[[#This Row],[Betrag]])</f>
        <v>15</v>
      </c>
      <c r="K2032" s="66" t="str">
        <f>IF(Data[[#This Row],[Betrag]]&lt;0,"A","E")</f>
        <v>A</v>
      </c>
    </row>
    <row r="2033" spans="1:11" x14ac:dyDescent="0.25">
      <c r="A2033" s="1">
        <v>44036</v>
      </c>
      <c r="B2033" s="66" t="s">
        <v>51</v>
      </c>
      <c r="C2033" s="66" t="s">
        <v>52</v>
      </c>
      <c r="D2033" t="s">
        <v>53</v>
      </c>
      <c r="E2033">
        <v>-350</v>
      </c>
      <c r="F2033" s="66" t="s">
        <v>7</v>
      </c>
      <c r="G2033" s="66" t="s">
        <v>11</v>
      </c>
      <c r="H2033" s="66" t="str">
        <f>TEXT(Data[[#This Row],[Buchung]],"MMM")</f>
        <v>Jul</v>
      </c>
      <c r="I2033" s="67">
        <f>YEAR(Data[[#This Row],[Buchung]])</f>
        <v>2020</v>
      </c>
      <c r="J2033" s="2">
        <f>ABS(Data[[#This Row],[Betrag]])</f>
        <v>350</v>
      </c>
      <c r="K2033" s="66" t="str">
        <f>IF(Data[[#This Row],[Betrag]]&lt;0,"A","E")</f>
        <v>A</v>
      </c>
    </row>
    <row r="2034" spans="1:11" x14ac:dyDescent="0.25">
      <c r="A2034" s="1">
        <v>44037</v>
      </c>
      <c r="B2034" s="66" t="s">
        <v>54</v>
      </c>
      <c r="C2034" s="66" t="s">
        <v>55</v>
      </c>
      <c r="D2034" t="s">
        <v>56</v>
      </c>
      <c r="E2034">
        <v>-120</v>
      </c>
      <c r="F2034" s="66" t="s">
        <v>7</v>
      </c>
      <c r="G2034" s="66" t="s">
        <v>57</v>
      </c>
      <c r="H2034" s="66" t="str">
        <f>TEXT(Data[[#This Row],[Buchung]],"MMM")</f>
        <v>Jul</v>
      </c>
      <c r="I2034" s="67">
        <f>YEAR(Data[[#This Row],[Buchung]])</f>
        <v>2020</v>
      </c>
      <c r="J2034" s="2">
        <f>ABS(Data[[#This Row],[Betrag]])</f>
        <v>120</v>
      </c>
      <c r="K2034" s="66" t="str">
        <f>IF(Data[[#This Row],[Betrag]]&lt;0,"A","E")</f>
        <v>A</v>
      </c>
    </row>
    <row r="2035" spans="1:11" x14ac:dyDescent="0.25">
      <c r="A2035" s="1">
        <v>44038</v>
      </c>
      <c r="B2035" s="66" t="s">
        <v>58</v>
      </c>
      <c r="C2035" s="66" t="s">
        <v>59</v>
      </c>
      <c r="D2035" t="s">
        <v>60</v>
      </c>
      <c r="E2035">
        <v>-70</v>
      </c>
      <c r="F2035" s="66" t="s">
        <v>7</v>
      </c>
      <c r="G2035" s="66" t="s">
        <v>10</v>
      </c>
      <c r="H2035" s="66" t="str">
        <f>TEXT(Data[[#This Row],[Buchung]],"MMM")</f>
        <v>Jul</v>
      </c>
      <c r="I2035" s="67">
        <f>YEAR(Data[[#This Row],[Buchung]])</f>
        <v>2020</v>
      </c>
      <c r="J2035" s="2">
        <f>ABS(Data[[#This Row],[Betrag]])</f>
        <v>70</v>
      </c>
      <c r="K2035" s="66" t="str">
        <f>IF(Data[[#This Row],[Betrag]]&lt;0,"A","E")</f>
        <v>A</v>
      </c>
    </row>
    <row r="2036" spans="1:11" x14ac:dyDescent="0.25">
      <c r="A2036" s="1">
        <v>44039</v>
      </c>
      <c r="B2036" s="66" t="s">
        <v>45</v>
      </c>
      <c r="C2036" s="66" t="s">
        <v>46</v>
      </c>
      <c r="D2036" t="s">
        <v>47</v>
      </c>
      <c r="E2036">
        <v>1000</v>
      </c>
      <c r="F2036" s="66" t="s">
        <v>7</v>
      </c>
      <c r="G2036" s="66" t="s">
        <v>9</v>
      </c>
      <c r="H2036" s="66" t="str">
        <f>TEXT(Data[[#This Row],[Buchung]],"MMM")</f>
        <v>Jul</v>
      </c>
      <c r="I2036" s="67">
        <f>YEAR(Data[[#This Row],[Buchung]])</f>
        <v>2020</v>
      </c>
      <c r="J2036" s="2">
        <f>ABS(Data[[#This Row],[Betrag]])</f>
        <v>1000</v>
      </c>
      <c r="K2036" s="66" t="str">
        <f>IF(Data[[#This Row],[Betrag]]&lt;0,"A","E")</f>
        <v>E</v>
      </c>
    </row>
    <row r="2037" spans="1:11" x14ac:dyDescent="0.25">
      <c r="A2037" s="1">
        <v>44040</v>
      </c>
      <c r="B2037" s="66" t="s">
        <v>61</v>
      </c>
      <c r="C2037" s="66" t="s">
        <v>49</v>
      </c>
      <c r="D2037" t="s">
        <v>62</v>
      </c>
      <c r="E2037">
        <v>-10</v>
      </c>
      <c r="F2037" s="66" t="s">
        <v>7</v>
      </c>
      <c r="G2037" s="66" t="s">
        <v>8</v>
      </c>
      <c r="H2037" s="66" t="str">
        <f>TEXT(Data[[#This Row],[Buchung]],"MMM")</f>
        <v>Jul</v>
      </c>
      <c r="I2037" s="67">
        <f>YEAR(Data[[#This Row],[Buchung]])</f>
        <v>2020</v>
      </c>
      <c r="J2037" s="2">
        <f>ABS(Data[[#This Row],[Betrag]])</f>
        <v>10</v>
      </c>
      <c r="K2037" s="66" t="str">
        <f>IF(Data[[#This Row],[Betrag]]&lt;0,"A","E")</f>
        <v>A</v>
      </c>
    </row>
    <row r="2038" spans="1:11" x14ac:dyDescent="0.25">
      <c r="A2038" s="1">
        <v>44041</v>
      </c>
      <c r="B2038" s="66" t="s">
        <v>63</v>
      </c>
      <c r="C2038" s="66" t="s">
        <v>64</v>
      </c>
      <c r="D2038" t="s">
        <v>65</v>
      </c>
      <c r="E2038">
        <v>-60</v>
      </c>
      <c r="F2038" s="66" t="s">
        <v>7</v>
      </c>
      <c r="G2038" s="66" t="s">
        <v>11</v>
      </c>
      <c r="H2038" s="66" t="str">
        <f>TEXT(Data[[#This Row],[Buchung]],"MMM")</f>
        <v>Jul</v>
      </c>
      <c r="I2038" s="67">
        <f>YEAR(Data[[#This Row],[Buchung]])</f>
        <v>2020</v>
      </c>
      <c r="J2038" s="2">
        <f>ABS(Data[[#This Row],[Betrag]])</f>
        <v>60</v>
      </c>
      <c r="K2038" s="66" t="str">
        <f>IF(Data[[#This Row],[Betrag]]&lt;0,"A","E")</f>
        <v>A</v>
      </c>
    </row>
    <row r="2039" spans="1:11" x14ac:dyDescent="0.25">
      <c r="A2039" s="1">
        <v>44042</v>
      </c>
      <c r="B2039" s="66" t="s">
        <v>54</v>
      </c>
      <c r="C2039" s="66" t="s">
        <v>55</v>
      </c>
      <c r="D2039" t="s">
        <v>66</v>
      </c>
      <c r="E2039">
        <v>-80</v>
      </c>
      <c r="F2039" s="66" t="s">
        <v>7</v>
      </c>
      <c r="G2039" s="66" t="s">
        <v>57</v>
      </c>
      <c r="H2039" s="66" t="str">
        <f>TEXT(Data[[#This Row],[Buchung]],"MMM")</f>
        <v>Jul</v>
      </c>
      <c r="I2039" s="67">
        <f>YEAR(Data[[#This Row],[Buchung]])</f>
        <v>2020</v>
      </c>
      <c r="J2039" s="2">
        <f>ABS(Data[[#This Row],[Betrag]])</f>
        <v>80</v>
      </c>
      <c r="K2039" s="66" t="str">
        <f>IF(Data[[#This Row],[Betrag]]&lt;0,"A","E")</f>
        <v>A</v>
      </c>
    </row>
    <row r="2040" spans="1:11" x14ac:dyDescent="0.25">
      <c r="A2040" s="1">
        <v>44043</v>
      </c>
      <c r="B2040" s="66" t="s">
        <v>67</v>
      </c>
      <c r="C2040" s="66" t="s">
        <v>59</v>
      </c>
      <c r="D2040" t="s">
        <v>68</v>
      </c>
      <c r="E2040">
        <v>-30</v>
      </c>
      <c r="F2040" s="66" t="s">
        <v>7</v>
      </c>
      <c r="G2040" s="66" t="s">
        <v>10</v>
      </c>
      <c r="H2040" s="66" t="str">
        <f>TEXT(Data[[#This Row],[Buchung]],"MMM")</f>
        <v>Jul</v>
      </c>
      <c r="I2040" s="67">
        <f>YEAR(Data[[#This Row],[Buchung]])</f>
        <v>2020</v>
      </c>
      <c r="J2040" s="2">
        <f>ABS(Data[[#This Row],[Betrag]])</f>
        <v>30</v>
      </c>
      <c r="K2040" s="66" t="str">
        <f>IF(Data[[#This Row],[Betrag]]&lt;0,"A","E")</f>
        <v>A</v>
      </c>
    </row>
    <row r="2041" spans="1:11" x14ac:dyDescent="0.25">
      <c r="A2041" s="1">
        <v>44044</v>
      </c>
      <c r="B2041" s="66" t="s">
        <v>45</v>
      </c>
      <c r="C2041" s="66" t="s">
        <v>46</v>
      </c>
      <c r="D2041" t="s">
        <v>47</v>
      </c>
      <c r="E2041">
        <v>1000</v>
      </c>
      <c r="F2041" s="66" t="s">
        <v>7</v>
      </c>
      <c r="G2041" s="66" t="s">
        <v>9</v>
      </c>
      <c r="H2041" s="66" t="str">
        <f>TEXT(Data[[#This Row],[Buchung]],"MMM")</f>
        <v>Aug</v>
      </c>
      <c r="I2041" s="67">
        <f>YEAR(Data[[#This Row],[Buchung]])</f>
        <v>2020</v>
      </c>
      <c r="J2041" s="2">
        <f>ABS(Data[[#This Row],[Betrag]])</f>
        <v>1000</v>
      </c>
      <c r="K2041" s="66" t="str">
        <f>IF(Data[[#This Row],[Betrag]]&lt;0,"A","E")</f>
        <v>E</v>
      </c>
    </row>
    <row r="2042" spans="1:11" x14ac:dyDescent="0.25">
      <c r="A2042" s="1">
        <v>44045</v>
      </c>
      <c r="B2042" s="66" t="s">
        <v>48</v>
      </c>
      <c r="C2042" s="66" t="s">
        <v>49</v>
      </c>
      <c r="D2042" t="s">
        <v>50</v>
      </c>
      <c r="E2042">
        <v>-15</v>
      </c>
      <c r="F2042" s="66" t="s">
        <v>7</v>
      </c>
      <c r="G2042" s="66" t="s">
        <v>8</v>
      </c>
      <c r="H2042" s="66" t="str">
        <f>TEXT(Data[[#This Row],[Buchung]],"MMM")</f>
        <v>Aug</v>
      </c>
      <c r="I2042" s="67">
        <f>YEAR(Data[[#This Row],[Buchung]])</f>
        <v>2020</v>
      </c>
      <c r="J2042" s="2">
        <f>ABS(Data[[#This Row],[Betrag]])</f>
        <v>15</v>
      </c>
      <c r="K2042" s="66" t="str">
        <f>IF(Data[[#This Row],[Betrag]]&lt;0,"A","E")</f>
        <v>A</v>
      </c>
    </row>
    <row r="2043" spans="1:11" x14ac:dyDescent="0.25">
      <c r="A2043" s="1">
        <v>44046</v>
      </c>
      <c r="B2043" s="66" t="s">
        <v>51</v>
      </c>
      <c r="C2043" s="66" t="s">
        <v>52</v>
      </c>
      <c r="D2043" t="s">
        <v>53</v>
      </c>
      <c r="E2043">
        <v>-350</v>
      </c>
      <c r="F2043" s="66" t="s">
        <v>7</v>
      </c>
      <c r="G2043" s="66" t="s">
        <v>11</v>
      </c>
      <c r="H2043" s="66" t="str">
        <f>TEXT(Data[[#This Row],[Buchung]],"MMM")</f>
        <v>Aug</v>
      </c>
      <c r="I2043" s="67">
        <f>YEAR(Data[[#This Row],[Buchung]])</f>
        <v>2020</v>
      </c>
      <c r="J2043" s="2">
        <f>ABS(Data[[#This Row],[Betrag]])</f>
        <v>350</v>
      </c>
      <c r="K2043" s="66" t="str">
        <f>IF(Data[[#This Row],[Betrag]]&lt;0,"A","E")</f>
        <v>A</v>
      </c>
    </row>
    <row r="2044" spans="1:11" x14ac:dyDescent="0.25">
      <c r="A2044" s="1">
        <v>44047</v>
      </c>
      <c r="B2044" s="66" t="s">
        <v>54</v>
      </c>
      <c r="C2044" s="66" t="s">
        <v>55</v>
      </c>
      <c r="D2044" t="s">
        <v>56</v>
      </c>
      <c r="E2044">
        <v>-120</v>
      </c>
      <c r="F2044" s="66" t="s">
        <v>7</v>
      </c>
      <c r="G2044" s="66" t="s">
        <v>57</v>
      </c>
      <c r="H2044" s="66" t="str">
        <f>TEXT(Data[[#This Row],[Buchung]],"MMM")</f>
        <v>Aug</v>
      </c>
      <c r="I2044" s="67">
        <f>YEAR(Data[[#This Row],[Buchung]])</f>
        <v>2020</v>
      </c>
      <c r="J2044" s="2">
        <f>ABS(Data[[#This Row],[Betrag]])</f>
        <v>120</v>
      </c>
      <c r="K2044" s="66" t="str">
        <f>IF(Data[[#This Row],[Betrag]]&lt;0,"A","E")</f>
        <v>A</v>
      </c>
    </row>
    <row r="2045" spans="1:11" x14ac:dyDescent="0.25">
      <c r="A2045" s="1">
        <v>44048</v>
      </c>
      <c r="B2045" s="66" t="s">
        <v>58</v>
      </c>
      <c r="C2045" s="66" t="s">
        <v>59</v>
      </c>
      <c r="D2045" t="s">
        <v>60</v>
      </c>
      <c r="E2045">
        <v>-80</v>
      </c>
      <c r="F2045" s="66" t="s">
        <v>7</v>
      </c>
      <c r="G2045" s="66" t="s">
        <v>10</v>
      </c>
      <c r="H2045" s="66" t="str">
        <f>TEXT(Data[[#This Row],[Buchung]],"MMM")</f>
        <v>Aug</v>
      </c>
      <c r="I2045" s="67">
        <f>YEAR(Data[[#This Row],[Buchung]])</f>
        <v>2020</v>
      </c>
      <c r="J2045" s="2">
        <f>ABS(Data[[#This Row],[Betrag]])</f>
        <v>80</v>
      </c>
      <c r="K2045" s="66" t="str">
        <f>IF(Data[[#This Row],[Betrag]]&lt;0,"A","E")</f>
        <v>A</v>
      </c>
    </row>
    <row r="2046" spans="1:11" x14ac:dyDescent="0.25">
      <c r="A2046" s="1">
        <v>44049</v>
      </c>
      <c r="B2046" s="66" t="s">
        <v>45</v>
      </c>
      <c r="C2046" s="66" t="s">
        <v>46</v>
      </c>
      <c r="D2046" t="s">
        <v>47</v>
      </c>
      <c r="E2046">
        <v>1000</v>
      </c>
      <c r="F2046" s="66" t="s">
        <v>7</v>
      </c>
      <c r="G2046" s="66" t="s">
        <v>9</v>
      </c>
      <c r="H2046" s="66" t="str">
        <f>TEXT(Data[[#This Row],[Buchung]],"MMM")</f>
        <v>Aug</v>
      </c>
      <c r="I2046" s="67">
        <f>YEAR(Data[[#This Row],[Buchung]])</f>
        <v>2020</v>
      </c>
      <c r="J2046" s="2">
        <f>ABS(Data[[#This Row],[Betrag]])</f>
        <v>1000</v>
      </c>
      <c r="K2046" s="66" t="str">
        <f>IF(Data[[#This Row],[Betrag]]&lt;0,"A","E")</f>
        <v>E</v>
      </c>
    </row>
    <row r="2047" spans="1:11" x14ac:dyDescent="0.25">
      <c r="A2047" s="1">
        <v>44050</v>
      </c>
      <c r="B2047" s="66" t="s">
        <v>61</v>
      </c>
      <c r="C2047" s="66" t="s">
        <v>49</v>
      </c>
      <c r="D2047" t="s">
        <v>62</v>
      </c>
      <c r="E2047">
        <v>-10</v>
      </c>
      <c r="F2047" s="66" t="s">
        <v>7</v>
      </c>
      <c r="G2047" s="66" t="s">
        <v>8</v>
      </c>
      <c r="H2047" s="66" t="str">
        <f>TEXT(Data[[#This Row],[Buchung]],"MMM")</f>
        <v>Aug</v>
      </c>
      <c r="I2047" s="67">
        <f>YEAR(Data[[#This Row],[Buchung]])</f>
        <v>2020</v>
      </c>
      <c r="J2047" s="2">
        <f>ABS(Data[[#This Row],[Betrag]])</f>
        <v>10</v>
      </c>
      <c r="K2047" s="66" t="str">
        <f>IF(Data[[#This Row],[Betrag]]&lt;0,"A","E")</f>
        <v>A</v>
      </c>
    </row>
    <row r="2048" spans="1:11" x14ac:dyDescent="0.25">
      <c r="A2048" s="1">
        <v>44051</v>
      </c>
      <c r="B2048" s="66" t="s">
        <v>63</v>
      </c>
      <c r="C2048" s="66" t="s">
        <v>64</v>
      </c>
      <c r="D2048" t="s">
        <v>65</v>
      </c>
      <c r="E2048">
        <v>-65</v>
      </c>
      <c r="F2048" s="66" t="s">
        <v>7</v>
      </c>
      <c r="G2048" s="66" t="s">
        <v>11</v>
      </c>
      <c r="H2048" s="66" t="str">
        <f>TEXT(Data[[#This Row],[Buchung]],"MMM")</f>
        <v>Aug</v>
      </c>
      <c r="I2048" s="67">
        <f>YEAR(Data[[#This Row],[Buchung]])</f>
        <v>2020</v>
      </c>
      <c r="J2048" s="2">
        <f>ABS(Data[[#This Row],[Betrag]])</f>
        <v>65</v>
      </c>
      <c r="K2048" s="66" t="str">
        <f>IF(Data[[#This Row],[Betrag]]&lt;0,"A","E")</f>
        <v>A</v>
      </c>
    </row>
    <row r="2049" spans="1:11" x14ac:dyDescent="0.25">
      <c r="A2049" s="1">
        <v>44052</v>
      </c>
      <c r="B2049" s="66" t="s">
        <v>54</v>
      </c>
      <c r="C2049" s="66" t="s">
        <v>55</v>
      </c>
      <c r="D2049" t="s">
        <v>66</v>
      </c>
      <c r="E2049">
        <v>-80</v>
      </c>
      <c r="F2049" s="66" t="s">
        <v>7</v>
      </c>
      <c r="G2049" s="66" t="s">
        <v>57</v>
      </c>
      <c r="H2049" s="66" t="str">
        <f>TEXT(Data[[#This Row],[Buchung]],"MMM")</f>
        <v>Aug</v>
      </c>
      <c r="I2049" s="67">
        <f>YEAR(Data[[#This Row],[Buchung]])</f>
        <v>2020</v>
      </c>
      <c r="J2049" s="2">
        <f>ABS(Data[[#This Row],[Betrag]])</f>
        <v>80</v>
      </c>
      <c r="K2049" s="66" t="str">
        <f>IF(Data[[#This Row],[Betrag]]&lt;0,"A","E")</f>
        <v>A</v>
      </c>
    </row>
    <row r="2050" spans="1:11" x14ac:dyDescent="0.25">
      <c r="A2050" s="1">
        <v>44053</v>
      </c>
      <c r="B2050" s="66" t="s">
        <v>67</v>
      </c>
      <c r="C2050" s="66" t="s">
        <v>59</v>
      </c>
      <c r="D2050" t="s">
        <v>68</v>
      </c>
      <c r="E2050">
        <v>-35</v>
      </c>
      <c r="F2050" s="66" t="s">
        <v>7</v>
      </c>
      <c r="G2050" s="66" t="s">
        <v>10</v>
      </c>
      <c r="H2050" s="66" t="str">
        <f>TEXT(Data[[#This Row],[Buchung]],"MMM")</f>
        <v>Aug</v>
      </c>
      <c r="I2050" s="67">
        <f>YEAR(Data[[#This Row],[Buchung]])</f>
        <v>2020</v>
      </c>
      <c r="J2050" s="2">
        <f>ABS(Data[[#This Row],[Betrag]])</f>
        <v>35</v>
      </c>
      <c r="K2050" s="66" t="str">
        <f>IF(Data[[#This Row],[Betrag]]&lt;0,"A","E")</f>
        <v>A</v>
      </c>
    </row>
    <row r="2051" spans="1:11" x14ac:dyDescent="0.25">
      <c r="A2051" s="1">
        <v>44054</v>
      </c>
      <c r="B2051" s="66" t="s">
        <v>45</v>
      </c>
      <c r="C2051" s="66" t="s">
        <v>46</v>
      </c>
      <c r="D2051" t="s">
        <v>47</v>
      </c>
      <c r="E2051">
        <v>1000</v>
      </c>
      <c r="F2051" s="66" t="s">
        <v>7</v>
      </c>
      <c r="G2051" s="66" t="s">
        <v>9</v>
      </c>
      <c r="H2051" s="66" t="str">
        <f>TEXT(Data[[#This Row],[Buchung]],"MMM")</f>
        <v>Aug</v>
      </c>
      <c r="I2051" s="67">
        <f>YEAR(Data[[#This Row],[Buchung]])</f>
        <v>2020</v>
      </c>
      <c r="J2051" s="2">
        <f>ABS(Data[[#This Row],[Betrag]])</f>
        <v>1000</v>
      </c>
      <c r="K2051" s="66" t="str">
        <f>IF(Data[[#This Row],[Betrag]]&lt;0,"A","E")</f>
        <v>E</v>
      </c>
    </row>
    <row r="2052" spans="1:11" x14ac:dyDescent="0.25">
      <c r="A2052" s="1">
        <v>44055</v>
      </c>
      <c r="B2052" s="66" t="s">
        <v>45</v>
      </c>
      <c r="C2052" s="66" t="s">
        <v>46</v>
      </c>
      <c r="D2052" t="s">
        <v>47</v>
      </c>
      <c r="E2052">
        <v>1000</v>
      </c>
      <c r="F2052" s="66" t="s">
        <v>7</v>
      </c>
      <c r="G2052" s="66" t="s">
        <v>9</v>
      </c>
      <c r="H2052" s="66" t="str">
        <f>TEXT(Data[[#This Row],[Buchung]],"MMM")</f>
        <v>Aug</v>
      </c>
      <c r="I2052" s="67">
        <f>YEAR(Data[[#This Row],[Buchung]])</f>
        <v>2020</v>
      </c>
      <c r="J2052" s="2">
        <f>ABS(Data[[#This Row],[Betrag]])</f>
        <v>1000</v>
      </c>
      <c r="K2052" s="66" t="str">
        <f>IF(Data[[#This Row],[Betrag]]&lt;0,"A","E")</f>
        <v>E</v>
      </c>
    </row>
    <row r="2053" spans="1:11" x14ac:dyDescent="0.25">
      <c r="A2053" s="1">
        <v>44056</v>
      </c>
      <c r="B2053" s="66" t="s">
        <v>48</v>
      </c>
      <c r="C2053" s="66" t="s">
        <v>49</v>
      </c>
      <c r="D2053" t="s">
        <v>50</v>
      </c>
      <c r="E2053">
        <v>-15</v>
      </c>
      <c r="F2053" s="66" t="s">
        <v>7</v>
      </c>
      <c r="G2053" s="66" t="s">
        <v>8</v>
      </c>
      <c r="H2053" s="66" t="str">
        <f>TEXT(Data[[#This Row],[Buchung]],"MMM")</f>
        <v>Aug</v>
      </c>
      <c r="I2053" s="67">
        <f>YEAR(Data[[#This Row],[Buchung]])</f>
        <v>2020</v>
      </c>
      <c r="J2053" s="2">
        <f>ABS(Data[[#This Row],[Betrag]])</f>
        <v>15</v>
      </c>
      <c r="K2053" s="66" t="str">
        <f>IF(Data[[#This Row],[Betrag]]&lt;0,"A","E")</f>
        <v>A</v>
      </c>
    </row>
    <row r="2054" spans="1:11" x14ac:dyDescent="0.25">
      <c r="A2054" s="1">
        <v>44057</v>
      </c>
      <c r="B2054" s="66" t="s">
        <v>51</v>
      </c>
      <c r="C2054" s="66" t="s">
        <v>52</v>
      </c>
      <c r="D2054" t="s">
        <v>53</v>
      </c>
      <c r="E2054">
        <v>-350</v>
      </c>
      <c r="F2054" s="66" t="s">
        <v>7</v>
      </c>
      <c r="G2054" s="66" t="s">
        <v>11</v>
      </c>
      <c r="H2054" s="66" t="str">
        <f>TEXT(Data[[#This Row],[Buchung]],"MMM")</f>
        <v>Aug</v>
      </c>
      <c r="I2054" s="67">
        <f>YEAR(Data[[#This Row],[Buchung]])</f>
        <v>2020</v>
      </c>
      <c r="J2054" s="2">
        <f>ABS(Data[[#This Row],[Betrag]])</f>
        <v>350</v>
      </c>
      <c r="K2054" s="66" t="str">
        <f>IF(Data[[#This Row],[Betrag]]&lt;0,"A","E")</f>
        <v>A</v>
      </c>
    </row>
    <row r="2055" spans="1:11" x14ac:dyDescent="0.25">
      <c r="A2055" s="1">
        <v>44058</v>
      </c>
      <c r="B2055" s="66" t="s">
        <v>54</v>
      </c>
      <c r="C2055" s="66" t="s">
        <v>55</v>
      </c>
      <c r="D2055" t="s">
        <v>56</v>
      </c>
      <c r="E2055">
        <v>-120</v>
      </c>
      <c r="F2055" s="66" t="s">
        <v>7</v>
      </c>
      <c r="G2055" s="66" t="s">
        <v>57</v>
      </c>
      <c r="H2055" s="66" t="str">
        <f>TEXT(Data[[#This Row],[Buchung]],"MMM")</f>
        <v>Aug</v>
      </c>
      <c r="I2055" s="67">
        <f>YEAR(Data[[#This Row],[Buchung]])</f>
        <v>2020</v>
      </c>
      <c r="J2055" s="2">
        <f>ABS(Data[[#This Row],[Betrag]])</f>
        <v>120</v>
      </c>
      <c r="K2055" s="66" t="str">
        <f>IF(Data[[#This Row],[Betrag]]&lt;0,"A","E")</f>
        <v>A</v>
      </c>
    </row>
    <row r="2056" spans="1:11" x14ac:dyDescent="0.25">
      <c r="A2056" s="1">
        <v>44059</v>
      </c>
      <c r="B2056" s="66" t="s">
        <v>58</v>
      </c>
      <c r="C2056" s="66" t="s">
        <v>59</v>
      </c>
      <c r="D2056" t="s">
        <v>60</v>
      </c>
      <c r="E2056">
        <v>-50</v>
      </c>
      <c r="F2056" s="66" t="s">
        <v>7</v>
      </c>
      <c r="G2056" s="66" t="s">
        <v>10</v>
      </c>
      <c r="H2056" s="66" t="str">
        <f>TEXT(Data[[#This Row],[Buchung]],"MMM")</f>
        <v>Aug</v>
      </c>
      <c r="I2056" s="67">
        <f>YEAR(Data[[#This Row],[Buchung]])</f>
        <v>2020</v>
      </c>
      <c r="J2056" s="2">
        <f>ABS(Data[[#This Row],[Betrag]])</f>
        <v>50</v>
      </c>
      <c r="K2056" s="66" t="str">
        <f>IF(Data[[#This Row],[Betrag]]&lt;0,"A","E")</f>
        <v>A</v>
      </c>
    </row>
    <row r="2057" spans="1:11" x14ac:dyDescent="0.25">
      <c r="A2057" s="1">
        <v>44060</v>
      </c>
      <c r="B2057" s="66" t="s">
        <v>45</v>
      </c>
      <c r="C2057" s="66" t="s">
        <v>46</v>
      </c>
      <c r="D2057" t="s">
        <v>47</v>
      </c>
      <c r="E2057">
        <v>1000</v>
      </c>
      <c r="F2057" s="66" t="s">
        <v>7</v>
      </c>
      <c r="G2057" s="66" t="s">
        <v>9</v>
      </c>
      <c r="H2057" s="66" t="str">
        <f>TEXT(Data[[#This Row],[Buchung]],"MMM")</f>
        <v>Aug</v>
      </c>
      <c r="I2057" s="67">
        <f>YEAR(Data[[#This Row],[Buchung]])</f>
        <v>2020</v>
      </c>
      <c r="J2057" s="2">
        <f>ABS(Data[[#This Row],[Betrag]])</f>
        <v>1000</v>
      </c>
      <c r="K2057" s="66" t="str">
        <f>IF(Data[[#This Row],[Betrag]]&lt;0,"A","E")</f>
        <v>E</v>
      </c>
    </row>
    <row r="2058" spans="1:11" x14ac:dyDescent="0.25">
      <c r="A2058" s="1">
        <v>44061</v>
      </c>
      <c r="B2058" s="66" t="s">
        <v>61</v>
      </c>
      <c r="C2058" s="66" t="s">
        <v>49</v>
      </c>
      <c r="D2058" t="s">
        <v>62</v>
      </c>
      <c r="E2058">
        <v>-10</v>
      </c>
      <c r="F2058" s="66" t="s">
        <v>7</v>
      </c>
      <c r="G2058" s="66" t="s">
        <v>8</v>
      </c>
      <c r="H2058" s="66" t="str">
        <f>TEXT(Data[[#This Row],[Buchung]],"MMM")</f>
        <v>Aug</v>
      </c>
      <c r="I2058" s="67">
        <f>YEAR(Data[[#This Row],[Buchung]])</f>
        <v>2020</v>
      </c>
      <c r="J2058" s="2">
        <f>ABS(Data[[#This Row],[Betrag]])</f>
        <v>10</v>
      </c>
      <c r="K2058" s="66" t="str">
        <f>IF(Data[[#This Row],[Betrag]]&lt;0,"A","E")</f>
        <v>A</v>
      </c>
    </row>
    <row r="2059" spans="1:11" x14ac:dyDescent="0.25">
      <c r="A2059" s="1">
        <v>44062</v>
      </c>
      <c r="B2059" s="66" t="s">
        <v>63</v>
      </c>
      <c r="C2059" s="66" t="s">
        <v>64</v>
      </c>
      <c r="D2059" t="s">
        <v>65</v>
      </c>
      <c r="E2059">
        <v>-60</v>
      </c>
      <c r="F2059" s="66" t="s">
        <v>7</v>
      </c>
      <c r="G2059" s="66" t="s">
        <v>11</v>
      </c>
      <c r="H2059" s="66" t="str">
        <f>TEXT(Data[[#This Row],[Buchung]],"MMM")</f>
        <v>Aug</v>
      </c>
      <c r="I2059" s="67">
        <f>YEAR(Data[[#This Row],[Buchung]])</f>
        <v>2020</v>
      </c>
      <c r="J2059" s="2">
        <f>ABS(Data[[#This Row],[Betrag]])</f>
        <v>60</v>
      </c>
      <c r="K2059" s="66" t="str">
        <f>IF(Data[[#This Row],[Betrag]]&lt;0,"A","E")</f>
        <v>A</v>
      </c>
    </row>
    <row r="2060" spans="1:11" x14ac:dyDescent="0.25">
      <c r="A2060" s="1">
        <v>44063</v>
      </c>
      <c r="B2060" s="66" t="s">
        <v>54</v>
      </c>
      <c r="C2060" s="66" t="s">
        <v>55</v>
      </c>
      <c r="D2060" t="s">
        <v>66</v>
      </c>
      <c r="E2060">
        <v>-80</v>
      </c>
      <c r="F2060" s="66" t="s">
        <v>7</v>
      </c>
      <c r="G2060" s="66" t="s">
        <v>57</v>
      </c>
      <c r="H2060" s="66" t="str">
        <f>TEXT(Data[[#This Row],[Buchung]],"MMM")</f>
        <v>Aug</v>
      </c>
      <c r="I2060" s="67">
        <f>YEAR(Data[[#This Row],[Buchung]])</f>
        <v>2020</v>
      </c>
      <c r="J2060" s="2">
        <f>ABS(Data[[#This Row],[Betrag]])</f>
        <v>80</v>
      </c>
      <c r="K2060" s="66" t="str">
        <f>IF(Data[[#This Row],[Betrag]]&lt;0,"A","E")</f>
        <v>A</v>
      </c>
    </row>
    <row r="2061" spans="1:11" x14ac:dyDescent="0.25">
      <c r="A2061" s="1">
        <v>44064</v>
      </c>
      <c r="B2061" s="66" t="s">
        <v>67</v>
      </c>
      <c r="C2061" s="66" t="s">
        <v>59</v>
      </c>
      <c r="D2061" t="s">
        <v>68</v>
      </c>
      <c r="E2061">
        <v>-20</v>
      </c>
      <c r="F2061" s="66" t="s">
        <v>7</v>
      </c>
      <c r="G2061" s="66" t="s">
        <v>10</v>
      </c>
      <c r="H2061" s="66" t="str">
        <f>TEXT(Data[[#This Row],[Buchung]],"MMM")</f>
        <v>Aug</v>
      </c>
      <c r="I2061" s="67">
        <f>YEAR(Data[[#This Row],[Buchung]])</f>
        <v>2020</v>
      </c>
      <c r="J2061" s="2">
        <f>ABS(Data[[#This Row],[Betrag]])</f>
        <v>20</v>
      </c>
      <c r="K2061" s="66" t="str">
        <f>IF(Data[[#This Row],[Betrag]]&lt;0,"A","E")</f>
        <v>A</v>
      </c>
    </row>
    <row r="2062" spans="1:11" x14ac:dyDescent="0.25">
      <c r="A2062" s="1">
        <v>44065</v>
      </c>
      <c r="B2062" s="66" t="s">
        <v>45</v>
      </c>
      <c r="C2062" s="66" t="s">
        <v>46</v>
      </c>
      <c r="D2062" t="s">
        <v>47</v>
      </c>
      <c r="E2062">
        <v>1000</v>
      </c>
      <c r="F2062" s="66" t="s">
        <v>7</v>
      </c>
      <c r="G2062" s="66" t="s">
        <v>9</v>
      </c>
      <c r="H2062" s="66" t="str">
        <f>TEXT(Data[[#This Row],[Buchung]],"MMM")</f>
        <v>Aug</v>
      </c>
      <c r="I2062" s="67">
        <f>YEAR(Data[[#This Row],[Buchung]])</f>
        <v>2020</v>
      </c>
      <c r="J2062" s="2">
        <f>ABS(Data[[#This Row],[Betrag]])</f>
        <v>1000</v>
      </c>
      <c r="K2062" s="66" t="str">
        <f>IF(Data[[#This Row],[Betrag]]&lt;0,"A","E")</f>
        <v>E</v>
      </c>
    </row>
    <row r="2063" spans="1:11" x14ac:dyDescent="0.25">
      <c r="A2063" s="1">
        <v>44066</v>
      </c>
      <c r="B2063" s="66" t="s">
        <v>48</v>
      </c>
      <c r="C2063" s="66" t="s">
        <v>49</v>
      </c>
      <c r="D2063" t="s">
        <v>50</v>
      </c>
      <c r="E2063">
        <v>-15</v>
      </c>
      <c r="F2063" s="66" t="s">
        <v>7</v>
      </c>
      <c r="G2063" s="66" t="s">
        <v>8</v>
      </c>
      <c r="H2063" s="66" t="str">
        <f>TEXT(Data[[#This Row],[Buchung]],"MMM")</f>
        <v>Aug</v>
      </c>
      <c r="I2063" s="67">
        <f>YEAR(Data[[#This Row],[Buchung]])</f>
        <v>2020</v>
      </c>
      <c r="J2063" s="2">
        <f>ABS(Data[[#This Row],[Betrag]])</f>
        <v>15</v>
      </c>
      <c r="K2063" s="66" t="str">
        <f>IF(Data[[#This Row],[Betrag]]&lt;0,"A","E")</f>
        <v>A</v>
      </c>
    </row>
    <row r="2064" spans="1:11" x14ac:dyDescent="0.25">
      <c r="A2064" s="1">
        <v>44067</v>
      </c>
      <c r="B2064" s="66" t="s">
        <v>51</v>
      </c>
      <c r="C2064" s="66" t="s">
        <v>52</v>
      </c>
      <c r="D2064" t="s">
        <v>53</v>
      </c>
      <c r="E2064">
        <v>-350</v>
      </c>
      <c r="F2064" s="66" t="s">
        <v>7</v>
      </c>
      <c r="G2064" s="66" t="s">
        <v>11</v>
      </c>
      <c r="H2064" s="66" t="str">
        <f>TEXT(Data[[#This Row],[Buchung]],"MMM")</f>
        <v>Aug</v>
      </c>
      <c r="I2064" s="67">
        <f>YEAR(Data[[#This Row],[Buchung]])</f>
        <v>2020</v>
      </c>
      <c r="J2064" s="2">
        <f>ABS(Data[[#This Row],[Betrag]])</f>
        <v>350</v>
      </c>
      <c r="K2064" s="66" t="str">
        <f>IF(Data[[#This Row],[Betrag]]&lt;0,"A","E")</f>
        <v>A</v>
      </c>
    </row>
    <row r="2065" spans="1:11" x14ac:dyDescent="0.25">
      <c r="A2065" s="1">
        <v>44068</v>
      </c>
      <c r="B2065" s="66" t="s">
        <v>54</v>
      </c>
      <c r="C2065" s="66" t="s">
        <v>55</v>
      </c>
      <c r="D2065" t="s">
        <v>56</v>
      </c>
      <c r="E2065">
        <v>-120</v>
      </c>
      <c r="F2065" s="66" t="s">
        <v>7</v>
      </c>
      <c r="G2065" s="66" t="s">
        <v>57</v>
      </c>
      <c r="H2065" s="66" t="str">
        <f>TEXT(Data[[#This Row],[Buchung]],"MMM")</f>
        <v>Aug</v>
      </c>
      <c r="I2065" s="67">
        <f>YEAR(Data[[#This Row],[Buchung]])</f>
        <v>2020</v>
      </c>
      <c r="J2065" s="2">
        <f>ABS(Data[[#This Row],[Betrag]])</f>
        <v>120</v>
      </c>
      <c r="K2065" s="66" t="str">
        <f>IF(Data[[#This Row],[Betrag]]&lt;0,"A","E")</f>
        <v>A</v>
      </c>
    </row>
    <row r="2066" spans="1:11" x14ac:dyDescent="0.25">
      <c r="A2066" s="1">
        <v>44069</v>
      </c>
      <c r="B2066" s="66" t="s">
        <v>58</v>
      </c>
      <c r="C2066" s="66" t="s">
        <v>59</v>
      </c>
      <c r="D2066" t="s">
        <v>60</v>
      </c>
      <c r="E2066">
        <v>-60</v>
      </c>
      <c r="F2066" s="66" t="s">
        <v>7</v>
      </c>
      <c r="G2066" s="66" t="s">
        <v>10</v>
      </c>
      <c r="H2066" s="66" t="str">
        <f>TEXT(Data[[#This Row],[Buchung]],"MMM")</f>
        <v>Aug</v>
      </c>
      <c r="I2066" s="67">
        <f>YEAR(Data[[#This Row],[Buchung]])</f>
        <v>2020</v>
      </c>
      <c r="J2066" s="2">
        <f>ABS(Data[[#This Row],[Betrag]])</f>
        <v>60</v>
      </c>
      <c r="K2066" s="66" t="str">
        <f>IF(Data[[#This Row],[Betrag]]&lt;0,"A","E")</f>
        <v>A</v>
      </c>
    </row>
    <row r="2067" spans="1:11" x14ac:dyDescent="0.25">
      <c r="A2067" s="1">
        <v>44070</v>
      </c>
      <c r="B2067" s="66" t="s">
        <v>45</v>
      </c>
      <c r="C2067" s="66" t="s">
        <v>46</v>
      </c>
      <c r="D2067" t="s">
        <v>47</v>
      </c>
      <c r="E2067">
        <v>1000</v>
      </c>
      <c r="F2067" s="66" t="s">
        <v>7</v>
      </c>
      <c r="G2067" s="66" t="s">
        <v>9</v>
      </c>
      <c r="H2067" s="66" t="str">
        <f>TEXT(Data[[#This Row],[Buchung]],"MMM")</f>
        <v>Aug</v>
      </c>
      <c r="I2067" s="67">
        <f>YEAR(Data[[#This Row],[Buchung]])</f>
        <v>2020</v>
      </c>
      <c r="J2067" s="2">
        <f>ABS(Data[[#This Row],[Betrag]])</f>
        <v>1000</v>
      </c>
      <c r="K2067" s="66" t="str">
        <f>IF(Data[[#This Row],[Betrag]]&lt;0,"A","E")</f>
        <v>E</v>
      </c>
    </row>
    <row r="2068" spans="1:11" x14ac:dyDescent="0.25">
      <c r="A2068" s="1">
        <v>44071</v>
      </c>
      <c r="B2068" s="66" t="s">
        <v>61</v>
      </c>
      <c r="C2068" s="66" t="s">
        <v>49</v>
      </c>
      <c r="D2068" t="s">
        <v>62</v>
      </c>
      <c r="E2068">
        <v>-10</v>
      </c>
      <c r="F2068" s="66" t="s">
        <v>7</v>
      </c>
      <c r="G2068" s="66" t="s">
        <v>8</v>
      </c>
      <c r="H2068" s="66" t="str">
        <f>TEXT(Data[[#This Row],[Buchung]],"MMM")</f>
        <v>Aug</v>
      </c>
      <c r="I2068" s="67">
        <f>YEAR(Data[[#This Row],[Buchung]])</f>
        <v>2020</v>
      </c>
      <c r="J2068" s="2">
        <f>ABS(Data[[#This Row],[Betrag]])</f>
        <v>10</v>
      </c>
      <c r="K2068" s="66" t="str">
        <f>IF(Data[[#This Row],[Betrag]]&lt;0,"A","E")</f>
        <v>A</v>
      </c>
    </row>
    <row r="2069" spans="1:11" x14ac:dyDescent="0.25">
      <c r="A2069" s="1">
        <v>44072</v>
      </c>
      <c r="B2069" s="66" t="s">
        <v>63</v>
      </c>
      <c r="C2069" s="66" t="s">
        <v>64</v>
      </c>
      <c r="D2069" t="s">
        <v>65</v>
      </c>
      <c r="E2069">
        <v>-70</v>
      </c>
      <c r="F2069" s="66" t="s">
        <v>7</v>
      </c>
      <c r="G2069" s="66" t="s">
        <v>11</v>
      </c>
      <c r="H2069" s="66" t="str">
        <f>TEXT(Data[[#This Row],[Buchung]],"MMM")</f>
        <v>Aug</v>
      </c>
      <c r="I2069" s="67">
        <f>YEAR(Data[[#This Row],[Buchung]])</f>
        <v>2020</v>
      </c>
      <c r="J2069" s="2">
        <f>ABS(Data[[#This Row],[Betrag]])</f>
        <v>70</v>
      </c>
      <c r="K2069" s="66" t="str">
        <f>IF(Data[[#This Row],[Betrag]]&lt;0,"A","E")</f>
        <v>A</v>
      </c>
    </row>
    <row r="2070" spans="1:11" x14ac:dyDescent="0.25">
      <c r="A2070" s="1">
        <v>44073</v>
      </c>
      <c r="B2070" s="66" t="s">
        <v>54</v>
      </c>
      <c r="C2070" s="66" t="s">
        <v>55</v>
      </c>
      <c r="D2070" t="s">
        <v>66</v>
      </c>
      <c r="E2070">
        <v>-80</v>
      </c>
      <c r="F2070" s="66" t="s">
        <v>7</v>
      </c>
      <c r="G2070" s="66" t="s">
        <v>57</v>
      </c>
      <c r="H2070" s="66" t="str">
        <f>TEXT(Data[[#This Row],[Buchung]],"MMM")</f>
        <v>Aug</v>
      </c>
      <c r="I2070" s="67">
        <f>YEAR(Data[[#This Row],[Buchung]])</f>
        <v>2020</v>
      </c>
      <c r="J2070" s="2">
        <f>ABS(Data[[#This Row],[Betrag]])</f>
        <v>80</v>
      </c>
      <c r="K2070" s="66" t="str">
        <f>IF(Data[[#This Row],[Betrag]]&lt;0,"A","E")</f>
        <v>A</v>
      </c>
    </row>
    <row r="2071" spans="1:11" x14ac:dyDescent="0.25">
      <c r="A2071" s="1">
        <v>44074</v>
      </c>
      <c r="B2071" s="66" t="s">
        <v>67</v>
      </c>
      <c r="C2071" s="66" t="s">
        <v>59</v>
      </c>
      <c r="D2071" t="s">
        <v>68</v>
      </c>
      <c r="E2071">
        <v>-25</v>
      </c>
      <c r="F2071" s="66" t="s">
        <v>7</v>
      </c>
      <c r="G2071" s="66" t="s">
        <v>10</v>
      </c>
      <c r="H2071" s="66" t="str">
        <f>TEXT(Data[[#This Row],[Buchung]],"MMM")</f>
        <v>Aug</v>
      </c>
      <c r="I2071" s="67">
        <f>YEAR(Data[[#This Row],[Buchung]])</f>
        <v>2020</v>
      </c>
      <c r="J2071" s="2">
        <f>ABS(Data[[#This Row],[Betrag]])</f>
        <v>25</v>
      </c>
      <c r="K2071" s="66" t="str">
        <f>IF(Data[[#This Row],[Betrag]]&lt;0,"A","E")</f>
        <v>A</v>
      </c>
    </row>
    <row r="2072" spans="1:11" x14ac:dyDescent="0.25">
      <c r="A2072" s="1">
        <v>44075</v>
      </c>
      <c r="B2072" s="66" t="s">
        <v>45</v>
      </c>
      <c r="C2072" s="66" t="s">
        <v>46</v>
      </c>
      <c r="D2072" t="s">
        <v>47</v>
      </c>
      <c r="E2072">
        <v>1000</v>
      </c>
      <c r="F2072" s="66" t="s">
        <v>7</v>
      </c>
      <c r="G2072" s="66" t="s">
        <v>9</v>
      </c>
      <c r="H2072" s="66" t="str">
        <f>TEXT(Data[[#This Row],[Buchung]],"MMM")</f>
        <v>Sep</v>
      </c>
      <c r="I2072" s="67">
        <f>YEAR(Data[[#This Row],[Buchung]])</f>
        <v>2020</v>
      </c>
      <c r="J2072" s="2">
        <f>ABS(Data[[#This Row],[Betrag]])</f>
        <v>1000</v>
      </c>
      <c r="K2072" s="66" t="str">
        <f>IF(Data[[#This Row],[Betrag]]&lt;0,"A","E")</f>
        <v>E</v>
      </c>
    </row>
    <row r="2073" spans="1:11" x14ac:dyDescent="0.25">
      <c r="A2073" s="1">
        <v>44076</v>
      </c>
      <c r="B2073" s="66" t="s">
        <v>48</v>
      </c>
      <c r="C2073" s="66" t="s">
        <v>49</v>
      </c>
      <c r="D2073" t="s">
        <v>50</v>
      </c>
      <c r="E2073">
        <v>-15</v>
      </c>
      <c r="F2073" s="66" t="s">
        <v>7</v>
      </c>
      <c r="G2073" s="66" t="s">
        <v>8</v>
      </c>
      <c r="H2073" s="66" t="str">
        <f>TEXT(Data[[#This Row],[Buchung]],"MMM")</f>
        <v>Sep</v>
      </c>
      <c r="I2073" s="67">
        <f>YEAR(Data[[#This Row],[Buchung]])</f>
        <v>2020</v>
      </c>
      <c r="J2073" s="2">
        <f>ABS(Data[[#This Row],[Betrag]])</f>
        <v>15</v>
      </c>
      <c r="K2073" s="66" t="str">
        <f>IF(Data[[#This Row],[Betrag]]&lt;0,"A","E")</f>
        <v>A</v>
      </c>
    </row>
    <row r="2074" spans="1:11" x14ac:dyDescent="0.25">
      <c r="A2074" s="1">
        <v>44077</v>
      </c>
      <c r="B2074" s="66" t="s">
        <v>51</v>
      </c>
      <c r="C2074" s="66" t="s">
        <v>52</v>
      </c>
      <c r="D2074" t="s">
        <v>53</v>
      </c>
      <c r="E2074">
        <v>-350</v>
      </c>
      <c r="F2074" s="66" t="s">
        <v>7</v>
      </c>
      <c r="G2074" s="66" t="s">
        <v>11</v>
      </c>
      <c r="H2074" s="66" t="str">
        <f>TEXT(Data[[#This Row],[Buchung]],"MMM")</f>
        <v>Sep</v>
      </c>
      <c r="I2074" s="67">
        <f>YEAR(Data[[#This Row],[Buchung]])</f>
        <v>2020</v>
      </c>
      <c r="J2074" s="2">
        <f>ABS(Data[[#This Row],[Betrag]])</f>
        <v>350</v>
      </c>
      <c r="K2074" s="66" t="str">
        <f>IF(Data[[#This Row],[Betrag]]&lt;0,"A","E")</f>
        <v>A</v>
      </c>
    </row>
    <row r="2075" spans="1:11" x14ac:dyDescent="0.25">
      <c r="A2075" s="1">
        <v>44078</v>
      </c>
      <c r="B2075" s="66" t="s">
        <v>54</v>
      </c>
      <c r="C2075" s="66" t="s">
        <v>55</v>
      </c>
      <c r="D2075" t="s">
        <v>56</v>
      </c>
      <c r="E2075">
        <v>-120</v>
      </c>
      <c r="F2075" s="66" t="s">
        <v>7</v>
      </c>
      <c r="G2075" s="66" t="s">
        <v>57</v>
      </c>
      <c r="H2075" s="66" t="str">
        <f>TEXT(Data[[#This Row],[Buchung]],"MMM")</f>
        <v>Sep</v>
      </c>
      <c r="I2075" s="67">
        <f>YEAR(Data[[#This Row],[Buchung]])</f>
        <v>2020</v>
      </c>
      <c r="J2075" s="2">
        <f>ABS(Data[[#This Row],[Betrag]])</f>
        <v>120</v>
      </c>
      <c r="K2075" s="66" t="str">
        <f>IF(Data[[#This Row],[Betrag]]&lt;0,"A","E")</f>
        <v>A</v>
      </c>
    </row>
    <row r="2076" spans="1:11" x14ac:dyDescent="0.25">
      <c r="A2076" s="1">
        <v>44079</v>
      </c>
      <c r="B2076" s="66" t="s">
        <v>58</v>
      </c>
      <c r="C2076" s="66" t="s">
        <v>59</v>
      </c>
      <c r="D2076" t="s">
        <v>60</v>
      </c>
      <c r="E2076">
        <v>-70</v>
      </c>
      <c r="F2076" s="66" t="s">
        <v>7</v>
      </c>
      <c r="G2076" s="66" t="s">
        <v>10</v>
      </c>
      <c r="H2076" s="66" t="str">
        <f>TEXT(Data[[#This Row],[Buchung]],"MMM")</f>
        <v>Sep</v>
      </c>
      <c r="I2076" s="67">
        <f>YEAR(Data[[#This Row],[Buchung]])</f>
        <v>2020</v>
      </c>
      <c r="J2076" s="2">
        <f>ABS(Data[[#This Row],[Betrag]])</f>
        <v>70</v>
      </c>
      <c r="K2076" s="66" t="str">
        <f>IF(Data[[#This Row],[Betrag]]&lt;0,"A","E")</f>
        <v>A</v>
      </c>
    </row>
    <row r="2077" spans="1:11" x14ac:dyDescent="0.25">
      <c r="A2077" s="1">
        <v>44080</v>
      </c>
      <c r="B2077" s="66" t="s">
        <v>45</v>
      </c>
      <c r="C2077" s="66" t="s">
        <v>46</v>
      </c>
      <c r="D2077" t="s">
        <v>47</v>
      </c>
      <c r="E2077">
        <v>1000</v>
      </c>
      <c r="F2077" s="66" t="s">
        <v>7</v>
      </c>
      <c r="G2077" s="66" t="s">
        <v>9</v>
      </c>
      <c r="H2077" s="66" t="str">
        <f>TEXT(Data[[#This Row],[Buchung]],"MMM")</f>
        <v>Sep</v>
      </c>
      <c r="I2077" s="67">
        <f>YEAR(Data[[#This Row],[Buchung]])</f>
        <v>2020</v>
      </c>
      <c r="J2077" s="2">
        <f>ABS(Data[[#This Row],[Betrag]])</f>
        <v>1000</v>
      </c>
      <c r="K2077" s="66" t="str">
        <f>IF(Data[[#This Row],[Betrag]]&lt;0,"A","E")</f>
        <v>E</v>
      </c>
    </row>
    <row r="2078" spans="1:11" x14ac:dyDescent="0.25">
      <c r="A2078" s="1">
        <v>44081</v>
      </c>
      <c r="B2078" s="66" t="s">
        <v>61</v>
      </c>
      <c r="C2078" s="66" t="s">
        <v>49</v>
      </c>
      <c r="D2078" t="s">
        <v>62</v>
      </c>
      <c r="E2078">
        <v>-10</v>
      </c>
      <c r="F2078" s="66" t="s">
        <v>7</v>
      </c>
      <c r="G2078" s="66" t="s">
        <v>8</v>
      </c>
      <c r="H2078" s="66" t="str">
        <f>TEXT(Data[[#This Row],[Buchung]],"MMM")</f>
        <v>Sep</v>
      </c>
      <c r="I2078" s="67">
        <f>YEAR(Data[[#This Row],[Buchung]])</f>
        <v>2020</v>
      </c>
      <c r="J2078" s="2">
        <f>ABS(Data[[#This Row],[Betrag]])</f>
        <v>10</v>
      </c>
      <c r="K2078" s="66" t="str">
        <f>IF(Data[[#This Row],[Betrag]]&lt;0,"A","E")</f>
        <v>A</v>
      </c>
    </row>
    <row r="2079" spans="1:11" x14ac:dyDescent="0.25">
      <c r="A2079" s="1">
        <v>44082</v>
      </c>
      <c r="B2079" s="66" t="s">
        <v>63</v>
      </c>
      <c r="C2079" s="66" t="s">
        <v>64</v>
      </c>
      <c r="D2079" t="s">
        <v>65</v>
      </c>
      <c r="E2079">
        <v>-60</v>
      </c>
      <c r="F2079" s="66" t="s">
        <v>7</v>
      </c>
      <c r="G2079" s="66" t="s">
        <v>11</v>
      </c>
      <c r="H2079" s="66" t="str">
        <f>TEXT(Data[[#This Row],[Buchung]],"MMM")</f>
        <v>Sep</v>
      </c>
      <c r="I2079" s="67">
        <f>YEAR(Data[[#This Row],[Buchung]])</f>
        <v>2020</v>
      </c>
      <c r="J2079" s="2">
        <f>ABS(Data[[#This Row],[Betrag]])</f>
        <v>60</v>
      </c>
      <c r="K2079" s="66" t="str">
        <f>IF(Data[[#This Row],[Betrag]]&lt;0,"A","E")</f>
        <v>A</v>
      </c>
    </row>
    <row r="2080" spans="1:11" x14ac:dyDescent="0.25">
      <c r="A2080" s="1">
        <v>44083</v>
      </c>
      <c r="B2080" s="66" t="s">
        <v>54</v>
      </c>
      <c r="C2080" s="66" t="s">
        <v>55</v>
      </c>
      <c r="D2080" t="s">
        <v>66</v>
      </c>
      <c r="E2080">
        <v>-80</v>
      </c>
      <c r="F2080" s="66" t="s">
        <v>7</v>
      </c>
      <c r="G2080" s="66" t="s">
        <v>57</v>
      </c>
      <c r="H2080" s="66" t="str">
        <f>TEXT(Data[[#This Row],[Buchung]],"MMM")</f>
        <v>Sep</v>
      </c>
      <c r="I2080" s="67">
        <f>YEAR(Data[[#This Row],[Buchung]])</f>
        <v>2020</v>
      </c>
      <c r="J2080" s="2">
        <f>ABS(Data[[#This Row],[Betrag]])</f>
        <v>80</v>
      </c>
      <c r="K2080" s="66" t="str">
        <f>IF(Data[[#This Row],[Betrag]]&lt;0,"A","E")</f>
        <v>A</v>
      </c>
    </row>
    <row r="2081" spans="1:11" x14ac:dyDescent="0.25">
      <c r="A2081" s="1">
        <v>44084</v>
      </c>
      <c r="B2081" s="66" t="s">
        <v>67</v>
      </c>
      <c r="C2081" s="66" t="s">
        <v>59</v>
      </c>
      <c r="D2081" t="s">
        <v>68</v>
      </c>
      <c r="E2081">
        <v>-30</v>
      </c>
      <c r="F2081" s="66" t="s">
        <v>7</v>
      </c>
      <c r="G2081" s="66" t="s">
        <v>10</v>
      </c>
      <c r="H2081" s="66" t="str">
        <f>TEXT(Data[[#This Row],[Buchung]],"MMM")</f>
        <v>Sep</v>
      </c>
      <c r="I2081" s="67">
        <f>YEAR(Data[[#This Row],[Buchung]])</f>
        <v>2020</v>
      </c>
      <c r="J2081" s="2">
        <f>ABS(Data[[#This Row],[Betrag]])</f>
        <v>30</v>
      </c>
      <c r="K2081" s="66" t="str">
        <f>IF(Data[[#This Row],[Betrag]]&lt;0,"A","E")</f>
        <v>A</v>
      </c>
    </row>
    <row r="2082" spans="1:11" x14ac:dyDescent="0.25">
      <c r="A2082" s="1">
        <v>44085</v>
      </c>
      <c r="B2082" s="66" t="s">
        <v>45</v>
      </c>
      <c r="C2082" s="66" t="s">
        <v>46</v>
      </c>
      <c r="D2082" t="s">
        <v>47</v>
      </c>
      <c r="E2082">
        <v>1000</v>
      </c>
      <c r="F2082" s="66" t="s">
        <v>7</v>
      </c>
      <c r="G2082" s="66" t="s">
        <v>9</v>
      </c>
      <c r="H2082" s="66" t="str">
        <f>TEXT(Data[[#This Row],[Buchung]],"MMM")</f>
        <v>Sep</v>
      </c>
      <c r="I2082" s="67">
        <f>YEAR(Data[[#This Row],[Buchung]])</f>
        <v>2020</v>
      </c>
      <c r="J2082" s="2">
        <f>ABS(Data[[#This Row],[Betrag]])</f>
        <v>1000</v>
      </c>
      <c r="K2082" s="66" t="str">
        <f>IF(Data[[#This Row],[Betrag]]&lt;0,"A","E")</f>
        <v>E</v>
      </c>
    </row>
    <row r="2083" spans="1:11" x14ac:dyDescent="0.25">
      <c r="A2083" s="1">
        <v>44086</v>
      </c>
      <c r="B2083" s="66" t="s">
        <v>48</v>
      </c>
      <c r="C2083" s="66" t="s">
        <v>49</v>
      </c>
      <c r="D2083" t="s">
        <v>50</v>
      </c>
      <c r="E2083">
        <v>-15</v>
      </c>
      <c r="F2083" s="66" t="s">
        <v>7</v>
      </c>
      <c r="G2083" s="66" t="s">
        <v>8</v>
      </c>
      <c r="H2083" s="66" t="str">
        <f>TEXT(Data[[#This Row],[Buchung]],"MMM")</f>
        <v>Sep</v>
      </c>
      <c r="I2083" s="67">
        <f>YEAR(Data[[#This Row],[Buchung]])</f>
        <v>2020</v>
      </c>
      <c r="J2083" s="2">
        <f>ABS(Data[[#This Row],[Betrag]])</f>
        <v>15</v>
      </c>
      <c r="K2083" s="66" t="str">
        <f>IF(Data[[#This Row],[Betrag]]&lt;0,"A","E")</f>
        <v>A</v>
      </c>
    </row>
    <row r="2084" spans="1:11" x14ac:dyDescent="0.25">
      <c r="A2084" s="1">
        <v>44087</v>
      </c>
      <c r="B2084" s="66" t="s">
        <v>51</v>
      </c>
      <c r="C2084" s="66" t="s">
        <v>52</v>
      </c>
      <c r="D2084" t="s">
        <v>53</v>
      </c>
      <c r="E2084">
        <v>-350</v>
      </c>
      <c r="F2084" s="66" t="s">
        <v>7</v>
      </c>
      <c r="G2084" s="66" t="s">
        <v>11</v>
      </c>
      <c r="H2084" s="66" t="str">
        <f>TEXT(Data[[#This Row],[Buchung]],"MMM")</f>
        <v>Sep</v>
      </c>
      <c r="I2084" s="67">
        <f>YEAR(Data[[#This Row],[Buchung]])</f>
        <v>2020</v>
      </c>
      <c r="J2084" s="2">
        <f>ABS(Data[[#This Row],[Betrag]])</f>
        <v>350</v>
      </c>
      <c r="K2084" s="66" t="str">
        <f>IF(Data[[#This Row],[Betrag]]&lt;0,"A","E")</f>
        <v>A</v>
      </c>
    </row>
    <row r="2085" spans="1:11" x14ac:dyDescent="0.25">
      <c r="A2085" s="1">
        <v>44088</v>
      </c>
      <c r="B2085" s="66" t="s">
        <v>54</v>
      </c>
      <c r="C2085" s="66" t="s">
        <v>55</v>
      </c>
      <c r="D2085" t="s">
        <v>56</v>
      </c>
      <c r="E2085">
        <v>-120</v>
      </c>
      <c r="F2085" s="66" t="s">
        <v>7</v>
      </c>
      <c r="G2085" s="66" t="s">
        <v>57</v>
      </c>
      <c r="H2085" s="66" t="str">
        <f>TEXT(Data[[#This Row],[Buchung]],"MMM")</f>
        <v>Sep</v>
      </c>
      <c r="I2085" s="67">
        <f>YEAR(Data[[#This Row],[Buchung]])</f>
        <v>2020</v>
      </c>
      <c r="J2085" s="2">
        <f>ABS(Data[[#This Row],[Betrag]])</f>
        <v>120</v>
      </c>
      <c r="K2085" s="66" t="str">
        <f>IF(Data[[#This Row],[Betrag]]&lt;0,"A","E")</f>
        <v>A</v>
      </c>
    </row>
    <row r="2086" spans="1:11" x14ac:dyDescent="0.25">
      <c r="A2086" s="1">
        <v>44089</v>
      </c>
      <c r="B2086" s="66" t="s">
        <v>58</v>
      </c>
      <c r="C2086" s="66" t="s">
        <v>59</v>
      </c>
      <c r="D2086" t="s">
        <v>60</v>
      </c>
      <c r="E2086">
        <v>-80</v>
      </c>
      <c r="F2086" s="66" t="s">
        <v>7</v>
      </c>
      <c r="G2086" s="66" t="s">
        <v>10</v>
      </c>
      <c r="H2086" s="66" t="str">
        <f>TEXT(Data[[#This Row],[Buchung]],"MMM")</f>
        <v>Sep</v>
      </c>
      <c r="I2086" s="67">
        <f>YEAR(Data[[#This Row],[Buchung]])</f>
        <v>2020</v>
      </c>
      <c r="J2086" s="2">
        <f>ABS(Data[[#This Row],[Betrag]])</f>
        <v>80</v>
      </c>
      <c r="K2086" s="66" t="str">
        <f>IF(Data[[#This Row],[Betrag]]&lt;0,"A","E")</f>
        <v>A</v>
      </c>
    </row>
    <row r="2087" spans="1:11" x14ac:dyDescent="0.25">
      <c r="A2087" s="1">
        <v>44090</v>
      </c>
      <c r="B2087" s="66" t="s">
        <v>45</v>
      </c>
      <c r="C2087" s="66" t="s">
        <v>46</v>
      </c>
      <c r="D2087" t="s">
        <v>47</v>
      </c>
      <c r="E2087">
        <v>1000</v>
      </c>
      <c r="F2087" s="66" t="s">
        <v>7</v>
      </c>
      <c r="G2087" s="66" t="s">
        <v>9</v>
      </c>
      <c r="H2087" s="66" t="str">
        <f>TEXT(Data[[#This Row],[Buchung]],"MMM")</f>
        <v>Sep</v>
      </c>
      <c r="I2087" s="67">
        <f>YEAR(Data[[#This Row],[Buchung]])</f>
        <v>2020</v>
      </c>
      <c r="J2087" s="2">
        <f>ABS(Data[[#This Row],[Betrag]])</f>
        <v>1000</v>
      </c>
      <c r="K2087" s="66" t="str">
        <f>IF(Data[[#This Row],[Betrag]]&lt;0,"A","E")</f>
        <v>E</v>
      </c>
    </row>
    <row r="2088" spans="1:11" x14ac:dyDescent="0.25">
      <c r="A2088" s="1">
        <v>44091</v>
      </c>
      <c r="B2088" s="66" t="s">
        <v>61</v>
      </c>
      <c r="C2088" s="66" t="s">
        <v>49</v>
      </c>
      <c r="D2088" t="s">
        <v>62</v>
      </c>
      <c r="E2088">
        <v>-10</v>
      </c>
      <c r="F2088" s="66" t="s">
        <v>7</v>
      </c>
      <c r="G2088" s="66" t="s">
        <v>8</v>
      </c>
      <c r="H2088" s="66" t="str">
        <f>TEXT(Data[[#This Row],[Buchung]],"MMM")</f>
        <v>Sep</v>
      </c>
      <c r="I2088" s="67">
        <f>YEAR(Data[[#This Row],[Buchung]])</f>
        <v>2020</v>
      </c>
      <c r="J2088" s="2">
        <f>ABS(Data[[#This Row],[Betrag]])</f>
        <v>10</v>
      </c>
      <c r="K2088" s="66" t="str">
        <f>IF(Data[[#This Row],[Betrag]]&lt;0,"A","E")</f>
        <v>A</v>
      </c>
    </row>
    <row r="2089" spans="1:11" x14ac:dyDescent="0.25">
      <c r="A2089" s="1">
        <v>44092</v>
      </c>
      <c r="B2089" s="66" t="s">
        <v>63</v>
      </c>
      <c r="C2089" s="66" t="s">
        <v>64</v>
      </c>
      <c r="D2089" t="s">
        <v>65</v>
      </c>
      <c r="E2089">
        <v>-65</v>
      </c>
      <c r="F2089" s="66" t="s">
        <v>7</v>
      </c>
      <c r="G2089" s="66" t="s">
        <v>11</v>
      </c>
      <c r="H2089" s="66" t="str">
        <f>TEXT(Data[[#This Row],[Buchung]],"MMM")</f>
        <v>Sep</v>
      </c>
      <c r="I2089" s="67">
        <f>YEAR(Data[[#This Row],[Buchung]])</f>
        <v>2020</v>
      </c>
      <c r="J2089" s="2">
        <f>ABS(Data[[#This Row],[Betrag]])</f>
        <v>65</v>
      </c>
      <c r="K2089" s="66" t="str">
        <f>IF(Data[[#This Row],[Betrag]]&lt;0,"A","E")</f>
        <v>A</v>
      </c>
    </row>
    <row r="2090" spans="1:11" x14ac:dyDescent="0.25">
      <c r="A2090" s="1">
        <v>44093</v>
      </c>
      <c r="B2090" s="66" t="s">
        <v>54</v>
      </c>
      <c r="C2090" s="66" t="s">
        <v>55</v>
      </c>
      <c r="D2090" t="s">
        <v>66</v>
      </c>
      <c r="E2090">
        <v>-80</v>
      </c>
      <c r="F2090" s="66" t="s">
        <v>7</v>
      </c>
      <c r="G2090" s="66" t="s">
        <v>57</v>
      </c>
      <c r="H2090" s="66" t="str">
        <f>TEXT(Data[[#This Row],[Buchung]],"MMM")</f>
        <v>Sep</v>
      </c>
      <c r="I2090" s="67">
        <f>YEAR(Data[[#This Row],[Buchung]])</f>
        <v>2020</v>
      </c>
      <c r="J2090" s="2">
        <f>ABS(Data[[#This Row],[Betrag]])</f>
        <v>80</v>
      </c>
      <c r="K2090" s="66" t="str">
        <f>IF(Data[[#This Row],[Betrag]]&lt;0,"A","E")</f>
        <v>A</v>
      </c>
    </row>
    <row r="2091" spans="1:11" x14ac:dyDescent="0.25">
      <c r="A2091" s="1">
        <v>44094</v>
      </c>
      <c r="B2091" s="66" t="s">
        <v>67</v>
      </c>
      <c r="C2091" s="66" t="s">
        <v>59</v>
      </c>
      <c r="D2091" t="s">
        <v>68</v>
      </c>
      <c r="E2091">
        <v>-35</v>
      </c>
      <c r="F2091" s="66" t="s">
        <v>7</v>
      </c>
      <c r="G2091" s="66" t="s">
        <v>10</v>
      </c>
      <c r="H2091" s="66" t="str">
        <f>TEXT(Data[[#This Row],[Buchung]],"MMM")</f>
        <v>Sep</v>
      </c>
      <c r="I2091" s="67">
        <f>YEAR(Data[[#This Row],[Buchung]])</f>
        <v>2020</v>
      </c>
      <c r="J2091" s="2">
        <f>ABS(Data[[#This Row],[Betrag]])</f>
        <v>35</v>
      </c>
      <c r="K2091" s="66" t="str">
        <f>IF(Data[[#This Row],[Betrag]]&lt;0,"A","E")</f>
        <v>A</v>
      </c>
    </row>
    <row r="2092" spans="1:11" x14ac:dyDescent="0.25">
      <c r="A2092" s="1">
        <v>44095</v>
      </c>
      <c r="B2092" s="66" t="s">
        <v>45</v>
      </c>
      <c r="C2092" s="66" t="s">
        <v>46</v>
      </c>
      <c r="D2092" t="s">
        <v>47</v>
      </c>
      <c r="E2092">
        <v>1000</v>
      </c>
      <c r="F2092" s="66" t="s">
        <v>7</v>
      </c>
      <c r="G2092" s="66" t="s">
        <v>9</v>
      </c>
      <c r="H2092" s="66" t="str">
        <f>TEXT(Data[[#This Row],[Buchung]],"MMM")</f>
        <v>Sep</v>
      </c>
      <c r="I2092" s="67">
        <f>YEAR(Data[[#This Row],[Buchung]])</f>
        <v>2020</v>
      </c>
      <c r="J2092" s="2">
        <f>ABS(Data[[#This Row],[Betrag]])</f>
        <v>1000</v>
      </c>
      <c r="K2092" s="66" t="str">
        <f>IF(Data[[#This Row],[Betrag]]&lt;0,"A","E")</f>
        <v>E</v>
      </c>
    </row>
    <row r="2093" spans="1:11" x14ac:dyDescent="0.25">
      <c r="A2093" s="1">
        <v>44096</v>
      </c>
      <c r="B2093" s="66" t="s">
        <v>45</v>
      </c>
      <c r="C2093" s="66" t="s">
        <v>46</v>
      </c>
      <c r="D2093" t="s">
        <v>47</v>
      </c>
      <c r="E2093">
        <v>1000</v>
      </c>
      <c r="F2093" s="66" t="s">
        <v>7</v>
      </c>
      <c r="G2093" s="66" t="s">
        <v>9</v>
      </c>
      <c r="H2093" s="66" t="str">
        <f>TEXT(Data[[#This Row],[Buchung]],"MMM")</f>
        <v>Sep</v>
      </c>
      <c r="I2093" s="67">
        <f>YEAR(Data[[#This Row],[Buchung]])</f>
        <v>2020</v>
      </c>
      <c r="J2093" s="2">
        <f>ABS(Data[[#This Row],[Betrag]])</f>
        <v>1000</v>
      </c>
      <c r="K2093" s="66" t="str">
        <f>IF(Data[[#This Row],[Betrag]]&lt;0,"A","E")</f>
        <v>E</v>
      </c>
    </row>
    <row r="2094" spans="1:11" x14ac:dyDescent="0.25">
      <c r="A2094" s="1">
        <v>44097</v>
      </c>
      <c r="B2094" s="66" t="s">
        <v>48</v>
      </c>
      <c r="C2094" s="66" t="s">
        <v>49</v>
      </c>
      <c r="D2094" t="s">
        <v>50</v>
      </c>
      <c r="E2094">
        <v>-15</v>
      </c>
      <c r="F2094" s="66" t="s">
        <v>7</v>
      </c>
      <c r="G2094" s="66" t="s">
        <v>8</v>
      </c>
      <c r="H2094" s="66" t="str">
        <f>TEXT(Data[[#This Row],[Buchung]],"MMM")</f>
        <v>Sep</v>
      </c>
      <c r="I2094" s="67">
        <f>YEAR(Data[[#This Row],[Buchung]])</f>
        <v>2020</v>
      </c>
      <c r="J2094" s="2">
        <f>ABS(Data[[#This Row],[Betrag]])</f>
        <v>15</v>
      </c>
      <c r="K2094" s="66" t="str">
        <f>IF(Data[[#This Row],[Betrag]]&lt;0,"A","E")</f>
        <v>A</v>
      </c>
    </row>
    <row r="2095" spans="1:11" x14ac:dyDescent="0.25">
      <c r="A2095" s="1">
        <v>44098</v>
      </c>
      <c r="B2095" s="66" t="s">
        <v>51</v>
      </c>
      <c r="C2095" s="66" t="s">
        <v>52</v>
      </c>
      <c r="D2095" t="s">
        <v>53</v>
      </c>
      <c r="E2095">
        <v>-350</v>
      </c>
      <c r="F2095" s="66" t="s">
        <v>7</v>
      </c>
      <c r="G2095" s="66" t="s">
        <v>11</v>
      </c>
      <c r="H2095" s="66" t="str">
        <f>TEXT(Data[[#This Row],[Buchung]],"MMM")</f>
        <v>Sep</v>
      </c>
      <c r="I2095" s="67">
        <f>YEAR(Data[[#This Row],[Buchung]])</f>
        <v>2020</v>
      </c>
      <c r="J2095" s="2">
        <f>ABS(Data[[#This Row],[Betrag]])</f>
        <v>350</v>
      </c>
      <c r="K2095" s="66" t="str">
        <f>IF(Data[[#This Row],[Betrag]]&lt;0,"A","E")</f>
        <v>A</v>
      </c>
    </row>
    <row r="2096" spans="1:11" x14ac:dyDescent="0.25">
      <c r="A2096" s="1">
        <v>44099</v>
      </c>
      <c r="B2096" s="66" t="s">
        <v>54</v>
      </c>
      <c r="C2096" s="66" t="s">
        <v>55</v>
      </c>
      <c r="D2096" t="s">
        <v>56</v>
      </c>
      <c r="E2096">
        <v>-120</v>
      </c>
      <c r="F2096" s="66" t="s">
        <v>7</v>
      </c>
      <c r="G2096" s="66" t="s">
        <v>57</v>
      </c>
      <c r="H2096" s="66" t="str">
        <f>TEXT(Data[[#This Row],[Buchung]],"MMM")</f>
        <v>Sep</v>
      </c>
      <c r="I2096" s="67">
        <f>YEAR(Data[[#This Row],[Buchung]])</f>
        <v>2020</v>
      </c>
      <c r="J2096" s="2">
        <f>ABS(Data[[#This Row],[Betrag]])</f>
        <v>120</v>
      </c>
      <c r="K2096" s="66" t="str">
        <f>IF(Data[[#This Row],[Betrag]]&lt;0,"A","E")</f>
        <v>A</v>
      </c>
    </row>
    <row r="2097" spans="1:11" x14ac:dyDescent="0.25">
      <c r="A2097" s="1">
        <v>44100</v>
      </c>
      <c r="B2097" s="66" t="s">
        <v>58</v>
      </c>
      <c r="C2097" s="66" t="s">
        <v>59</v>
      </c>
      <c r="D2097" t="s">
        <v>60</v>
      </c>
      <c r="E2097">
        <v>-50</v>
      </c>
      <c r="F2097" s="66" t="s">
        <v>7</v>
      </c>
      <c r="G2097" s="66" t="s">
        <v>10</v>
      </c>
      <c r="H2097" s="66" t="str">
        <f>TEXT(Data[[#This Row],[Buchung]],"MMM")</f>
        <v>Sep</v>
      </c>
      <c r="I2097" s="67">
        <f>YEAR(Data[[#This Row],[Buchung]])</f>
        <v>2020</v>
      </c>
      <c r="J2097" s="2">
        <f>ABS(Data[[#This Row],[Betrag]])</f>
        <v>50</v>
      </c>
      <c r="K2097" s="66" t="str">
        <f>IF(Data[[#This Row],[Betrag]]&lt;0,"A","E")</f>
        <v>A</v>
      </c>
    </row>
    <row r="2098" spans="1:11" x14ac:dyDescent="0.25">
      <c r="A2098" s="1">
        <v>44101</v>
      </c>
      <c r="B2098" s="66" t="s">
        <v>45</v>
      </c>
      <c r="C2098" s="66" t="s">
        <v>46</v>
      </c>
      <c r="D2098" t="s">
        <v>47</v>
      </c>
      <c r="E2098">
        <v>1000</v>
      </c>
      <c r="F2098" s="66" t="s">
        <v>7</v>
      </c>
      <c r="G2098" s="66" t="s">
        <v>9</v>
      </c>
      <c r="H2098" s="66" t="str">
        <f>TEXT(Data[[#This Row],[Buchung]],"MMM")</f>
        <v>Sep</v>
      </c>
      <c r="I2098" s="67">
        <f>YEAR(Data[[#This Row],[Buchung]])</f>
        <v>2020</v>
      </c>
      <c r="J2098" s="2">
        <f>ABS(Data[[#This Row],[Betrag]])</f>
        <v>1000</v>
      </c>
      <c r="K2098" s="66" t="str">
        <f>IF(Data[[#This Row],[Betrag]]&lt;0,"A","E")</f>
        <v>E</v>
      </c>
    </row>
    <row r="2099" spans="1:11" x14ac:dyDescent="0.25">
      <c r="A2099" s="1">
        <v>44102</v>
      </c>
      <c r="B2099" s="66" t="s">
        <v>61</v>
      </c>
      <c r="C2099" s="66" t="s">
        <v>49</v>
      </c>
      <c r="D2099" t="s">
        <v>62</v>
      </c>
      <c r="E2099">
        <v>-10</v>
      </c>
      <c r="F2099" s="66" t="s">
        <v>7</v>
      </c>
      <c r="G2099" s="66" t="s">
        <v>8</v>
      </c>
      <c r="H2099" s="66" t="str">
        <f>TEXT(Data[[#This Row],[Buchung]],"MMM")</f>
        <v>Sep</v>
      </c>
      <c r="I2099" s="67">
        <f>YEAR(Data[[#This Row],[Buchung]])</f>
        <v>2020</v>
      </c>
      <c r="J2099" s="2">
        <f>ABS(Data[[#This Row],[Betrag]])</f>
        <v>10</v>
      </c>
      <c r="K2099" s="66" t="str">
        <f>IF(Data[[#This Row],[Betrag]]&lt;0,"A","E")</f>
        <v>A</v>
      </c>
    </row>
    <row r="2100" spans="1:11" x14ac:dyDescent="0.25">
      <c r="A2100" s="1">
        <v>44103</v>
      </c>
      <c r="B2100" s="66" t="s">
        <v>63</v>
      </c>
      <c r="C2100" s="66" t="s">
        <v>64</v>
      </c>
      <c r="D2100" t="s">
        <v>65</v>
      </c>
      <c r="E2100">
        <v>-60</v>
      </c>
      <c r="F2100" s="66" t="s">
        <v>7</v>
      </c>
      <c r="G2100" s="66" t="s">
        <v>11</v>
      </c>
      <c r="H2100" s="66" t="str">
        <f>TEXT(Data[[#This Row],[Buchung]],"MMM")</f>
        <v>Sep</v>
      </c>
      <c r="I2100" s="67">
        <f>YEAR(Data[[#This Row],[Buchung]])</f>
        <v>2020</v>
      </c>
      <c r="J2100" s="2">
        <f>ABS(Data[[#This Row],[Betrag]])</f>
        <v>60</v>
      </c>
      <c r="K2100" s="66" t="str">
        <f>IF(Data[[#This Row],[Betrag]]&lt;0,"A","E")</f>
        <v>A</v>
      </c>
    </row>
    <row r="2101" spans="1:11" x14ac:dyDescent="0.25">
      <c r="A2101" s="1">
        <v>44104</v>
      </c>
      <c r="B2101" s="66" t="s">
        <v>54</v>
      </c>
      <c r="C2101" s="66" t="s">
        <v>55</v>
      </c>
      <c r="D2101" t="s">
        <v>66</v>
      </c>
      <c r="E2101">
        <v>-80</v>
      </c>
      <c r="F2101" s="66" t="s">
        <v>7</v>
      </c>
      <c r="G2101" s="66" t="s">
        <v>57</v>
      </c>
      <c r="H2101" s="66" t="str">
        <f>TEXT(Data[[#This Row],[Buchung]],"MMM")</f>
        <v>Sep</v>
      </c>
      <c r="I2101" s="67">
        <f>YEAR(Data[[#This Row],[Buchung]])</f>
        <v>2020</v>
      </c>
      <c r="J2101" s="2">
        <f>ABS(Data[[#This Row],[Betrag]])</f>
        <v>80</v>
      </c>
      <c r="K2101" s="66" t="str">
        <f>IF(Data[[#This Row],[Betrag]]&lt;0,"A","E")</f>
        <v>A</v>
      </c>
    </row>
    <row r="2102" spans="1:11" x14ac:dyDescent="0.25">
      <c r="A2102" s="1">
        <v>44105</v>
      </c>
      <c r="B2102" s="66" t="s">
        <v>67</v>
      </c>
      <c r="C2102" s="66" t="s">
        <v>59</v>
      </c>
      <c r="D2102" t="s">
        <v>68</v>
      </c>
      <c r="E2102">
        <v>-20</v>
      </c>
      <c r="F2102" s="66" t="s">
        <v>7</v>
      </c>
      <c r="G2102" s="66" t="s">
        <v>10</v>
      </c>
      <c r="H2102" s="66" t="str">
        <f>TEXT(Data[[#This Row],[Buchung]],"MMM")</f>
        <v>Okt</v>
      </c>
      <c r="I2102" s="67">
        <f>YEAR(Data[[#This Row],[Buchung]])</f>
        <v>2020</v>
      </c>
      <c r="J2102" s="2">
        <f>ABS(Data[[#This Row],[Betrag]])</f>
        <v>20</v>
      </c>
      <c r="K2102" s="66" t="str">
        <f>IF(Data[[#This Row],[Betrag]]&lt;0,"A","E")</f>
        <v>A</v>
      </c>
    </row>
    <row r="2103" spans="1:11" x14ac:dyDescent="0.25">
      <c r="A2103" s="1">
        <v>44106</v>
      </c>
      <c r="B2103" s="66" t="s">
        <v>45</v>
      </c>
      <c r="C2103" s="66" t="s">
        <v>46</v>
      </c>
      <c r="D2103" t="s">
        <v>47</v>
      </c>
      <c r="E2103">
        <v>1000</v>
      </c>
      <c r="F2103" s="66" t="s">
        <v>7</v>
      </c>
      <c r="G2103" s="66" t="s">
        <v>9</v>
      </c>
      <c r="H2103" s="66" t="str">
        <f>TEXT(Data[[#This Row],[Buchung]],"MMM")</f>
        <v>Okt</v>
      </c>
      <c r="I2103" s="67">
        <f>YEAR(Data[[#This Row],[Buchung]])</f>
        <v>2020</v>
      </c>
      <c r="J2103" s="2">
        <f>ABS(Data[[#This Row],[Betrag]])</f>
        <v>1000</v>
      </c>
      <c r="K2103" s="66" t="str">
        <f>IF(Data[[#This Row],[Betrag]]&lt;0,"A","E")</f>
        <v>E</v>
      </c>
    </row>
    <row r="2104" spans="1:11" x14ac:dyDescent="0.25">
      <c r="A2104" s="1">
        <v>44107</v>
      </c>
      <c r="B2104" s="66" t="s">
        <v>48</v>
      </c>
      <c r="C2104" s="66" t="s">
        <v>49</v>
      </c>
      <c r="D2104" t="s">
        <v>50</v>
      </c>
      <c r="E2104">
        <v>-15</v>
      </c>
      <c r="F2104" s="66" t="s">
        <v>7</v>
      </c>
      <c r="G2104" s="66" t="s">
        <v>8</v>
      </c>
      <c r="H2104" s="66" t="str">
        <f>TEXT(Data[[#This Row],[Buchung]],"MMM")</f>
        <v>Okt</v>
      </c>
      <c r="I2104" s="67">
        <f>YEAR(Data[[#This Row],[Buchung]])</f>
        <v>2020</v>
      </c>
      <c r="J2104" s="2">
        <f>ABS(Data[[#This Row],[Betrag]])</f>
        <v>15</v>
      </c>
      <c r="K2104" s="66" t="str">
        <f>IF(Data[[#This Row],[Betrag]]&lt;0,"A","E")</f>
        <v>A</v>
      </c>
    </row>
    <row r="2105" spans="1:11" x14ac:dyDescent="0.25">
      <c r="A2105" s="1">
        <v>44108</v>
      </c>
      <c r="B2105" s="66" t="s">
        <v>51</v>
      </c>
      <c r="C2105" s="66" t="s">
        <v>52</v>
      </c>
      <c r="D2105" t="s">
        <v>53</v>
      </c>
      <c r="E2105">
        <v>-350</v>
      </c>
      <c r="F2105" s="66" t="s">
        <v>7</v>
      </c>
      <c r="G2105" s="66" t="s">
        <v>11</v>
      </c>
      <c r="H2105" s="66" t="str">
        <f>TEXT(Data[[#This Row],[Buchung]],"MMM")</f>
        <v>Okt</v>
      </c>
      <c r="I2105" s="67">
        <f>YEAR(Data[[#This Row],[Buchung]])</f>
        <v>2020</v>
      </c>
      <c r="J2105" s="2">
        <f>ABS(Data[[#This Row],[Betrag]])</f>
        <v>350</v>
      </c>
      <c r="K2105" s="66" t="str">
        <f>IF(Data[[#This Row],[Betrag]]&lt;0,"A","E")</f>
        <v>A</v>
      </c>
    </row>
    <row r="2106" spans="1:11" x14ac:dyDescent="0.25">
      <c r="A2106" s="1">
        <v>44109</v>
      </c>
      <c r="B2106" s="66" t="s">
        <v>54</v>
      </c>
      <c r="C2106" s="66" t="s">
        <v>55</v>
      </c>
      <c r="D2106" t="s">
        <v>56</v>
      </c>
      <c r="E2106">
        <v>-120</v>
      </c>
      <c r="F2106" s="66" t="s">
        <v>7</v>
      </c>
      <c r="G2106" s="66" t="s">
        <v>57</v>
      </c>
      <c r="H2106" s="66" t="str">
        <f>TEXT(Data[[#This Row],[Buchung]],"MMM")</f>
        <v>Okt</v>
      </c>
      <c r="I2106" s="67">
        <f>YEAR(Data[[#This Row],[Buchung]])</f>
        <v>2020</v>
      </c>
      <c r="J2106" s="2">
        <f>ABS(Data[[#This Row],[Betrag]])</f>
        <v>120</v>
      </c>
      <c r="K2106" s="66" t="str">
        <f>IF(Data[[#This Row],[Betrag]]&lt;0,"A","E")</f>
        <v>A</v>
      </c>
    </row>
    <row r="2107" spans="1:11" x14ac:dyDescent="0.25">
      <c r="A2107" s="1">
        <v>44110</v>
      </c>
      <c r="B2107" s="66" t="s">
        <v>58</v>
      </c>
      <c r="C2107" s="66" t="s">
        <v>59</v>
      </c>
      <c r="D2107" t="s">
        <v>60</v>
      </c>
      <c r="E2107">
        <v>-60</v>
      </c>
      <c r="F2107" s="66" t="s">
        <v>7</v>
      </c>
      <c r="G2107" s="66" t="s">
        <v>10</v>
      </c>
      <c r="H2107" s="66" t="str">
        <f>TEXT(Data[[#This Row],[Buchung]],"MMM")</f>
        <v>Okt</v>
      </c>
      <c r="I2107" s="67">
        <f>YEAR(Data[[#This Row],[Buchung]])</f>
        <v>2020</v>
      </c>
      <c r="J2107" s="2">
        <f>ABS(Data[[#This Row],[Betrag]])</f>
        <v>60</v>
      </c>
      <c r="K2107" s="66" t="str">
        <f>IF(Data[[#This Row],[Betrag]]&lt;0,"A","E")</f>
        <v>A</v>
      </c>
    </row>
    <row r="2108" spans="1:11" x14ac:dyDescent="0.25">
      <c r="A2108" s="1">
        <v>44111</v>
      </c>
      <c r="B2108" s="66" t="s">
        <v>45</v>
      </c>
      <c r="C2108" s="66" t="s">
        <v>46</v>
      </c>
      <c r="D2108" t="s">
        <v>47</v>
      </c>
      <c r="E2108">
        <v>1000</v>
      </c>
      <c r="F2108" s="66" t="s">
        <v>7</v>
      </c>
      <c r="G2108" s="66" t="s">
        <v>9</v>
      </c>
      <c r="H2108" s="66" t="str">
        <f>TEXT(Data[[#This Row],[Buchung]],"MMM")</f>
        <v>Okt</v>
      </c>
      <c r="I2108" s="67">
        <f>YEAR(Data[[#This Row],[Buchung]])</f>
        <v>2020</v>
      </c>
      <c r="J2108" s="2">
        <f>ABS(Data[[#This Row],[Betrag]])</f>
        <v>1000</v>
      </c>
      <c r="K2108" s="66" t="str">
        <f>IF(Data[[#This Row],[Betrag]]&lt;0,"A","E")</f>
        <v>E</v>
      </c>
    </row>
    <row r="2109" spans="1:11" x14ac:dyDescent="0.25">
      <c r="A2109" s="1">
        <v>44112</v>
      </c>
      <c r="B2109" s="66" t="s">
        <v>61</v>
      </c>
      <c r="C2109" s="66" t="s">
        <v>49</v>
      </c>
      <c r="D2109" t="s">
        <v>62</v>
      </c>
      <c r="E2109">
        <v>-10</v>
      </c>
      <c r="F2109" s="66" t="s">
        <v>7</v>
      </c>
      <c r="G2109" s="66" t="s">
        <v>8</v>
      </c>
      <c r="H2109" s="66" t="str">
        <f>TEXT(Data[[#This Row],[Buchung]],"MMM")</f>
        <v>Okt</v>
      </c>
      <c r="I2109" s="67">
        <f>YEAR(Data[[#This Row],[Buchung]])</f>
        <v>2020</v>
      </c>
      <c r="J2109" s="2">
        <f>ABS(Data[[#This Row],[Betrag]])</f>
        <v>10</v>
      </c>
      <c r="K2109" s="66" t="str">
        <f>IF(Data[[#This Row],[Betrag]]&lt;0,"A","E")</f>
        <v>A</v>
      </c>
    </row>
    <row r="2110" spans="1:11" x14ac:dyDescent="0.25">
      <c r="A2110" s="1">
        <v>44113</v>
      </c>
      <c r="B2110" s="66" t="s">
        <v>63</v>
      </c>
      <c r="C2110" s="66" t="s">
        <v>64</v>
      </c>
      <c r="D2110" t="s">
        <v>65</v>
      </c>
      <c r="E2110">
        <v>-70</v>
      </c>
      <c r="F2110" s="66" t="s">
        <v>7</v>
      </c>
      <c r="G2110" s="66" t="s">
        <v>11</v>
      </c>
      <c r="H2110" s="66" t="str">
        <f>TEXT(Data[[#This Row],[Buchung]],"MMM")</f>
        <v>Okt</v>
      </c>
      <c r="I2110" s="67">
        <f>YEAR(Data[[#This Row],[Buchung]])</f>
        <v>2020</v>
      </c>
      <c r="J2110" s="2">
        <f>ABS(Data[[#This Row],[Betrag]])</f>
        <v>70</v>
      </c>
      <c r="K2110" s="66" t="str">
        <f>IF(Data[[#This Row],[Betrag]]&lt;0,"A","E")</f>
        <v>A</v>
      </c>
    </row>
    <row r="2111" spans="1:11" x14ac:dyDescent="0.25">
      <c r="A2111" s="1">
        <v>44114</v>
      </c>
      <c r="B2111" s="66" t="s">
        <v>54</v>
      </c>
      <c r="C2111" s="66" t="s">
        <v>55</v>
      </c>
      <c r="D2111" t="s">
        <v>66</v>
      </c>
      <c r="E2111">
        <v>-80</v>
      </c>
      <c r="F2111" s="66" t="s">
        <v>7</v>
      </c>
      <c r="G2111" s="66" t="s">
        <v>57</v>
      </c>
      <c r="H2111" s="66" t="str">
        <f>TEXT(Data[[#This Row],[Buchung]],"MMM")</f>
        <v>Okt</v>
      </c>
      <c r="I2111" s="67">
        <f>YEAR(Data[[#This Row],[Buchung]])</f>
        <v>2020</v>
      </c>
      <c r="J2111" s="2">
        <f>ABS(Data[[#This Row],[Betrag]])</f>
        <v>80</v>
      </c>
      <c r="K2111" s="66" t="str">
        <f>IF(Data[[#This Row],[Betrag]]&lt;0,"A","E")</f>
        <v>A</v>
      </c>
    </row>
    <row r="2112" spans="1:11" x14ac:dyDescent="0.25">
      <c r="A2112" s="1">
        <v>44115</v>
      </c>
      <c r="B2112" s="66" t="s">
        <v>67</v>
      </c>
      <c r="C2112" s="66" t="s">
        <v>59</v>
      </c>
      <c r="D2112" t="s">
        <v>68</v>
      </c>
      <c r="E2112">
        <v>-25</v>
      </c>
      <c r="F2112" s="66" t="s">
        <v>7</v>
      </c>
      <c r="G2112" s="66" t="s">
        <v>10</v>
      </c>
      <c r="H2112" s="66" t="str">
        <f>TEXT(Data[[#This Row],[Buchung]],"MMM")</f>
        <v>Okt</v>
      </c>
      <c r="I2112" s="67">
        <f>YEAR(Data[[#This Row],[Buchung]])</f>
        <v>2020</v>
      </c>
      <c r="J2112" s="2">
        <f>ABS(Data[[#This Row],[Betrag]])</f>
        <v>25</v>
      </c>
      <c r="K2112" s="66" t="str">
        <f>IF(Data[[#This Row],[Betrag]]&lt;0,"A","E")</f>
        <v>A</v>
      </c>
    </row>
    <row r="2113" spans="1:11" x14ac:dyDescent="0.25">
      <c r="A2113" s="1">
        <v>44116</v>
      </c>
      <c r="B2113" s="66" t="s">
        <v>45</v>
      </c>
      <c r="C2113" s="66" t="s">
        <v>46</v>
      </c>
      <c r="D2113" t="s">
        <v>47</v>
      </c>
      <c r="E2113">
        <v>1000</v>
      </c>
      <c r="F2113" s="66" t="s">
        <v>7</v>
      </c>
      <c r="G2113" s="66" t="s">
        <v>9</v>
      </c>
      <c r="H2113" s="66" t="str">
        <f>TEXT(Data[[#This Row],[Buchung]],"MMM")</f>
        <v>Okt</v>
      </c>
      <c r="I2113" s="67">
        <f>YEAR(Data[[#This Row],[Buchung]])</f>
        <v>2020</v>
      </c>
      <c r="J2113" s="2">
        <f>ABS(Data[[#This Row],[Betrag]])</f>
        <v>1000</v>
      </c>
      <c r="K2113" s="66" t="str">
        <f>IF(Data[[#This Row],[Betrag]]&lt;0,"A","E")</f>
        <v>E</v>
      </c>
    </row>
    <row r="2114" spans="1:11" x14ac:dyDescent="0.25">
      <c r="A2114" s="1">
        <v>44117</v>
      </c>
      <c r="B2114" s="66" t="s">
        <v>48</v>
      </c>
      <c r="C2114" s="66" t="s">
        <v>49</v>
      </c>
      <c r="D2114" t="s">
        <v>50</v>
      </c>
      <c r="E2114">
        <v>-15</v>
      </c>
      <c r="F2114" s="66" t="s">
        <v>7</v>
      </c>
      <c r="G2114" s="66" t="s">
        <v>8</v>
      </c>
      <c r="H2114" s="66" t="str">
        <f>TEXT(Data[[#This Row],[Buchung]],"MMM")</f>
        <v>Okt</v>
      </c>
      <c r="I2114" s="67">
        <f>YEAR(Data[[#This Row],[Buchung]])</f>
        <v>2020</v>
      </c>
      <c r="J2114" s="2">
        <f>ABS(Data[[#This Row],[Betrag]])</f>
        <v>15</v>
      </c>
      <c r="K2114" s="66" t="str">
        <f>IF(Data[[#This Row],[Betrag]]&lt;0,"A","E")</f>
        <v>A</v>
      </c>
    </row>
    <row r="2115" spans="1:11" x14ac:dyDescent="0.25">
      <c r="A2115" s="1">
        <v>44118</v>
      </c>
      <c r="B2115" s="66" t="s">
        <v>51</v>
      </c>
      <c r="C2115" s="66" t="s">
        <v>52</v>
      </c>
      <c r="D2115" t="s">
        <v>53</v>
      </c>
      <c r="E2115">
        <v>-350</v>
      </c>
      <c r="F2115" s="66" t="s">
        <v>7</v>
      </c>
      <c r="G2115" s="66" t="s">
        <v>11</v>
      </c>
      <c r="H2115" s="66" t="str">
        <f>TEXT(Data[[#This Row],[Buchung]],"MMM")</f>
        <v>Okt</v>
      </c>
      <c r="I2115" s="67">
        <f>YEAR(Data[[#This Row],[Buchung]])</f>
        <v>2020</v>
      </c>
      <c r="J2115" s="2">
        <f>ABS(Data[[#This Row],[Betrag]])</f>
        <v>350</v>
      </c>
      <c r="K2115" s="66" t="str">
        <f>IF(Data[[#This Row],[Betrag]]&lt;0,"A","E")</f>
        <v>A</v>
      </c>
    </row>
    <row r="2116" spans="1:11" x14ac:dyDescent="0.25">
      <c r="A2116" s="1">
        <v>44119</v>
      </c>
      <c r="B2116" s="66" t="s">
        <v>54</v>
      </c>
      <c r="C2116" s="66" t="s">
        <v>55</v>
      </c>
      <c r="D2116" t="s">
        <v>56</v>
      </c>
      <c r="E2116">
        <v>-120</v>
      </c>
      <c r="F2116" s="66" t="s">
        <v>7</v>
      </c>
      <c r="G2116" s="66" t="s">
        <v>57</v>
      </c>
      <c r="H2116" s="66" t="str">
        <f>TEXT(Data[[#This Row],[Buchung]],"MMM")</f>
        <v>Okt</v>
      </c>
      <c r="I2116" s="67">
        <f>YEAR(Data[[#This Row],[Buchung]])</f>
        <v>2020</v>
      </c>
      <c r="J2116" s="2">
        <f>ABS(Data[[#This Row],[Betrag]])</f>
        <v>120</v>
      </c>
      <c r="K2116" s="66" t="str">
        <f>IF(Data[[#This Row],[Betrag]]&lt;0,"A","E")</f>
        <v>A</v>
      </c>
    </row>
    <row r="2117" spans="1:11" x14ac:dyDescent="0.25">
      <c r="A2117" s="1">
        <v>44120</v>
      </c>
      <c r="B2117" s="66" t="s">
        <v>58</v>
      </c>
      <c r="C2117" s="66" t="s">
        <v>59</v>
      </c>
      <c r="D2117" t="s">
        <v>60</v>
      </c>
      <c r="E2117">
        <v>-70</v>
      </c>
      <c r="F2117" s="66" t="s">
        <v>7</v>
      </c>
      <c r="G2117" s="66" t="s">
        <v>10</v>
      </c>
      <c r="H2117" s="66" t="str">
        <f>TEXT(Data[[#This Row],[Buchung]],"MMM")</f>
        <v>Okt</v>
      </c>
      <c r="I2117" s="67">
        <f>YEAR(Data[[#This Row],[Buchung]])</f>
        <v>2020</v>
      </c>
      <c r="J2117" s="2">
        <f>ABS(Data[[#This Row],[Betrag]])</f>
        <v>70</v>
      </c>
      <c r="K2117" s="66" t="str">
        <f>IF(Data[[#This Row],[Betrag]]&lt;0,"A","E")</f>
        <v>A</v>
      </c>
    </row>
    <row r="2118" spans="1:11" x14ac:dyDescent="0.25">
      <c r="A2118" s="1">
        <v>44121</v>
      </c>
      <c r="B2118" s="66" t="s">
        <v>45</v>
      </c>
      <c r="C2118" s="66" t="s">
        <v>46</v>
      </c>
      <c r="D2118" t="s">
        <v>47</v>
      </c>
      <c r="E2118">
        <v>1000</v>
      </c>
      <c r="F2118" s="66" t="s">
        <v>7</v>
      </c>
      <c r="G2118" s="66" t="s">
        <v>9</v>
      </c>
      <c r="H2118" s="66" t="str">
        <f>TEXT(Data[[#This Row],[Buchung]],"MMM")</f>
        <v>Okt</v>
      </c>
      <c r="I2118" s="67">
        <f>YEAR(Data[[#This Row],[Buchung]])</f>
        <v>2020</v>
      </c>
      <c r="J2118" s="2">
        <f>ABS(Data[[#This Row],[Betrag]])</f>
        <v>1000</v>
      </c>
      <c r="K2118" s="66" t="str">
        <f>IF(Data[[#This Row],[Betrag]]&lt;0,"A","E")</f>
        <v>E</v>
      </c>
    </row>
    <row r="2119" spans="1:11" x14ac:dyDescent="0.25">
      <c r="A2119" s="1">
        <v>44122</v>
      </c>
      <c r="B2119" s="66" t="s">
        <v>61</v>
      </c>
      <c r="C2119" s="66" t="s">
        <v>49</v>
      </c>
      <c r="D2119" t="s">
        <v>62</v>
      </c>
      <c r="E2119">
        <v>-10</v>
      </c>
      <c r="F2119" s="66" t="s">
        <v>7</v>
      </c>
      <c r="G2119" s="66" t="s">
        <v>8</v>
      </c>
      <c r="H2119" s="66" t="str">
        <f>TEXT(Data[[#This Row],[Buchung]],"MMM")</f>
        <v>Okt</v>
      </c>
      <c r="I2119" s="67">
        <f>YEAR(Data[[#This Row],[Buchung]])</f>
        <v>2020</v>
      </c>
      <c r="J2119" s="2">
        <f>ABS(Data[[#This Row],[Betrag]])</f>
        <v>10</v>
      </c>
      <c r="K2119" s="66" t="str">
        <f>IF(Data[[#This Row],[Betrag]]&lt;0,"A","E")</f>
        <v>A</v>
      </c>
    </row>
    <row r="2120" spans="1:11" x14ac:dyDescent="0.25">
      <c r="A2120" s="1">
        <v>44123</v>
      </c>
      <c r="B2120" s="66" t="s">
        <v>63</v>
      </c>
      <c r="C2120" s="66" t="s">
        <v>64</v>
      </c>
      <c r="D2120" t="s">
        <v>65</v>
      </c>
      <c r="E2120">
        <v>-60</v>
      </c>
      <c r="F2120" s="66" t="s">
        <v>7</v>
      </c>
      <c r="G2120" s="66" t="s">
        <v>11</v>
      </c>
      <c r="H2120" s="66" t="str">
        <f>TEXT(Data[[#This Row],[Buchung]],"MMM")</f>
        <v>Okt</v>
      </c>
      <c r="I2120" s="67">
        <f>YEAR(Data[[#This Row],[Buchung]])</f>
        <v>2020</v>
      </c>
      <c r="J2120" s="2">
        <f>ABS(Data[[#This Row],[Betrag]])</f>
        <v>60</v>
      </c>
      <c r="K2120" s="66" t="str">
        <f>IF(Data[[#This Row],[Betrag]]&lt;0,"A","E")</f>
        <v>A</v>
      </c>
    </row>
    <row r="2121" spans="1:11" x14ac:dyDescent="0.25">
      <c r="A2121" s="1">
        <v>44124</v>
      </c>
      <c r="B2121" s="66" t="s">
        <v>54</v>
      </c>
      <c r="C2121" s="66" t="s">
        <v>55</v>
      </c>
      <c r="D2121" t="s">
        <v>66</v>
      </c>
      <c r="E2121">
        <v>-80</v>
      </c>
      <c r="F2121" s="66" t="s">
        <v>7</v>
      </c>
      <c r="G2121" s="66" t="s">
        <v>57</v>
      </c>
      <c r="H2121" s="66" t="str">
        <f>TEXT(Data[[#This Row],[Buchung]],"MMM")</f>
        <v>Okt</v>
      </c>
      <c r="I2121" s="67">
        <f>YEAR(Data[[#This Row],[Buchung]])</f>
        <v>2020</v>
      </c>
      <c r="J2121" s="2">
        <f>ABS(Data[[#This Row],[Betrag]])</f>
        <v>80</v>
      </c>
      <c r="K2121" s="66" t="str">
        <f>IF(Data[[#This Row],[Betrag]]&lt;0,"A","E")</f>
        <v>A</v>
      </c>
    </row>
    <row r="2122" spans="1:11" x14ac:dyDescent="0.25">
      <c r="A2122" s="1">
        <v>44125</v>
      </c>
      <c r="B2122" s="66" t="s">
        <v>67</v>
      </c>
      <c r="C2122" s="66" t="s">
        <v>59</v>
      </c>
      <c r="D2122" t="s">
        <v>68</v>
      </c>
      <c r="E2122">
        <v>-30</v>
      </c>
      <c r="F2122" s="66" t="s">
        <v>7</v>
      </c>
      <c r="G2122" s="66" t="s">
        <v>10</v>
      </c>
      <c r="H2122" s="66" t="str">
        <f>TEXT(Data[[#This Row],[Buchung]],"MMM")</f>
        <v>Okt</v>
      </c>
      <c r="I2122" s="67">
        <f>YEAR(Data[[#This Row],[Buchung]])</f>
        <v>2020</v>
      </c>
      <c r="J2122" s="2">
        <f>ABS(Data[[#This Row],[Betrag]])</f>
        <v>30</v>
      </c>
      <c r="K2122" s="66" t="str">
        <f>IF(Data[[#This Row],[Betrag]]&lt;0,"A","E")</f>
        <v>A</v>
      </c>
    </row>
    <row r="2123" spans="1:11" x14ac:dyDescent="0.25">
      <c r="A2123" s="1">
        <v>44126</v>
      </c>
      <c r="B2123" s="66" t="s">
        <v>45</v>
      </c>
      <c r="C2123" s="66" t="s">
        <v>46</v>
      </c>
      <c r="D2123" t="s">
        <v>47</v>
      </c>
      <c r="E2123">
        <v>1000</v>
      </c>
      <c r="F2123" s="66" t="s">
        <v>7</v>
      </c>
      <c r="G2123" s="66" t="s">
        <v>9</v>
      </c>
      <c r="H2123" s="66" t="str">
        <f>TEXT(Data[[#This Row],[Buchung]],"MMM")</f>
        <v>Okt</v>
      </c>
      <c r="I2123" s="67">
        <f>YEAR(Data[[#This Row],[Buchung]])</f>
        <v>2020</v>
      </c>
      <c r="J2123" s="2">
        <f>ABS(Data[[#This Row],[Betrag]])</f>
        <v>1000</v>
      </c>
      <c r="K2123" s="66" t="str">
        <f>IF(Data[[#This Row],[Betrag]]&lt;0,"A","E")</f>
        <v>E</v>
      </c>
    </row>
    <row r="2124" spans="1:11" x14ac:dyDescent="0.25">
      <c r="A2124" s="1">
        <v>44127</v>
      </c>
      <c r="B2124" s="66" t="s">
        <v>48</v>
      </c>
      <c r="C2124" s="66" t="s">
        <v>49</v>
      </c>
      <c r="D2124" t="s">
        <v>50</v>
      </c>
      <c r="E2124">
        <v>-15</v>
      </c>
      <c r="F2124" s="66" t="s">
        <v>7</v>
      </c>
      <c r="G2124" s="66" t="s">
        <v>8</v>
      </c>
      <c r="H2124" s="66" t="str">
        <f>TEXT(Data[[#This Row],[Buchung]],"MMM")</f>
        <v>Okt</v>
      </c>
      <c r="I2124" s="67">
        <f>YEAR(Data[[#This Row],[Buchung]])</f>
        <v>2020</v>
      </c>
      <c r="J2124" s="2">
        <f>ABS(Data[[#This Row],[Betrag]])</f>
        <v>15</v>
      </c>
      <c r="K2124" s="66" t="str">
        <f>IF(Data[[#This Row],[Betrag]]&lt;0,"A","E")</f>
        <v>A</v>
      </c>
    </row>
    <row r="2125" spans="1:11" x14ac:dyDescent="0.25">
      <c r="A2125" s="1">
        <v>44128</v>
      </c>
      <c r="B2125" s="66" t="s">
        <v>51</v>
      </c>
      <c r="C2125" s="66" t="s">
        <v>52</v>
      </c>
      <c r="D2125" t="s">
        <v>53</v>
      </c>
      <c r="E2125">
        <v>-350</v>
      </c>
      <c r="F2125" s="66" t="s">
        <v>7</v>
      </c>
      <c r="G2125" s="66" t="s">
        <v>11</v>
      </c>
      <c r="H2125" s="66" t="str">
        <f>TEXT(Data[[#This Row],[Buchung]],"MMM")</f>
        <v>Okt</v>
      </c>
      <c r="I2125" s="67">
        <f>YEAR(Data[[#This Row],[Buchung]])</f>
        <v>2020</v>
      </c>
      <c r="J2125" s="2">
        <f>ABS(Data[[#This Row],[Betrag]])</f>
        <v>350</v>
      </c>
      <c r="K2125" s="66" t="str">
        <f>IF(Data[[#This Row],[Betrag]]&lt;0,"A","E")</f>
        <v>A</v>
      </c>
    </row>
    <row r="2126" spans="1:11" x14ac:dyDescent="0.25">
      <c r="A2126" s="1">
        <v>44129</v>
      </c>
      <c r="B2126" s="66" t="s">
        <v>54</v>
      </c>
      <c r="C2126" s="66" t="s">
        <v>55</v>
      </c>
      <c r="D2126" t="s">
        <v>56</v>
      </c>
      <c r="E2126">
        <v>-120</v>
      </c>
      <c r="F2126" s="66" t="s">
        <v>7</v>
      </c>
      <c r="G2126" s="66" t="s">
        <v>57</v>
      </c>
      <c r="H2126" s="66" t="str">
        <f>TEXT(Data[[#This Row],[Buchung]],"MMM")</f>
        <v>Okt</v>
      </c>
      <c r="I2126" s="67">
        <f>YEAR(Data[[#This Row],[Buchung]])</f>
        <v>2020</v>
      </c>
      <c r="J2126" s="2">
        <f>ABS(Data[[#This Row],[Betrag]])</f>
        <v>120</v>
      </c>
      <c r="K2126" s="66" t="str">
        <f>IF(Data[[#This Row],[Betrag]]&lt;0,"A","E")</f>
        <v>A</v>
      </c>
    </row>
    <row r="2127" spans="1:11" x14ac:dyDescent="0.25">
      <c r="A2127" s="1">
        <v>44130</v>
      </c>
      <c r="B2127" s="66" t="s">
        <v>58</v>
      </c>
      <c r="C2127" s="66" t="s">
        <v>59</v>
      </c>
      <c r="D2127" t="s">
        <v>60</v>
      </c>
      <c r="E2127">
        <v>-80</v>
      </c>
      <c r="F2127" s="66" t="s">
        <v>7</v>
      </c>
      <c r="G2127" s="66" t="s">
        <v>10</v>
      </c>
      <c r="H2127" s="66" t="str">
        <f>TEXT(Data[[#This Row],[Buchung]],"MMM")</f>
        <v>Okt</v>
      </c>
      <c r="I2127" s="67">
        <f>YEAR(Data[[#This Row],[Buchung]])</f>
        <v>2020</v>
      </c>
      <c r="J2127" s="2">
        <f>ABS(Data[[#This Row],[Betrag]])</f>
        <v>80</v>
      </c>
      <c r="K2127" s="66" t="str">
        <f>IF(Data[[#This Row],[Betrag]]&lt;0,"A","E")</f>
        <v>A</v>
      </c>
    </row>
    <row r="2128" spans="1:11" x14ac:dyDescent="0.25">
      <c r="A2128" s="1">
        <v>44131</v>
      </c>
      <c r="B2128" s="66" t="s">
        <v>45</v>
      </c>
      <c r="C2128" s="66" t="s">
        <v>46</v>
      </c>
      <c r="D2128" t="s">
        <v>47</v>
      </c>
      <c r="E2128">
        <v>1000</v>
      </c>
      <c r="F2128" s="66" t="s">
        <v>7</v>
      </c>
      <c r="G2128" s="66" t="s">
        <v>9</v>
      </c>
      <c r="H2128" s="66" t="str">
        <f>TEXT(Data[[#This Row],[Buchung]],"MMM")</f>
        <v>Okt</v>
      </c>
      <c r="I2128" s="67">
        <f>YEAR(Data[[#This Row],[Buchung]])</f>
        <v>2020</v>
      </c>
      <c r="J2128" s="2">
        <f>ABS(Data[[#This Row],[Betrag]])</f>
        <v>1000</v>
      </c>
      <c r="K2128" s="66" t="str">
        <f>IF(Data[[#This Row],[Betrag]]&lt;0,"A","E")</f>
        <v>E</v>
      </c>
    </row>
    <row r="2129" spans="1:11" x14ac:dyDescent="0.25">
      <c r="A2129" s="1">
        <v>44132</v>
      </c>
      <c r="B2129" s="66" t="s">
        <v>61</v>
      </c>
      <c r="C2129" s="66" t="s">
        <v>49</v>
      </c>
      <c r="D2129" t="s">
        <v>62</v>
      </c>
      <c r="E2129">
        <v>-10</v>
      </c>
      <c r="F2129" s="66" t="s">
        <v>7</v>
      </c>
      <c r="G2129" s="66" t="s">
        <v>8</v>
      </c>
      <c r="H2129" s="66" t="str">
        <f>TEXT(Data[[#This Row],[Buchung]],"MMM")</f>
        <v>Okt</v>
      </c>
      <c r="I2129" s="67">
        <f>YEAR(Data[[#This Row],[Buchung]])</f>
        <v>2020</v>
      </c>
      <c r="J2129" s="2">
        <f>ABS(Data[[#This Row],[Betrag]])</f>
        <v>10</v>
      </c>
      <c r="K2129" s="66" t="str">
        <f>IF(Data[[#This Row],[Betrag]]&lt;0,"A","E")</f>
        <v>A</v>
      </c>
    </row>
    <row r="2130" spans="1:11" x14ac:dyDescent="0.25">
      <c r="A2130" s="1">
        <v>44133</v>
      </c>
      <c r="B2130" s="66" t="s">
        <v>63</v>
      </c>
      <c r="C2130" s="66" t="s">
        <v>64</v>
      </c>
      <c r="D2130" t="s">
        <v>65</v>
      </c>
      <c r="E2130">
        <v>-65</v>
      </c>
      <c r="F2130" s="66" t="s">
        <v>7</v>
      </c>
      <c r="G2130" s="66" t="s">
        <v>11</v>
      </c>
      <c r="H2130" s="66" t="str">
        <f>TEXT(Data[[#This Row],[Buchung]],"MMM")</f>
        <v>Okt</v>
      </c>
      <c r="I2130" s="67">
        <f>YEAR(Data[[#This Row],[Buchung]])</f>
        <v>2020</v>
      </c>
      <c r="J2130" s="2">
        <f>ABS(Data[[#This Row],[Betrag]])</f>
        <v>65</v>
      </c>
      <c r="K2130" s="66" t="str">
        <f>IF(Data[[#This Row],[Betrag]]&lt;0,"A","E")</f>
        <v>A</v>
      </c>
    </row>
    <row r="2131" spans="1:11" x14ac:dyDescent="0.25">
      <c r="A2131" s="1">
        <v>44134</v>
      </c>
      <c r="B2131" s="66" t="s">
        <v>54</v>
      </c>
      <c r="C2131" s="66" t="s">
        <v>55</v>
      </c>
      <c r="D2131" t="s">
        <v>66</v>
      </c>
      <c r="E2131">
        <v>-80</v>
      </c>
      <c r="F2131" s="66" t="s">
        <v>7</v>
      </c>
      <c r="G2131" s="66" t="s">
        <v>57</v>
      </c>
      <c r="H2131" s="66" t="str">
        <f>TEXT(Data[[#This Row],[Buchung]],"MMM")</f>
        <v>Okt</v>
      </c>
      <c r="I2131" s="67">
        <f>YEAR(Data[[#This Row],[Buchung]])</f>
        <v>2020</v>
      </c>
      <c r="J2131" s="2">
        <f>ABS(Data[[#This Row],[Betrag]])</f>
        <v>80</v>
      </c>
      <c r="K2131" s="66" t="str">
        <f>IF(Data[[#This Row],[Betrag]]&lt;0,"A","E")</f>
        <v>A</v>
      </c>
    </row>
    <row r="2132" spans="1:11" x14ac:dyDescent="0.25">
      <c r="A2132" s="1">
        <v>44135</v>
      </c>
      <c r="B2132" s="66" t="s">
        <v>67</v>
      </c>
      <c r="C2132" s="66" t="s">
        <v>59</v>
      </c>
      <c r="D2132" t="s">
        <v>68</v>
      </c>
      <c r="E2132">
        <v>-35</v>
      </c>
      <c r="F2132" s="66" t="s">
        <v>7</v>
      </c>
      <c r="G2132" s="66" t="s">
        <v>10</v>
      </c>
      <c r="H2132" s="66" t="str">
        <f>TEXT(Data[[#This Row],[Buchung]],"MMM")</f>
        <v>Okt</v>
      </c>
      <c r="I2132" s="67">
        <f>YEAR(Data[[#This Row],[Buchung]])</f>
        <v>2020</v>
      </c>
      <c r="J2132" s="2">
        <f>ABS(Data[[#This Row],[Betrag]])</f>
        <v>35</v>
      </c>
      <c r="K2132" s="66" t="str">
        <f>IF(Data[[#This Row],[Betrag]]&lt;0,"A","E")</f>
        <v>A</v>
      </c>
    </row>
    <row r="2133" spans="1:11" x14ac:dyDescent="0.25">
      <c r="A2133" s="1">
        <v>44136</v>
      </c>
      <c r="B2133" s="66" t="s">
        <v>45</v>
      </c>
      <c r="C2133" s="66" t="s">
        <v>46</v>
      </c>
      <c r="D2133" t="s">
        <v>47</v>
      </c>
      <c r="E2133">
        <v>1000</v>
      </c>
      <c r="F2133" s="66" t="s">
        <v>7</v>
      </c>
      <c r="G2133" s="66" t="s">
        <v>9</v>
      </c>
      <c r="H2133" s="66" t="str">
        <f>TEXT(Data[[#This Row],[Buchung]],"MMM")</f>
        <v>Nov</v>
      </c>
      <c r="I2133" s="67">
        <f>YEAR(Data[[#This Row],[Buchung]])</f>
        <v>2020</v>
      </c>
      <c r="J2133" s="2">
        <f>ABS(Data[[#This Row],[Betrag]])</f>
        <v>1000</v>
      </c>
      <c r="K2133" s="66" t="str">
        <f>IF(Data[[#This Row],[Betrag]]&lt;0,"A","E")</f>
        <v>E</v>
      </c>
    </row>
    <row r="2134" spans="1:11" x14ac:dyDescent="0.25">
      <c r="A2134" s="1">
        <v>44137</v>
      </c>
      <c r="B2134" s="66" t="s">
        <v>45</v>
      </c>
      <c r="C2134" s="66" t="s">
        <v>46</v>
      </c>
      <c r="D2134" t="s">
        <v>47</v>
      </c>
      <c r="E2134">
        <v>1000</v>
      </c>
      <c r="F2134" s="66" t="s">
        <v>7</v>
      </c>
      <c r="G2134" s="66" t="s">
        <v>9</v>
      </c>
      <c r="H2134" s="66" t="str">
        <f>TEXT(Data[[#This Row],[Buchung]],"MMM")</f>
        <v>Nov</v>
      </c>
      <c r="I2134" s="67">
        <f>YEAR(Data[[#This Row],[Buchung]])</f>
        <v>2020</v>
      </c>
      <c r="J2134" s="2">
        <f>ABS(Data[[#This Row],[Betrag]])</f>
        <v>1000</v>
      </c>
      <c r="K2134" s="66" t="str">
        <f>IF(Data[[#This Row],[Betrag]]&lt;0,"A","E")</f>
        <v>E</v>
      </c>
    </row>
    <row r="2135" spans="1:11" x14ac:dyDescent="0.25">
      <c r="A2135" s="1">
        <v>44138</v>
      </c>
      <c r="B2135" s="66" t="s">
        <v>48</v>
      </c>
      <c r="C2135" s="66" t="s">
        <v>49</v>
      </c>
      <c r="D2135" t="s">
        <v>50</v>
      </c>
      <c r="E2135">
        <v>-15</v>
      </c>
      <c r="F2135" s="66" t="s">
        <v>7</v>
      </c>
      <c r="G2135" s="66" t="s">
        <v>8</v>
      </c>
      <c r="H2135" s="66" t="str">
        <f>TEXT(Data[[#This Row],[Buchung]],"MMM")</f>
        <v>Nov</v>
      </c>
      <c r="I2135" s="67">
        <f>YEAR(Data[[#This Row],[Buchung]])</f>
        <v>2020</v>
      </c>
      <c r="J2135" s="2">
        <f>ABS(Data[[#This Row],[Betrag]])</f>
        <v>15</v>
      </c>
      <c r="K2135" s="66" t="str">
        <f>IF(Data[[#This Row],[Betrag]]&lt;0,"A","E")</f>
        <v>A</v>
      </c>
    </row>
    <row r="2136" spans="1:11" x14ac:dyDescent="0.25">
      <c r="A2136" s="1">
        <v>44139</v>
      </c>
      <c r="B2136" s="66" t="s">
        <v>51</v>
      </c>
      <c r="C2136" s="66" t="s">
        <v>52</v>
      </c>
      <c r="D2136" t="s">
        <v>53</v>
      </c>
      <c r="E2136">
        <v>-350</v>
      </c>
      <c r="F2136" s="66" t="s">
        <v>7</v>
      </c>
      <c r="G2136" s="66" t="s">
        <v>11</v>
      </c>
      <c r="H2136" s="66" t="str">
        <f>TEXT(Data[[#This Row],[Buchung]],"MMM")</f>
        <v>Nov</v>
      </c>
      <c r="I2136" s="67">
        <f>YEAR(Data[[#This Row],[Buchung]])</f>
        <v>2020</v>
      </c>
      <c r="J2136" s="2">
        <f>ABS(Data[[#This Row],[Betrag]])</f>
        <v>350</v>
      </c>
      <c r="K2136" s="66" t="str">
        <f>IF(Data[[#This Row],[Betrag]]&lt;0,"A","E")</f>
        <v>A</v>
      </c>
    </row>
    <row r="2137" spans="1:11" x14ac:dyDescent="0.25">
      <c r="A2137" s="1">
        <v>44140</v>
      </c>
      <c r="B2137" s="66" t="s">
        <v>54</v>
      </c>
      <c r="C2137" s="66" t="s">
        <v>55</v>
      </c>
      <c r="D2137" t="s">
        <v>56</v>
      </c>
      <c r="E2137">
        <v>-120</v>
      </c>
      <c r="F2137" s="66" t="s">
        <v>7</v>
      </c>
      <c r="G2137" s="66" t="s">
        <v>57</v>
      </c>
      <c r="H2137" s="66" t="str">
        <f>TEXT(Data[[#This Row],[Buchung]],"MMM")</f>
        <v>Nov</v>
      </c>
      <c r="I2137" s="67">
        <f>YEAR(Data[[#This Row],[Buchung]])</f>
        <v>2020</v>
      </c>
      <c r="J2137" s="2">
        <f>ABS(Data[[#This Row],[Betrag]])</f>
        <v>120</v>
      </c>
      <c r="K2137" s="66" t="str">
        <f>IF(Data[[#This Row],[Betrag]]&lt;0,"A","E")</f>
        <v>A</v>
      </c>
    </row>
    <row r="2138" spans="1:11" x14ac:dyDescent="0.25">
      <c r="A2138" s="1">
        <v>44141</v>
      </c>
      <c r="B2138" s="66" t="s">
        <v>58</v>
      </c>
      <c r="C2138" s="66" t="s">
        <v>59</v>
      </c>
      <c r="D2138" t="s">
        <v>60</v>
      </c>
      <c r="E2138">
        <v>-50</v>
      </c>
      <c r="F2138" s="66" t="s">
        <v>7</v>
      </c>
      <c r="G2138" s="66" t="s">
        <v>10</v>
      </c>
      <c r="H2138" s="66" t="str">
        <f>TEXT(Data[[#This Row],[Buchung]],"MMM")</f>
        <v>Nov</v>
      </c>
      <c r="I2138" s="67">
        <f>YEAR(Data[[#This Row],[Buchung]])</f>
        <v>2020</v>
      </c>
      <c r="J2138" s="2">
        <f>ABS(Data[[#This Row],[Betrag]])</f>
        <v>50</v>
      </c>
      <c r="K2138" s="66" t="str">
        <f>IF(Data[[#This Row],[Betrag]]&lt;0,"A","E")</f>
        <v>A</v>
      </c>
    </row>
    <row r="2139" spans="1:11" x14ac:dyDescent="0.25">
      <c r="A2139" s="1">
        <v>44142</v>
      </c>
      <c r="B2139" s="66" t="s">
        <v>45</v>
      </c>
      <c r="C2139" s="66" t="s">
        <v>46</v>
      </c>
      <c r="D2139" t="s">
        <v>47</v>
      </c>
      <c r="E2139">
        <v>1000</v>
      </c>
      <c r="F2139" s="66" t="s">
        <v>7</v>
      </c>
      <c r="G2139" s="66" t="s">
        <v>9</v>
      </c>
      <c r="H2139" s="66" t="str">
        <f>TEXT(Data[[#This Row],[Buchung]],"MMM")</f>
        <v>Nov</v>
      </c>
      <c r="I2139" s="67">
        <f>YEAR(Data[[#This Row],[Buchung]])</f>
        <v>2020</v>
      </c>
      <c r="J2139" s="2">
        <f>ABS(Data[[#This Row],[Betrag]])</f>
        <v>1000</v>
      </c>
      <c r="K2139" s="66" t="str">
        <f>IF(Data[[#This Row],[Betrag]]&lt;0,"A","E")</f>
        <v>E</v>
      </c>
    </row>
    <row r="2140" spans="1:11" x14ac:dyDescent="0.25">
      <c r="A2140" s="1">
        <v>44143</v>
      </c>
      <c r="B2140" s="66" t="s">
        <v>61</v>
      </c>
      <c r="C2140" s="66" t="s">
        <v>49</v>
      </c>
      <c r="D2140" t="s">
        <v>62</v>
      </c>
      <c r="E2140">
        <v>-10</v>
      </c>
      <c r="F2140" s="66" t="s">
        <v>7</v>
      </c>
      <c r="G2140" s="66" t="s">
        <v>8</v>
      </c>
      <c r="H2140" s="66" t="str">
        <f>TEXT(Data[[#This Row],[Buchung]],"MMM")</f>
        <v>Nov</v>
      </c>
      <c r="I2140" s="67">
        <f>YEAR(Data[[#This Row],[Buchung]])</f>
        <v>2020</v>
      </c>
      <c r="J2140" s="2">
        <f>ABS(Data[[#This Row],[Betrag]])</f>
        <v>10</v>
      </c>
      <c r="K2140" s="66" t="str">
        <f>IF(Data[[#This Row],[Betrag]]&lt;0,"A","E")</f>
        <v>A</v>
      </c>
    </row>
    <row r="2141" spans="1:11" x14ac:dyDescent="0.25">
      <c r="A2141" s="1">
        <v>44144</v>
      </c>
      <c r="B2141" s="66" t="s">
        <v>63</v>
      </c>
      <c r="C2141" s="66" t="s">
        <v>64</v>
      </c>
      <c r="D2141" t="s">
        <v>65</v>
      </c>
      <c r="E2141">
        <v>-60</v>
      </c>
      <c r="F2141" s="66" t="s">
        <v>7</v>
      </c>
      <c r="G2141" s="66" t="s">
        <v>11</v>
      </c>
      <c r="H2141" s="66" t="str">
        <f>TEXT(Data[[#This Row],[Buchung]],"MMM")</f>
        <v>Nov</v>
      </c>
      <c r="I2141" s="67">
        <f>YEAR(Data[[#This Row],[Buchung]])</f>
        <v>2020</v>
      </c>
      <c r="J2141" s="2">
        <f>ABS(Data[[#This Row],[Betrag]])</f>
        <v>60</v>
      </c>
      <c r="K2141" s="66" t="str">
        <f>IF(Data[[#This Row],[Betrag]]&lt;0,"A","E")</f>
        <v>A</v>
      </c>
    </row>
    <row r="2142" spans="1:11" x14ac:dyDescent="0.25">
      <c r="A2142" s="1">
        <v>44145</v>
      </c>
      <c r="B2142" s="66" t="s">
        <v>54</v>
      </c>
      <c r="C2142" s="66" t="s">
        <v>55</v>
      </c>
      <c r="D2142" t="s">
        <v>66</v>
      </c>
      <c r="E2142">
        <v>-80</v>
      </c>
      <c r="F2142" s="66" t="s">
        <v>7</v>
      </c>
      <c r="G2142" s="66" t="s">
        <v>57</v>
      </c>
      <c r="H2142" s="66" t="str">
        <f>TEXT(Data[[#This Row],[Buchung]],"MMM")</f>
        <v>Nov</v>
      </c>
      <c r="I2142" s="67">
        <f>YEAR(Data[[#This Row],[Buchung]])</f>
        <v>2020</v>
      </c>
      <c r="J2142" s="2">
        <f>ABS(Data[[#This Row],[Betrag]])</f>
        <v>80</v>
      </c>
      <c r="K2142" s="66" t="str">
        <f>IF(Data[[#This Row],[Betrag]]&lt;0,"A","E")</f>
        <v>A</v>
      </c>
    </row>
    <row r="2143" spans="1:11" x14ac:dyDescent="0.25">
      <c r="A2143" s="1">
        <v>44146</v>
      </c>
      <c r="B2143" s="66" t="s">
        <v>67</v>
      </c>
      <c r="C2143" s="66" t="s">
        <v>59</v>
      </c>
      <c r="D2143" t="s">
        <v>68</v>
      </c>
      <c r="E2143">
        <v>-20</v>
      </c>
      <c r="F2143" s="66" t="s">
        <v>7</v>
      </c>
      <c r="G2143" s="66" t="s">
        <v>10</v>
      </c>
      <c r="H2143" s="66" t="str">
        <f>TEXT(Data[[#This Row],[Buchung]],"MMM")</f>
        <v>Nov</v>
      </c>
      <c r="I2143" s="67">
        <f>YEAR(Data[[#This Row],[Buchung]])</f>
        <v>2020</v>
      </c>
      <c r="J2143" s="2">
        <f>ABS(Data[[#This Row],[Betrag]])</f>
        <v>20</v>
      </c>
      <c r="K2143" s="66" t="str">
        <f>IF(Data[[#This Row],[Betrag]]&lt;0,"A","E")</f>
        <v>A</v>
      </c>
    </row>
    <row r="2144" spans="1:11" x14ac:dyDescent="0.25">
      <c r="A2144" s="1">
        <v>44147</v>
      </c>
      <c r="B2144" s="66" t="s">
        <v>45</v>
      </c>
      <c r="C2144" s="66" t="s">
        <v>46</v>
      </c>
      <c r="D2144" t="s">
        <v>47</v>
      </c>
      <c r="E2144">
        <v>1000</v>
      </c>
      <c r="F2144" s="66" t="s">
        <v>7</v>
      </c>
      <c r="G2144" s="66" t="s">
        <v>9</v>
      </c>
      <c r="H2144" s="66" t="str">
        <f>TEXT(Data[[#This Row],[Buchung]],"MMM")</f>
        <v>Nov</v>
      </c>
      <c r="I2144" s="67">
        <f>YEAR(Data[[#This Row],[Buchung]])</f>
        <v>2020</v>
      </c>
      <c r="J2144" s="2">
        <f>ABS(Data[[#This Row],[Betrag]])</f>
        <v>1000</v>
      </c>
      <c r="K2144" s="66" t="str">
        <f>IF(Data[[#This Row],[Betrag]]&lt;0,"A","E")</f>
        <v>E</v>
      </c>
    </row>
    <row r="2145" spans="1:11" x14ac:dyDescent="0.25">
      <c r="A2145" s="1">
        <v>44148</v>
      </c>
      <c r="B2145" s="66" t="s">
        <v>48</v>
      </c>
      <c r="C2145" s="66" t="s">
        <v>49</v>
      </c>
      <c r="D2145" t="s">
        <v>50</v>
      </c>
      <c r="E2145">
        <v>-15</v>
      </c>
      <c r="F2145" s="66" t="s">
        <v>7</v>
      </c>
      <c r="G2145" s="66" t="s">
        <v>8</v>
      </c>
      <c r="H2145" s="66" t="str">
        <f>TEXT(Data[[#This Row],[Buchung]],"MMM")</f>
        <v>Nov</v>
      </c>
      <c r="I2145" s="67">
        <f>YEAR(Data[[#This Row],[Buchung]])</f>
        <v>2020</v>
      </c>
      <c r="J2145" s="2">
        <f>ABS(Data[[#This Row],[Betrag]])</f>
        <v>15</v>
      </c>
      <c r="K2145" s="66" t="str">
        <f>IF(Data[[#This Row],[Betrag]]&lt;0,"A","E")</f>
        <v>A</v>
      </c>
    </row>
    <row r="2146" spans="1:11" x14ac:dyDescent="0.25">
      <c r="A2146" s="1">
        <v>44149</v>
      </c>
      <c r="B2146" s="66" t="s">
        <v>51</v>
      </c>
      <c r="C2146" s="66" t="s">
        <v>52</v>
      </c>
      <c r="D2146" t="s">
        <v>53</v>
      </c>
      <c r="E2146">
        <v>-350</v>
      </c>
      <c r="F2146" s="66" t="s">
        <v>7</v>
      </c>
      <c r="G2146" s="66" t="s">
        <v>11</v>
      </c>
      <c r="H2146" s="66" t="str">
        <f>TEXT(Data[[#This Row],[Buchung]],"MMM")</f>
        <v>Nov</v>
      </c>
      <c r="I2146" s="67">
        <f>YEAR(Data[[#This Row],[Buchung]])</f>
        <v>2020</v>
      </c>
      <c r="J2146" s="2">
        <f>ABS(Data[[#This Row],[Betrag]])</f>
        <v>350</v>
      </c>
      <c r="K2146" s="66" t="str">
        <f>IF(Data[[#This Row],[Betrag]]&lt;0,"A","E")</f>
        <v>A</v>
      </c>
    </row>
    <row r="2147" spans="1:11" x14ac:dyDescent="0.25">
      <c r="A2147" s="1">
        <v>44150</v>
      </c>
      <c r="B2147" s="66" t="s">
        <v>54</v>
      </c>
      <c r="C2147" s="66" t="s">
        <v>55</v>
      </c>
      <c r="D2147" t="s">
        <v>56</v>
      </c>
      <c r="E2147">
        <v>-120</v>
      </c>
      <c r="F2147" s="66" t="s">
        <v>7</v>
      </c>
      <c r="G2147" s="66" t="s">
        <v>57</v>
      </c>
      <c r="H2147" s="66" t="str">
        <f>TEXT(Data[[#This Row],[Buchung]],"MMM")</f>
        <v>Nov</v>
      </c>
      <c r="I2147" s="67">
        <f>YEAR(Data[[#This Row],[Buchung]])</f>
        <v>2020</v>
      </c>
      <c r="J2147" s="2">
        <f>ABS(Data[[#This Row],[Betrag]])</f>
        <v>120</v>
      </c>
      <c r="K2147" s="66" t="str">
        <f>IF(Data[[#This Row],[Betrag]]&lt;0,"A","E")</f>
        <v>A</v>
      </c>
    </row>
    <row r="2148" spans="1:11" x14ac:dyDescent="0.25">
      <c r="A2148" s="1">
        <v>44151</v>
      </c>
      <c r="B2148" s="66" t="s">
        <v>58</v>
      </c>
      <c r="C2148" s="66" t="s">
        <v>59</v>
      </c>
      <c r="D2148" t="s">
        <v>60</v>
      </c>
      <c r="E2148">
        <v>-60</v>
      </c>
      <c r="F2148" s="66" t="s">
        <v>7</v>
      </c>
      <c r="G2148" s="66" t="s">
        <v>10</v>
      </c>
      <c r="H2148" s="66" t="str">
        <f>TEXT(Data[[#This Row],[Buchung]],"MMM")</f>
        <v>Nov</v>
      </c>
      <c r="I2148" s="67">
        <f>YEAR(Data[[#This Row],[Buchung]])</f>
        <v>2020</v>
      </c>
      <c r="J2148" s="2">
        <f>ABS(Data[[#This Row],[Betrag]])</f>
        <v>60</v>
      </c>
      <c r="K2148" s="66" t="str">
        <f>IF(Data[[#This Row],[Betrag]]&lt;0,"A","E")</f>
        <v>A</v>
      </c>
    </row>
    <row r="2149" spans="1:11" x14ac:dyDescent="0.25">
      <c r="A2149" s="1">
        <v>44152</v>
      </c>
      <c r="B2149" s="66" t="s">
        <v>45</v>
      </c>
      <c r="C2149" s="66" t="s">
        <v>46</v>
      </c>
      <c r="D2149" t="s">
        <v>47</v>
      </c>
      <c r="E2149">
        <v>1000</v>
      </c>
      <c r="F2149" s="66" t="s">
        <v>7</v>
      </c>
      <c r="G2149" s="66" t="s">
        <v>9</v>
      </c>
      <c r="H2149" s="66" t="str">
        <f>TEXT(Data[[#This Row],[Buchung]],"MMM")</f>
        <v>Nov</v>
      </c>
      <c r="I2149" s="67">
        <f>YEAR(Data[[#This Row],[Buchung]])</f>
        <v>2020</v>
      </c>
      <c r="J2149" s="2">
        <f>ABS(Data[[#This Row],[Betrag]])</f>
        <v>1000</v>
      </c>
      <c r="K2149" s="66" t="str">
        <f>IF(Data[[#This Row],[Betrag]]&lt;0,"A","E")</f>
        <v>E</v>
      </c>
    </row>
    <row r="2150" spans="1:11" x14ac:dyDescent="0.25">
      <c r="A2150" s="1">
        <v>44153</v>
      </c>
      <c r="B2150" s="66" t="s">
        <v>61</v>
      </c>
      <c r="C2150" s="66" t="s">
        <v>49</v>
      </c>
      <c r="D2150" t="s">
        <v>62</v>
      </c>
      <c r="E2150">
        <v>-10</v>
      </c>
      <c r="F2150" s="66" t="s">
        <v>7</v>
      </c>
      <c r="G2150" s="66" t="s">
        <v>8</v>
      </c>
      <c r="H2150" s="66" t="str">
        <f>TEXT(Data[[#This Row],[Buchung]],"MMM")</f>
        <v>Nov</v>
      </c>
      <c r="I2150" s="67">
        <f>YEAR(Data[[#This Row],[Buchung]])</f>
        <v>2020</v>
      </c>
      <c r="J2150" s="2">
        <f>ABS(Data[[#This Row],[Betrag]])</f>
        <v>10</v>
      </c>
      <c r="K2150" s="66" t="str">
        <f>IF(Data[[#This Row],[Betrag]]&lt;0,"A","E")</f>
        <v>A</v>
      </c>
    </row>
    <row r="2151" spans="1:11" x14ac:dyDescent="0.25">
      <c r="A2151" s="1">
        <v>44154</v>
      </c>
      <c r="B2151" s="66" t="s">
        <v>63</v>
      </c>
      <c r="C2151" s="66" t="s">
        <v>64</v>
      </c>
      <c r="D2151" t="s">
        <v>65</v>
      </c>
      <c r="E2151">
        <v>-70</v>
      </c>
      <c r="F2151" s="66" t="s">
        <v>7</v>
      </c>
      <c r="G2151" s="66" t="s">
        <v>11</v>
      </c>
      <c r="H2151" s="66" t="str">
        <f>TEXT(Data[[#This Row],[Buchung]],"MMM")</f>
        <v>Nov</v>
      </c>
      <c r="I2151" s="67">
        <f>YEAR(Data[[#This Row],[Buchung]])</f>
        <v>2020</v>
      </c>
      <c r="J2151" s="2">
        <f>ABS(Data[[#This Row],[Betrag]])</f>
        <v>70</v>
      </c>
      <c r="K2151" s="66" t="str">
        <f>IF(Data[[#This Row],[Betrag]]&lt;0,"A","E")</f>
        <v>A</v>
      </c>
    </row>
    <row r="2152" spans="1:11" x14ac:dyDescent="0.25">
      <c r="A2152" s="1">
        <v>44155</v>
      </c>
      <c r="B2152" s="66" t="s">
        <v>54</v>
      </c>
      <c r="C2152" s="66" t="s">
        <v>55</v>
      </c>
      <c r="D2152" t="s">
        <v>66</v>
      </c>
      <c r="E2152">
        <v>-80</v>
      </c>
      <c r="F2152" s="66" t="s">
        <v>7</v>
      </c>
      <c r="G2152" s="66" t="s">
        <v>57</v>
      </c>
      <c r="H2152" s="66" t="str">
        <f>TEXT(Data[[#This Row],[Buchung]],"MMM")</f>
        <v>Nov</v>
      </c>
      <c r="I2152" s="67">
        <f>YEAR(Data[[#This Row],[Buchung]])</f>
        <v>2020</v>
      </c>
      <c r="J2152" s="2">
        <f>ABS(Data[[#This Row],[Betrag]])</f>
        <v>80</v>
      </c>
      <c r="K2152" s="66" t="str">
        <f>IF(Data[[#This Row],[Betrag]]&lt;0,"A","E")</f>
        <v>A</v>
      </c>
    </row>
    <row r="2153" spans="1:11" x14ac:dyDescent="0.25">
      <c r="A2153" s="1">
        <v>44156</v>
      </c>
      <c r="B2153" s="66" t="s">
        <v>67</v>
      </c>
      <c r="C2153" s="66" t="s">
        <v>59</v>
      </c>
      <c r="D2153" t="s">
        <v>68</v>
      </c>
      <c r="E2153">
        <v>-25</v>
      </c>
      <c r="F2153" s="66" t="s">
        <v>7</v>
      </c>
      <c r="G2153" s="66" t="s">
        <v>10</v>
      </c>
      <c r="H2153" s="66" t="str">
        <f>TEXT(Data[[#This Row],[Buchung]],"MMM")</f>
        <v>Nov</v>
      </c>
      <c r="I2153" s="67">
        <f>YEAR(Data[[#This Row],[Buchung]])</f>
        <v>2020</v>
      </c>
      <c r="J2153" s="2">
        <f>ABS(Data[[#This Row],[Betrag]])</f>
        <v>25</v>
      </c>
      <c r="K2153" s="66" t="str">
        <f>IF(Data[[#This Row],[Betrag]]&lt;0,"A","E")</f>
        <v>A</v>
      </c>
    </row>
    <row r="2154" spans="1:11" x14ac:dyDescent="0.25">
      <c r="A2154" s="1">
        <v>44157</v>
      </c>
      <c r="B2154" s="66" t="s">
        <v>45</v>
      </c>
      <c r="C2154" s="66" t="s">
        <v>46</v>
      </c>
      <c r="D2154" t="s">
        <v>47</v>
      </c>
      <c r="E2154">
        <v>1000</v>
      </c>
      <c r="F2154" s="66" t="s">
        <v>7</v>
      </c>
      <c r="G2154" s="66" t="s">
        <v>9</v>
      </c>
      <c r="H2154" s="66" t="str">
        <f>TEXT(Data[[#This Row],[Buchung]],"MMM")</f>
        <v>Nov</v>
      </c>
      <c r="I2154" s="67">
        <f>YEAR(Data[[#This Row],[Buchung]])</f>
        <v>2020</v>
      </c>
      <c r="J2154" s="2">
        <f>ABS(Data[[#This Row],[Betrag]])</f>
        <v>1000</v>
      </c>
      <c r="K2154" s="66" t="str">
        <f>IF(Data[[#This Row],[Betrag]]&lt;0,"A","E")</f>
        <v>E</v>
      </c>
    </row>
    <row r="2155" spans="1:11" x14ac:dyDescent="0.25">
      <c r="A2155" s="1">
        <v>44158</v>
      </c>
      <c r="B2155" s="66" t="s">
        <v>48</v>
      </c>
      <c r="C2155" s="66" t="s">
        <v>49</v>
      </c>
      <c r="D2155" t="s">
        <v>50</v>
      </c>
      <c r="E2155">
        <v>-15</v>
      </c>
      <c r="F2155" s="66" t="s">
        <v>7</v>
      </c>
      <c r="G2155" s="66" t="s">
        <v>8</v>
      </c>
      <c r="H2155" s="66" t="str">
        <f>TEXT(Data[[#This Row],[Buchung]],"MMM")</f>
        <v>Nov</v>
      </c>
      <c r="I2155" s="67">
        <f>YEAR(Data[[#This Row],[Buchung]])</f>
        <v>2020</v>
      </c>
      <c r="J2155" s="2">
        <f>ABS(Data[[#This Row],[Betrag]])</f>
        <v>15</v>
      </c>
      <c r="K2155" s="66" t="str">
        <f>IF(Data[[#This Row],[Betrag]]&lt;0,"A","E")</f>
        <v>A</v>
      </c>
    </row>
    <row r="2156" spans="1:11" x14ac:dyDescent="0.25">
      <c r="A2156" s="1">
        <v>44159</v>
      </c>
      <c r="B2156" s="66" t="s">
        <v>51</v>
      </c>
      <c r="C2156" s="66" t="s">
        <v>52</v>
      </c>
      <c r="D2156" t="s">
        <v>53</v>
      </c>
      <c r="E2156">
        <v>-350</v>
      </c>
      <c r="F2156" s="66" t="s">
        <v>7</v>
      </c>
      <c r="G2156" s="66" t="s">
        <v>11</v>
      </c>
      <c r="H2156" s="66" t="str">
        <f>TEXT(Data[[#This Row],[Buchung]],"MMM")</f>
        <v>Nov</v>
      </c>
      <c r="I2156" s="67">
        <f>YEAR(Data[[#This Row],[Buchung]])</f>
        <v>2020</v>
      </c>
      <c r="J2156" s="2">
        <f>ABS(Data[[#This Row],[Betrag]])</f>
        <v>350</v>
      </c>
      <c r="K2156" s="66" t="str">
        <f>IF(Data[[#This Row],[Betrag]]&lt;0,"A","E")</f>
        <v>A</v>
      </c>
    </row>
    <row r="2157" spans="1:11" x14ac:dyDescent="0.25">
      <c r="A2157" s="1">
        <v>44160</v>
      </c>
      <c r="B2157" s="66" t="s">
        <v>54</v>
      </c>
      <c r="C2157" s="66" t="s">
        <v>55</v>
      </c>
      <c r="D2157" t="s">
        <v>56</v>
      </c>
      <c r="E2157">
        <v>-120</v>
      </c>
      <c r="F2157" s="66" t="s">
        <v>7</v>
      </c>
      <c r="G2157" s="66" t="s">
        <v>57</v>
      </c>
      <c r="H2157" s="66" t="str">
        <f>TEXT(Data[[#This Row],[Buchung]],"MMM")</f>
        <v>Nov</v>
      </c>
      <c r="I2157" s="67">
        <f>YEAR(Data[[#This Row],[Buchung]])</f>
        <v>2020</v>
      </c>
      <c r="J2157" s="2">
        <f>ABS(Data[[#This Row],[Betrag]])</f>
        <v>120</v>
      </c>
      <c r="K2157" s="66" t="str">
        <f>IF(Data[[#This Row],[Betrag]]&lt;0,"A","E")</f>
        <v>A</v>
      </c>
    </row>
    <row r="2158" spans="1:11" x14ac:dyDescent="0.25">
      <c r="A2158" s="1">
        <v>44161</v>
      </c>
      <c r="B2158" s="66" t="s">
        <v>58</v>
      </c>
      <c r="C2158" s="66" t="s">
        <v>59</v>
      </c>
      <c r="D2158" t="s">
        <v>60</v>
      </c>
      <c r="E2158">
        <v>-70</v>
      </c>
      <c r="F2158" s="66" t="s">
        <v>7</v>
      </c>
      <c r="G2158" s="66" t="s">
        <v>10</v>
      </c>
      <c r="H2158" s="66" t="str">
        <f>TEXT(Data[[#This Row],[Buchung]],"MMM")</f>
        <v>Nov</v>
      </c>
      <c r="I2158" s="67">
        <f>YEAR(Data[[#This Row],[Buchung]])</f>
        <v>2020</v>
      </c>
      <c r="J2158" s="2">
        <f>ABS(Data[[#This Row],[Betrag]])</f>
        <v>70</v>
      </c>
      <c r="K2158" s="66" t="str">
        <f>IF(Data[[#This Row],[Betrag]]&lt;0,"A","E")</f>
        <v>A</v>
      </c>
    </row>
    <row r="2159" spans="1:11" x14ac:dyDescent="0.25">
      <c r="A2159" s="1">
        <v>44162</v>
      </c>
      <c r="B2159" s="66" t="s">
        <v>45</v>
      </c>
      <c r="C2159" s="66" t="s">
        <v>46</v>
      </c>
      <c r="D2159" t="s">
        <v>47</v>
      </c>
      <c r="E2159">
        <v>1000</v>
      </c>
      <c r="F2159" s="66" t="s">
        <v>7</v>
      </c>
      <c r="G2159" s="66" t="s">
        <v>9</v>
      </c>
      <c r="H2159" s="66" t="str">
        <f>TEXT(Data[[#This Row],[Buchung]],"MMM")</f>
        <v>Nov</v>
      </c>
      <c r="I2159" s="67">
        <f>YEAR(Data[[#This Row],[Buchung]])</f>
        <v>2020</v>
      </c>
      <c r="J2159" s="2">
        <f>ABS(Data[[#This Row],[Betrag]])</f>
        <v>1000</v>
      </c>
      <c r="K2159" s="66" t="str">
        <f>IF(Data[[#This Row],[Betrag]]&lt;0,"A","E")</f>
        <v>E</v>
      </c>
    </row>
    <row r="2160" spans="1:11" x14ac:dyDescent="0.25">
      <c r="A2160" s="1">
        <v>44163</v>
      </c>
      <c r="B2160" s="66" t="s">
        <v>61</v>
      </c>
      <c r="C2160" s="66" t="s">
        <v>49</v>
      </c>
      <c r="D2160" t="s">
        <v>62</v>
      </c>
      <c r="E2160">
        <v>-10</v>
      </c>
      <c r="F2160" s="66" t="s">
        <v>7</v>
      </c>
      <c r="G2160" s="66" t="s">
        <v>8</v>
      </c>
      <c r="H2160" s="66" t="str">
        <f>TEXT(Data[[#This Row],[Buchung]],"MMM")</f>
        <v>Nov</v>
      </c>
      <c r="I2160" s="67">
        <f>YEAR(Data[[#This Row],[Buchung]])</f>
        <v>2020</v>
      </c>
      <c r="J2160" s="2">
        <f>ABS(Data[[#This Row],[Betrag]])</f>
        <v>10</v>
      </c>
      <c r="K2160" s="66" t="str">
        <f>IF(Data[[#This Row],[Betrag]]&lt;0,"A","E")</f>
        <v>A</v>
      </c>
    </row>
    <row r="2161" spans="1:11" x14ac:dyDescent="0.25">
      <c r="A2161" s="1">
        <v>44164</v>
      </c>
      <c r="B2161" s="66" t="s">
        <v>63</v>
      </c>
      <c r="C2161" s="66" t="s">
        <v>64</v>
      </c>
      <c r="D2161" t="s">
        <v>65</v>
      </c>
      <c r="E2161">
        <v>-60</v>
      </c>
      <c r="F2161" s="66" t="s">
        <v>7</v>
      </c>
      <c r="G2161" s="66" t="s">
        <v>11</v>
      </c>
      <c r="H2161" s="66" t="str">
        <f>TEXT(Data[[#This Row],[Buchung]],"MMM")</f>
        <v>Nov</v>
      </c>
      <c r="I2161" s="67">
        <f>YEAR(Data[[#This Row],[Buchung]])</f>
        <v>2020</v>
      </c>
      <c r="J2161" s="2">
        <f>ABS(Data[[#This Row],[Betrag]])</f>
        <v>60</v>
      </c>
      <c r="K2161" s="66" t="str">
        <f>IF(Data[[#This Row],[Betrag]]&lt;0,"A","E")</f>
        <v>A</v>
      </c>
    </row>
    <row r="2162" spans="1:11" x14ac:dyDescent="0.25">
      <c r="A2162" s="1">
        <v>44165</v>
      </c>
      <c r="B2162" s="66" t="s">
        <v>54</v>
      </c>
      <c r="C2162" s="66" t="s">
        <v>55</v>
      </c>
      <c r="D2162" t="s">
        <v>66</v>
      </c>
      <c r="E2162">
        <v>-80</v>
      </c>
      <c r="F2162" s="66" t="s">
        <v>7</v>
      </c>
      <c r="G2162" s="66" t="s">
        <v>57</v>
      </c>
      <c r="H2162" s="66" t="str">
        <f>TEXT(Data[[#This Row],[Buchung]],"MMM")</f>
        <v>Nov</v>
      </c>
      <c r="I2162" s="67">
        <f>YEAR(Data[[#This Row],[Buchung]])</f>
        <v>2020</v>
      </c>
      <c r="J2162" s="2">
        <f>ABS(Data[[#This Row],[Betrag]])</f>
        <v>80</v>
      </c>
      <c r="K2162" s="66" t="str">
        <f>IF(Data[[#This Row],[Betrag]]&lt;0,"A","E")</f>
        <v>A</v>
      </c>
    </row>
    <row r="2163" spans="1:11" x14ac:dyDescent="0.25">
      <c r="A2163" s="1">
        <v>44166</v>
      </c>
      <c r="B2163" s="66" t="s">
        <v>67</v>
      </c>
      <c r="C2163" s="66" t="s">
        <v>59</v>
      </c>
      <c r="D2163" t="s">
        <v>68</v>
      </c>
      <c r="E2163">
        <v>-30</v>
      </c>
      <c r="F2163" s="66" t="s">
        <v>7</v>
      </c>
      <c r="G2163" s="66" t="s">
        <v>10</v>
      </c>
      <c r="H2163" s="66" t="str">
        <f>TEXT(Data[[#This Row],[Buchung]],"MMM")</f>
        <v>Dez</v>
      </c>
      <c r="I2163" s="67">
        <f>YEAR(Data[[#This Row],[Buchung]])</f>
        <v>2020</v>
      </c>
      <c r="J2163" s="2">
        <f>ABS(Data[[#This Row],[Betrag]])</f>
        <v>30</v>
      </c>
      <c r="K2163" s="66" t="str">
        <f>IF(Data[[#This Row],[Betrag]]&lt;0,"A","E")</f>
        <v>A</v>
      </c>
    </row>
    <row r="2164" spans="1:11" x14ac:dyDescent="0.25">
      <c r="A2164" s="1">
        <v>44167</v>
      </c>
      <c r="B2164" s="66" t="s">
        <v>45</v>
      </c>
      <c r="C2164" s="66" t="s">
        <v>46</v>
      </c>
      <c r="D2164" t="s">
        <v>47</v>
      </c>
      <c r="E2164">
        <v>1000</v>
      </c>
      <c r="F2164" s="66" t="s">
        <v>7</v>
      </c>
      <c r="G2164" s="66" t="s">
        <v>9</v>
      </c>
      <c r="H2164" s="66" t="str">
        <f>TEXT(Data[[#This Row],[Buchung]],"MMM")</f>
        <v>Dez</v>
      </c>
      <c r="I2164" s="67">
        <f>YEAR(Data[[#This Row],[Buchung]])</f>
        <v>2020</v>
      </c>
      <c r="J2164" s="2">
        <f>ABS(Data[[#This Row],[Betrag]])</f>
        <v>1000</v>
      </c>
      <c r="K2164" s="66" t="str">
        <f>IF(Data[[#This Row],[Betrag]]&lt;0,"A","E")</f>
        <v>E</v>
      </c>
    </row>
    <row r="2165" spans="1:11" x14ac:dyDescent="0.25">
      <c r="A2165" s="1">
        <v>44168</v>
      </c>
      <c r="B2165" s="66" t="s">
        <v>48</v>
      </c>
      <c r="C2165" s="66" t="s">
        <v>49</v>
      </c>
      <c r="D2165" t="s">
        <v>50</v>
      </c>
      <c r="E2165">
        <v>-15</v>
      </c>
      <c r="F2165" s="66" t="s">
        <v>7</v>
      </c>
      <c r="G2165" s="66" t="s">
        <v>8</v>
      </c>
      <c r="H2165" s="66" t="str">
        <f>TEXT(Data[[#This Row],[Buchung]],"MMM")</f>
        <v>Dez</v>
      </c>
      <c r="I2165" s="67">
        <f>YEAR(Data[[#This Row],[Buchung]])</f>
        <v>2020</v>
      </c>
      <c r="J2165" s="2">
        <f>ABS(Data[[#This Row],[Betrag]])</f>
        <v>15</v>
      </c>
      <c r="K2165" s="66" t="str">
        <f>IF(Data[[#This Row],[Betrag]]&lt;0,"A","E")</f>
        <v>A</v>
      </c>
    </row>
    <row r="2166" spans="1:11" x14ac:dyDescent="0.25">
      <c r="A2166" s="1">
        <v>44169</v>
      </c>
      <c r="B2166" s="66" t="s">
        <v>51</v>
      </c>
      <c r="C2166" s="66" t="s">
        <v>52</v>
      </c>
      <c r="D2166" t="s">
        <v>53</v>
      </c>
      <c r="E2166">
        <v>-350</v>
      </c>
      <c r="F2166" s="66" t="s">
        <v>7</v>
      </c>
      <c r="G2166" s="66" t="s">
        <v>11</v>
      </c>
      <c r="H2166" s="66" t="str">
        <f>TEXT(Data[[#This Row],[Buchung]],"MMM")</f>
        <v>Dez</v>
      </c>
      <c r="I2166" s="67">
        <f>YEAR(Data[[#This Row],[Buchung]])</f>
        <v>2020</v>
      </c>
      <c r="J2166" s="2">
        <f>ABS(Data[[#This Row],[Betrag]])</f>
        <v>350</v>
      </c>
      <c r="K2166" s="66" t="str">
        <f>IF(Data[[#This Row],[Betrag]]&lt;0,"A","E")</f>
        <v>A</v>
      </c>
    </row>
    <row r="2167" spans="1:11" x14ac:dyDescent="0.25">
      <c r="A2167" s="1">
        <v>44170</v>
      </c>
      <c r="B2167" s="66" t="s">
        <v>54</v>
      </c>
      <c r="C2167" s="66" t="s">
        <v>55</v>
      </c>
      <c r="D2167" t="s">
        <v>56</v>
      </c>
      <c r="E2167">
        <v>-120</v>
      </c>
      <c r="F2167" s="66" t="s">
        <v>7</v>
      </c>
      <c r="G2167" s="66" t="s">
        <v>57</v>
      </c>
      <c r="H2167" s="66" t="str">
        <f>TEXT(Data[[#This Row],[Buchung]],"MMM")</f>
        <v>Dez</v>
      </c>
      <c r="I2167" s="67">
        <f>YEAR(Data[[#This Row],[Buchung]])</f>
        <v>2020</v>
      </c>
      <c r="J2167" s="2">
        <f>ABS(Data[[#This Row],[Betrag]])</f>
        <v>120</v>
      </c>
      <c r="K2167" s="66" t="str">
        <f>IF(Data[[#This Row],[Betrag]]&lt;0,"A","E")</f>
        <v>A</v>
      </c>
    </row>
    <row r="2168" spans="1:11" x14ac:dyDescent="0.25">
      <c r="A2168" s="1">
        <v>44171</v>
      </c>
      <c r="B2168" s="66" t="s">
        <v>58</v>
      </c>
      <c r="C2168" s="66" t="s">
        <v>59</v>
      </c>
      <c r="D2168" t="s">
        <v>60</v>
      </c>
      <c r="E2168">
        <v>-80</v>
      </c>
      <c r="F2168" s="66" t="s">
        <v>7</v>
      </c>
      <c r="G2168" s="66" t="s">
        <v>10</v>
      </c>
      <c r="H2168" s="66" t="str">
        <f>TEXT(Data[[#This Row],[Buchung]],"MMM")</f>
        <v>Dez</v>
      </c>
      <c r="I2168" s="67">
        <f>YEAR(Data[[#This Row],[Buchung]])</f>
        <v>2020</v>
      </c>
      <c r="J2168" s="2">
        <f>ABS(Data[[#This Row],[Betrag]])</f>
        <v>80</v>
      </c>
      <c r="K2168" s="66" t="str">
        <f>IF(Data[[#This Row],[Betrag]]&lt;0,"A","E")</f>
        <v>A</v>
      </c>
    </row>
    <row r="2169" spans="1:11" x14ac:dyDescent="0.25">
      <c r="A2169" s="1">
        <v>44172</v>
      </c>
      <c r="B2169" s="66" t="s">
        <v>45</v>
      </c>
      <c r="C2169" s="66" t="s">
        <v>46</v>
      </c>
      <c r="D2169" t="s">
        <v>47</v>
      </c>
      <c r="E2169">
        <v>1000</v>
      </c>
      <c r="F2169" s="66" t="s">
        <v>7</v>
      </c>
      <c r="G2169" s="66" t="s">
        <v>9</v>
      </c>
      <c r="H2169" s="66" t="str">
        <f>TEXT(Data[[#This Row],[Buchung]],"MMM")</f>
        <v>Dez</v>
      </c>
      <c r="I2169" s="67">
        <f>YEAR(Data[[#This Row],[Buchung]])</f>
        <v>2020</v>
      </c>
      <c r="J2169" s="2">
        <f>ABS(Data[[#This Row],[Betrag]])</f>
        <v>1000</v>
      </c>
      <c r="K2169" s="66" t="str">
        <f>IF(Data[[#This Row],[Betrag]]&lt;0,"A","E")</f>
        <v>E</v>
      </c>
    </row>
    <row r="2170" spans="1:11" x14ac:dyDescent="0.25">
      <c r="A2170" s="1">
        <v>44173</v>
      </c>
      <c r="B2170" s="66" t="s">
        <v>61</v>
      </c>
      <c r="C2170" s="66" t="s">
        <v>49</v>
      </c>
      <c r="D2170" t="s">
        <v>62</v>
      </c>
      <c r="E2170">
        <v>-10</v>
      </c>
      <c r="F2170" s="66" t="s">
        <v>7</v>
      </c>
      <c r="G2170" s="66" t="s">
        <v>8</v>
      </c>
      <c r="H2170" s="66" t="str">
        <f>TEXT(Data[[#This Row],[Buchung]],"MMM")</f>
        <v>Dez</v>
      </c>
      <c r="I2170" s="67">
        <f>YEAR(Data[[#This Row],[Buchung]])</f>
        <v>2020</v>
      </c>
      <c r="J2170" s="2">
        <f>ABS(Data[[#This Row],[Betrag]])</f>
        <v>10</v>
      </c>
      <c r="K2170" s="66" t="str">
        <f>IF(Data[[#This Row],[Betrag]]&lt;0,"A","E")</f>
        <v>A</v>
      </c>
    </row>
    <row r="2171" spans="1:11" x14ac:dyDescent="0.25">
      <c r="A2171" s="1">
        <v>44174</v>
      </c>
      <c r="B2171" s="66" t="s">
        <v>63</v>
      </c>
      <c r="C2171" s="66" t="s">
        <v>64</v>
      </c>
      <c r="D2171" t="s">
        <v>65</v>
      </c>
      <c r="E2171">
        <v>-65</v>
      </c>
      <c r="F2171" s="66" t="s">
        <v>7</v>
      </c>
      <c r="G2171" s="66" t="s">
        <v>11</v>
      </c>
      <c r="H2171" s="66" t="str">
        <f>TEXT(Data[[#This Row],[Buchung]],"MMM")</f>
        <v>Dez</v>
      </c>
      <c r="I2171" s="67">
        <f>YEAR(Data[[#This Row],[Buchung]])</f>
        <v>2020</v>
      </c>
      <c r="J2171" s="2">
        <f>ABS(Data[[#This Row],[Betrag]])</f>
        <v>65</v>
      </c>
      <c r="K2171" s="66" t="str">
        <f>IF(Data[[#This Row],[Betrag]]&lt;0,"A","E")</f>
        <v>A</v>
      </c>
    </row>
    <row r="2172" spans="1:11" x14ac:dyDescent="0.25">
      <c r="A2172" s="1">
        <v>44175</v>
      </c>
      <c r="B2172" s="66" t="s">
        <v>54</v>
      </c>
      <c r="C2172" s="66" t="s">
        <v>55</v>
      </c>
      <c r="D2172" t="s">
        <v>66</v>
      </c>
      <c r="E2172">
        <v>-80</v>
      </c>
      <c r="F2172" s="66" t="s">
        <v>7</v>
      </c>
      <c r="G2172" s="66" t="s">
        <v>57</v>
      </c>
      <c r="H2172" s="66" t="str">
        <f>TEXT(Data[[#This Row],[Buchung]],"MMM")</f>
        <v>Dez</v>
      </c>
      <c r="I2172" s="67">
        <f>YEAR(Data[[#This Row],[Buchung]])</f>
        <v>2020</v>
      </c>
      <c r="J2172" s="2">
        <f>ABS(Data[[#This Row],[Betrag]])</f>
        <v>80</v>
      </c>
      <c r="K2172" s="66" t="str">
        <f>IF(Data[[#This Row],[Betrag]]&lt;0,"A","E")</f>
        <v>A</v>
      </c>
    </row>
    <row r="2173" spans="1:11" x14ac:dyDescent="0.25">
      <c r="A2173" s="1">
        <v>44176</v>
      </c>
      <c r="B2173" s="66" t="s">
        <v>67</v>
      </c>
      <c r="C2173" s="66" t="s">
        <v>59</v>
      </c>
      <c r="D2173" t="s">
        <v>68</v>
      </c>
      <c r="E2173">
        <v>-35</v>
      </c>
      <c r="F2173" s="66" t="s">
        <v>7</v>
      </c>
      <c r="G2173" s="66" t="s">
        <v>10</v>
      </c>
      <c r="H2173" s="66" t="str">
        <f>TEXT(Data[[#This Row],[Buchung]],"MMM")</f>
        <v>Dez</v>
      </c>
      <c r="I2173" s="67">
        <f>YEAR(Data[[#This Row],[Buchung]])</f>
        <v>2020</v>
      </c>
      <c r="J2173" s="2">
        <f>ABS(Data[[#This Row],[Betrag]])</f>
        <v>35</v>
      </c>
      <c r="K2173" s="66" t="str">
        <f>IF(Data[[#This Row],[Betrag]]&lt;0,"A","E")</f>
        <v>A</v>
      </c>
    </row>
    <row r="2174" spans="1:11" x14ac:dyDescent="0.25">
      <c r="A2174" s="1">
        <v>44177</v>
      </c>
      <c r="B2174" s="66" t="s">
        <v>45</v>
      </c>
      <c r="C2174" s="66" t="s">
        <v>46</v>
      </c>
      <c r="D2174" t="s">
        <v>47</v>
      </c>
      <c r="E2174">
        <v>1000</v>
      </c>
      <c r="F2174" s="66" t="s">
        <v>7</v>
      </c>
      <c r="G2174" s="66" t="s">
        <v>9</v>
      </c>
      <c r="H2174" s="66" t="str">
        <f>TEXT(Data[[#This Row],[Buchung]],"MMM")</f>
        <v>Dez</v>
      </c>
      <c r="I2174" s="67">
        <f>YEAR(Data[[#This Row],[Buchung]])</f>
        <v>2020</v>
      </c>
      <c r="J2174" s="2">
        <f>ABS(Data[[#This Row],[Betrag]])</f>
        <v>1000</v>
      </c>
      <c r="K2174" s="66" t="str">
        <f>IF(Data[[#This Row],[Betrag]]&lt;0,"A","E")</f>
        <v>E</v>
      </c>
    </row>
    <row r="2175" spans="1:11" x14ac:dyDescent="0.25">
      <c r="A2175" s="1">
        <v>44178</v>
      </c>
      <c r="B2175" s="66" t="s">
        <v>45</v>
      </c>
      <c r="C2175" s="66" t="s">
        <v>46</v>
      </c>
      <c r="D2175" t="s">
        <v>47</v>
      </c>
      <c r="E2175">
        <v>1000</v>
      </c>
      <c r="F2175" s="66" t="s">
        <v>7</v>
      </c>
      <c r="G2175" s="66" t="s">
        <v>9</v>
      </c>
      <c r="H2175" s="66" t="str">
        <f>TEXT(Data[[#This Row],[Buchung]],"MMM")</f>
        <v>Dez</v>
      </c>
      <c r="I2175" s="67">
        <f>YEAR(Data[[#This Row],[Buchung]])</f>
        <v>2020</v>
      </c>
      <c r="J2175" s="2">
        <f>ABS(Data[[#This Row],[Betrag]])</f>
        <v>1000</v>
      </c>
      <c r="K2175" s="66" t="str">
        <f>IF(Data[[#This Row],[Betrag]]&lt;0,"A","E")</f>
        <v>E</v>
      </c>
    </row>
    <row r="2176" spans="1:11" x14ac:dyDescent="0.25">
      <c r="A2176" s="1">
        <v>44179</v>
      </c>
      <c r="B2176" s="66" t="s">
        <v>48</v>
      </c>
      <c r="C2176" s="66" t="s">
        <v>49</v>
      </c>
      <c r="D2176" t="s">
        <v>50</v>
      </c>
      <c r="E2176">
        <v>-15</v>
      </c>
      <c r="F2176" s="66" t="s">
        <v>7</v>
      </c>
      <c r="G2176" s="66" t="s">
        <v>8</v>
      </c>
      <c r="H2176" s="66" t="str">
        <f>TEXT(Data[[#This Row],[Buchung]],"MMM")</f>
        <v>Dez</v>
      </c>
      <c r="I2176" s="67">
        <f>YEAR(Data[[#This Row],[Buchung]])</f>
        <v>2020</v>
      </c>
      <c r="J2176" s="2">
        <f>ABS(Data[[#This Row],[Betrag]])</f>
        <v>15</v>
      </c>
      <c r="K2176" s="66" t="str">
        <f>IF(Data[[#This Row],[Betrag]]&lt;0,"A","E")</f>
        <v>A</v>
      </c>
    </row>
    <row r="2177" spans="1:11" x14ac:dyDescent="0.25">
      <c r="A2177" s="1">
        <v>44180</v>
      </c>
      <c r="B2177" s="66" t="s">
        <v>51</v>
      </c>
      <c r="C2177" s="66" t="s">
        <v>52</v>
      </c>
      <c r="D2177" t="s">
        <v>53</v>
      </c>
      <c r="E2177">
        <v>-350</v>
      </c>
      <c r="F2177" s="66" t="s">
        <v>7</v>
      </c>
      <c r="G2177" s="66" t="s">
        <v>11</v>
      </c>
      <c r="H2177" s="66" t="str">
        <f>TEXT(Data[[#This Row],[Buchung]],"MMM")</f>
        <v>Dez</v>
      </c>
      <c r="I2177" s="67">
        <f>YEAR(Data[[#This Row],[Buchung]])</f>
        <v>2020</v>
      </c>
      <c r="J2177" s="2">
        <f>ABS(Data[[#This Row],[Betrag]])</f>
        <v>350</v>
      </c>
      <c r="K2177" s="66" t="str">
        <f>IF(Data[[#This Row],[Betrag]]&lt;0,"A","E")</f>
        <v>A</v>
      </c>
    </row>
    <row r="2178" spans="1:11" x14ac:dyDescent="0.25">
      <c r="A2178" s="1">
        <v>44181</v>
      </c>
      <c r="B2178" s="66" t="s">
        <v>54</v>
      </c>
      <c r="C2178" s="66" t="s">
        <v>55</v>
      </c>
      <c r="D2178" t="s">
        <v>56</v>
      </c>
      <c r="E2178">
        <v>-120</v>
      </c>
      <c r="F2178" s="66" t="s">
        <v>7</v>
      </c>
      <c r="G2178" s="66" t="s">
        <v>57</v>
      </c>
      <c r="H2178" s="66" t="str">
        <f>TEXT(Data[[#This Row],[Buchung]],"MMM")</f>
        <v>Dez</v>
      </c>
      <c r="I2178" s="67">
        <f>YEAR(Data[[#This Row],[Buchung]])</f>
        <v>2020</v>
      </c>
      <c r="J2178" s="2">
        <f>ABS(Data[[#This Row],[Betrag]])</f>
        <v>120</v>
      </c>
      <c r="K2178" s="66" t="str">
        <f>IF(Data[[#This Row],[Betrag]]&lt;0,"A","E")</f>
        <v>A</v>
      </c>
    </row>
    <row r="2179" spans="1:11" x14ac:dyDescent="0.25">
      <c r="A2179" s="1">
        <v>44182</v>
      </c>
      <c r="B2179" s="66" t="s">
        <v>58</v>
      </c>
      <c r="C2179" s="66" t="s">
        <v>59</v>
      </c>
      <c r="D2179" t="s">
        <v>60</v>
      </c>
      <c r="E2179">
        <v>-50</v>
      </c>
      <c r="F2179" s="66" t="s">
        <v>7</v>
      </c>
      <c r="G2179" s="66" t="s">
        <v>10</v>
      </c>
      <c r="H2179" s="66" t="str">
        <f>TEXT(Data[[#This Row],[Buchung]],"MMM")</f>
        <v>Dez</v>
      </c>
      <c r="I2179" s="67">
        <f>YEAR(Data[[#This Row],[Buchung]])</f>
        <v>2020</v>
      </c>
      <c r="J2179" s="2">
        <f>ABS(Data[[#This Row],[Betrag]])</f>
        <v>50</v>
      </c>
      <c r="K2179" s="66" t="str">
        <f>IF(Data[[#This Row],[Betrag]]&lt;0,"A","E")</f>
        <v>A</v>
      </c>
    </row>
    <row r="2180" spans="1:11" x14ac:dyDescent="0.25">
      <c r="A2180" s="1">
        <v>44183</v>
      </c>
      <c r="B2180" s="66" t="s">
        <v>45</v>
      </c>
      <c r="C2180" s="66" t="s">
        <v>46</v>
      </c>
      <c r="D2180" t="s">
        <v>47</v>
      </c>
      <c r="E2180">
        <v>1000</v>
      </c>
      <c r="F2180" s="66" t="s">
        <v>7</v>
      </c>
      <c r="G2180" s="66" t="s">
        <v>9</v>
      </c>
      <c r="H2180" s="66" t="str">
        <f>TEXT(Data[[#This Row],[Buchung]],"MMM")</f>
        <v>Dez</v>
      </c>
      <c r="I2180" s="67">
        <f>YEAR(Data[[#This Row],[Buchung]])</f>
        <v>2020</v>
      </c>
      <c r="J2180" s="2">
        <f>ABS(Data[[#This Row],[Betrag]])</f>
        <v>1000</v>
      </c>
      <c r="K2180" s="66" t="str">
        <f>IF(Data[[#This Row],[Betrag]]&lt;0,"A","E")</f>
        <v>E</v>
      </c>
    </row>
    <row r="2181" spans="1:11" x14ac:dyDescent="0.25">
      <c r="A2181" s="1">
        <v>44184</v>
      </c>
      <c r="B2181" s="66" t="s">
        <v>61</v>
      </c>
      <c r="C2181" s="66" t="s">
        <v>49</v>
      </c>
      <c r="D2181" t="s">
        <v>62</v>
      </c>
      <c r="E2181">
        <v>-10</v>
      </c>
      <c r="F2181" s="66" t="s">
        <v>7</v>
      </c>
      <c r="G2181" s="66" t="s">
        <v>8</v>
      </c>
      <c r="H2181" s="66" t="str">
        <f>TEXT(Data[[#This Row],[Buchung]],"MMM")</f>
        <v>Dez</v>
      </c>
      <c r="I2181" s="67">
        <f>YEAR(Data[[#This Row],[Buchung]])</f>
        <v>2020</v>
      </c>
      <c r="J2181" s="2">
        <f>ABS(Data[[#This Row],[Betrag]])</f>
        <v>10</v>
      </c>
      <c r="K2181" s="66" t="str">
        <f>IF(Data[[#This Row],[Betrag]]&lt;0,"A","E")</f>
        <v>A</v>
      </c>
    </row>
    <row r="2182" spans="1:11" x14ac:dyDescent="0.25">
      <c r="A2182" s="1">
        <v>44185</v>
      </c>
      <c r="B2182" s="66" t="s">
        <v>63</v>
      </c>
      <c r="C2182" s="66" t="s">
        <v>64</v>
      </c>
      <c r="D2182" t="s">
        <v>65</v>
      </c>
      <c r="E2182">
        <v>-60</v>
      </c>
      <c r="F2182" s="66" t="s">
        <v>7</v>
      </c>
      <c r="G2182" s="66" t="s">
        <v>11</v>
      </c>
      <c r="H2182" s="66" t="str">
        <f>TEXT(Data[[#This Row],[Buchung]],"MMM")</f>
        <v>Dez</v>
      </c>
      <c r="I2182" s="67">
        <f>YEAR(Data[[#This Row],[Buchung]])</f>
        <v>2020</v>
      </c>
      <c r="J2182" s="2">
        <f>ABS(Data[[#This Row],[Betrag]])</f>
        <v>60</v>
      </c>
      <c r="K2182" s="66" t="str">
        <f>IF(Data[[#This Row],[Betrag]]&lt;0,"A","E")</f>
        <v>A</v>
      </c>
    </row>
    <row r="2183" spans="1:11" x14ac:dyDescent="0.25">
      <c r="A2183" s="1">
        <v>44186</v>
      </c>
      <c r="B2183" s="66" t="s">
        <v>54</v>
      </c>
      <c r="C2183" s="66" t="s">
        <v>55</v>
      </c>
      <c r="D2183" t="s">
        <v>66</v>
      </c>
      <c r="E2183">
        <v>-80</v>
      </c>
      <c r="F2183" s="66" t="s">
        <v>7</v>
      </c>
      <c r="G2183" s="66" t="s">
        <v>57</v>
      </c>
      <c r="H2183" s="66" t="str">
        <f>TEXT(Data[[#This Row],[Buchung]],"MMM")</f>
        <v>Dez</v>
      </c>
      <c r="I2183" s="67">
        <f>YEAR(Data[[#This Row],[Buchung]])</f>
        <v>2020</v>
      </c>
      <c r="J2183" s="2">
        <f>ABS(Data[[#This Row],[Betrag]])</f>
        <v>80</v>
      </c>
      <c r="K2183" s="66" t="str">
        <f>IF(Data[[#This Row],[Betrag]]&lt;0,"A","E")</f>
        <v>A</v>
      </c>
    </row>
    <row r="2184" spans="1:11" x14ac:dyDescent="0.25">
      <c r="A2184" s="1">
        <v>44187</v>
      </c>
      <c r="B2184" s="66" t="s">
        <v>67</v>
      </c>
      <c r="C2184" s="66" t="s">
        <v>59</v>
      </c>
      <c r="D2184" t="s">
        <v>68</v>
      </c>
      <c r="E2184">
        <v>-20</v>
      </c>
      <c r="F2184" s="66" t="s">
        <v>7</v>
      </c>
      <c r="G2184" s="66" t="s">
        <v>10</v>
      </c>
      <c r="H2184" s="66" t="str">
        <f>TEXT(Data[[#This Row],[Buchung]],"MMM")</f>
        <v>Dez</v>
      </c>
      <c r="I2184" s="67">
        <f>YEAR(Data[[#This Row],[Buchung]])</f>
        <v>2020</v>
      </c>
      <c r="J2184" s="2">
        <f>ABS(Data[[#This Row],[Betrag]])</f>
        <v>20</v>
      </c>
      <c r="K2184" s="66" t="str">
        <f>IF(Data[[#This Row],[Betrag]]&lt;0,"A","E")</f>
        <v>A</v>
      </c>
    </row>
    <row r="2185" spans="1:11" x14ac:dyDescent="0.25">
      <c r="A2185" s="1">
        <v>44188</v>
      </c>
      <c r="B2185" s="66" t="s">
        <v>45</v>
      </c>
      <c r="C2185" s="66" t="s">
        <v>46</v>
      </c>
      <c r="D2185" t="s">
        <v>47</v>
      </c>
      <c r="E2185">
        <v>1000</v>
      </c>
      <c r="F2185" s="66" t="s">
        <v>7</v>
      </c>
      <c r="G2185" s="66" t="s">
        <v>9</v>
      </c>
      <c r="H2185" s="66" t="str">
        <f>TEXT(Data[[#This Row],[Buchung]],"MMM")</f>
        <v>Dez</v>
      </c>
      <c r="I2185" s="67">
        <f>YEAR(Data[[#This Row],[Buchung]])</f>
        <v>2020</v>
      </c>
      <c r="J2185" s="2">
        <f>ABS(Data[[#This Row],[Betrag]])</f>
        <v>1000</v>
      </c>
      <c r="K2185" s="66" t="str">
        <f>IF(Data[[#This Row],[Betrag]]&lt;0,"A","E")</f>
        <v>E</v>
      </c>
    </row>
    <row r="2186" spans="1:11" x14ac:dyDescent="0.25">
      <c r="A2186" s="1">
        <v>44189</v>
      </c>
      <c r="B2186" s="66" t="s">
        <v>48</v>
      </c>
      <c r="C2186" s="66" t="s">
        <v>49</v>
      </c>
      <c r="D2186" t="s">
        <v>50</v>
      </c>
      <c r="E2186">
        <v>-15</v>
      </c>
      <c r="F2186" s="66" t="s">
        <v>7</v>
      </c>
      <c r="G2186" s="66" t="s">
        <v>8</v>
      </c>
      <c r="H2186" s="66" t="str">
        <f>TEXT(Data[[#This Row],[Buchung]],"MMM")</f>
        <v>Dez</v>
      </c>
      <c r="I2186" s="67">
        <f>YEAR(Data[[#This Row],[Buchung]])</f>
        <v>2020</v>
      </c>
      <c r="J2186" s="2">
        <f>ABS(Data[[#This Row],[Betrag]])</f>
        <v>15</v>
      </c>
      <c r="K2186" s="66" t="str">
        <f>IF(Data[[#This Row],[Betrag]]&lt;0,"A","E")</f>
        <v>A</v>
      </c>
    </row>
    <row r="2187" spans="1:11" x14ac:dyDescent="0.25">
      <c r="A2187" s="1">
        <v>44190</v>
      </c>
      <c r="B2187" s="66" t="s">
        <v>51</v>
      </c>
      <c r="C2187" s="66" t="s">
        <v>52</v>
      </c>
      <c r="D2187" t="s">
        <v>53</v>
      </c>
      <c r="E2187">
        <v>-350</v>
      </c>
      <c r="F2187" s="66" t="s">
        <v>7</v>
      </c>
      <c r="G2187" s="66" t="s">
        <v>11</v>
      </c>
      <c r="H2187" s="66" t="str">
        <f>TEXT(Data[[#This Row],[Buchung]],"MMM")</f>
        <v>Dez</v>
      </c>
      <c r="I2187" s="67">
        <f>YEAR(Data[[#This Row],[Buchung]])</f>
        <v>2020</v>
      </c>
      <c r="J2187" s="2">
        <f>ABS(Data[[#This Row],[Betrag]])</f>
        <v>350</v>
      </c>
      <c r="K2187" s="66" t="str">
        <f>IF(Data[[#This Row],[Betrag]]&lt;0,"A","E")</f>
        <v>A</v>
      </c>
    </row>
    <row r="2188" spans="1:11" x14ac:dyDescent="0.25">
      <c r="A2188" s="1">
        <v>44191</v>
      </c>
      <c r="B2188" s="66" t="s">
        <v>54</v>
      </c>
      <c r="C2188" s="66" t="s">
        <v>55</v>
      </c>
      <c r="D2188" t="s">
        <v>56</v>
      </c>
      <c r="E2188">
        <v>-120</v>
      </c>
      <c r="F2188" s="66" t="s">
        <v>7</v>
      </c>
      <c r="G2188" s="66" t="s">
        <v>57</v>
      </c>
      <c r="H2188" s="66" t="str">
        <f>TEXT(Data[[#This Row],[Buchung]],"MMM")</f>
        <v>Dez</v>
      </c>
      <c r="I2188" s="67">
        <f>YEAR(Data[[#This Row],[Buchung]])</f>
        <v>2020</v>
      </c>
      <c r="J2188" s="2">
        <f>ABS(Data[[#This Row],[Betrag]])</f>
        <v>120</v>
      </c>
      <c r="K2188" s="66" t="str">
        <f>IF(Data[[#This Row],[Betrag]]&lt;0,"A","E")</f>
        <v>A</v>
      </c>
    </row>
    <row r="2189" spans="1:11" x14ac:dyDescent="0.25">
      <c r="A2189" s="1">
        <v>44192</v>
      </c>
      <c r="B2189" s="66" t="s">
        <v>58</v>
      </c>
      <c r="C2189" s="66" t="s">
        <v>59</v>
      </c>
      <c r="D2189" t="s">
        <v>60</v>
      </c>
      <c r="E2189">
        <v>-60</v>
      </c>
      <c r="F2189" s="66" t="s">
        <v>7</v>
      </c>
      <c r="G2189" s="66" t="s">
        <v>10</v>
      </c>
      <c r="H2189" s="66" t="str">
        <f>TEXT(Data[[#This Row],[Buchung]],"MMM")</f>
        <v>Dez</v>
      </c>
      <c r="I2189" s="67">
        <f>YEAR(Data[[#This Row],[Buchung]])</f>
        <v>2020</v>
      </c>
      <c r="J2189" s="2">
        <f>ABS(Data[[#This Row],[Betrag]])</f>
        <v>60</v>
      </c>
      <c r="K2189" s="66" t="str">
        <f>IF(Data[[#This Row],[Betrag]]&lt;0,"A","E")</f>
        <v>A</v>
      </c>
    </row>
    <row r="2190" spans="1:11" x14ac:dyDescent="0.25">
      <c r="A2190" s="1">
        <v>44193</v>
      </c>
      <c r="B2190" s="66" t="s">
        <v>45</v>
      </c>
      <c r="C2190" s="66" t="s">
        <v>46</v>
      </c>
      <c r="D2190" t="s">
        <v>47</v>
      </c>
      <c r="E2190">
        <v>1000</v>
      </c>
      <c r="F2190" s="66" t="s">
        <v>7</v>
      </c>
      <c r="G2190" s="66" t="s">
        <v>9</v>
      </c>
      <c r="H2190" s="66" t="str">
        <f>TEXT(Data[[#This Row],[Buchung]],"MMM")</f>
        <v>Dez</v>
      </c>
      <c r="I2190" s="67">
        <f>YEAR(Data[[#This Row],[Buchung]])</f>
        <v>2020</v>
      </c>
      <c r="J2190" s="2">
        <f>ABS(Data[[#This Row],[Betrag]])</f>
        <v>1000</v>
      </c>
      <c r="K2190" s="66" t="str">
        <f>IF(Data[[#This Row],[Betrag]]&lt;0,"A","E")</f>
        <v>E</v>
      </c>
    </row>
    <row r="2191" spans="1:11" x14ac:dyDescent="0.25">
      <c r="A2191" s="1">
        <v>44194</v>
      </c>
      <c r="B2191" s="66" t="s">
        <v>61</v>
      </c>
      <c r="C2191" s="66" t="s">
        <v>49</v>
      </c>
      <c r="D2191" t="s">
        <v>62</v>
      </c>
      <c r="E2191">
        <v>-10</v>
      </c>
      <c r="F2191" s="66" t="s">
        <v>7</v>
      </c>
      <c r="G2191" s="66" t="s">
        <v>8</v>
      </c>
      <c r="H2191" s="66" t="str">
        <f>TEXT(Data[[#This Row],[Buchung]],"MMM")</f>
        <v>Dez</v>
      </c>
      <c r="I2191" s="67">
        <f>YEAR(Data[[#This Row],[Buchung]])</f>
        <v>2020</v>
      </c>
      <c r="J2191" s="2">
        <f>ABS(Data[[#This Row],[Betrag]])</f>
        <v>10</v>
      </c>
      <c r="K2191" s="66" t="str">
        <f>IF(Data[[#This Row],[Betrag]]&lt;0,"A","E")</f>
        <v>A</v>
      </c>
    </row>
    <row r="2192" spans="1:11" x14ac:dyDescent="0.25">
      <c r="A2192" s="1">
        <v>44195</v>
      </c>
      <c r="B2192" s="66" t="s">
        <v>63</v>
      </c>
      <c r="C2192" s="66" t="s">
        <v>64</v>
      </c>
      <c r="D2192" t="s">
        <v>65</v>
      </c>
      <c r="E2192">
        <v>-70</v>
      </c>
      <c r="F2192" s="66" t="s">
        <v>7</v>
      </c>
      <c r="G2192" s="66" t="s">
        <v>11</v>
      </c>
      <c r="H2192" s="66" t="str">
        <f>TEXT(Data[[#This Row],[Buchung]],"MMM")</f>
        <v>Dez</v>
      </c>
      <c r="I2192" s="67">
        <f>YEAR(Data[[#This Row],[Buchung]])</f>
        <v>2020</v>
      </c>
      <c r="J2192" s="2">
        <f>ABS(Data[[#This Row],[Betrag]])</f>
        <v>70</v>
      </c>
      <c r="K2192" s="66" t="str">
        <f>IF(Data[[#This Row],[Betrag]]&lt;0,"A","E")</f>
        <v>A</v>
      </c>
    </row>
    <row r="2193" spans="1:11" x14ac:dyDescent="0.25">
      <c r="A2193" s="1">
        <v>44196</v>
      </c>
      <c r="B2193" s="66" t="s">
        <v>54</v>
      </c>
      <c r="C2193" s="66" t="s">
        <v>55</v>
      </c>
      <c r="D2193" t="s">
        <v>66</v>
      </c>
      <c r="E2193">
        <v>-80</v>
      </c>
      <c r="F2193" s="66" t="s">
        <v>7</v>
      </c>
      <c r="G2193" s="66" t="s">
        <v>57</v>
      </c>
      <c r="H2193" s="66" t="str">
        <f>TEXT(Data[[#This Row],[Buchung]],"MMM")</f>
        <v>Dez</v>
      </c>
      <c r="I2193" s="67">
        <f>YEAR(Data[[#This Row],[Buchung]])</f>
        <v>2020</v>
      </c>
      <c r="J2193" s="2">
        <f>ABS(Data[[#This Row],[Betrag]])</f>
        <v>80</v>
      </c>
      <c r="K2193" s="66" t="str">
        <f>IF(Data[[#This Row],[Betrag]]&lt;0,"A","E")</f>
        <v>A</v>
      </c>
    </row>
    <row r="2194" spans="1:11" x14ac:dyDescent="0.25">
      <c r="A2194" s="1">
        <v>44197</v>
      </c>
      <c r="B2194" s="66" t="s">
        <v>67</v>
      </c>
      <c r="C2194" s="66" t="s">
        <v>59</v>
      </c>
      <c r="D2194" t="s">
        <v>68</v>
      </c>
      <c r="E2194">
        <v>-25</v>
      </c>
      <c r="F2194" s="66" t="s">
        <v>7</v>
      </c>
      <c r="G2194" s="66" t="s">
        <v>10</v>
      </c>
      <c r="H2194" s="66" t="str">
        <f>TEXT(Data[[#This Row],[Buchung]],"MMM")</f>
        <v>Jan</v>
      </c>
      <c r="I2194" s="67">
        <f>YEAR(Data[[#This Row],[Buchung]])</f>
        <v>2021</v>
      </c>
      <c r="J2194" s="2">
        <f>ABS(Data[[#This Row],[Betrag]])</f>
        <v>25</v>
      </c>
      <c r="K2194" s="66" t="str">
        <f>IF(Data[[#This Row],[Betrag]]&lt;0,"A","E")</f>
        <v>A</v>
      </c>
    </row>
    <row r="2195" spans="1:11" x14ac:dyDescent="0.25">
      <c r="A2195" s="1">
        <v>44198</v>
      </c>
      <c r="B2195" s="66" t="s">
        <v>45</v>
      </c>
      <c r="C2195" s="66" t="s">
        <v>46</v>
      </c>
      <c r="D2195" t="s">
        <v>47</v>
      </c>
      <c r="E2195">
        <v>1000</v>
      </c>
      <c r="F2195" s="66" t="s">
        <v>7</v>
      </c>
      <c r="G2195" s="66" t="s">
        <v>9</v>
      </c>
      <c r="H2195" s="66" t="str">
        <f>TEXT(Data[[#This Row],[Buchung]],"MMM")</f>
        <v>Jan</v>
      </c>
      <c r="I2195" s="67">
        <f>YEAR(Data[[#This Row],[Buchung]])</f>
        <v>2021</v>
      </c>
      <c r="J2195" s="2">
        <f>ABS(Data[[#This Row],[Betrag]])</f>
        <v>1000</v>
      </c>
      <c r="K2195" s="66" t="str">
        <f>IF(Data[[#This Row],[Betrag]]&lt;0,"A","E")</f>
        <v>E</v>
      </c>
    </row>
    <row r="2196" spans="1:11" x14ac:dyDescent="0.25">
      <c r="A2196" s="1">
        <v>44199</v>
      </c>
      <c r="B2196" s="66" t="s">
        <v>48</v>
      </c>
      <c r="C2196" s="66" t="s">
        <v>49</v>
      </c>
      <c r="D2196" t="s">
        <v>50</v>
      </c>
      <c r="E2196">
        <v>-15</v>
      </c>
      <c r="F2196" s="66" t="s">
        <v>7</v>
      </c>
      <c r="G2196" s="66" t="s">
        <v>8</v>
      </c>
      <c r="H2196" s="66" t="str">
        <f>TEXT(Data[[#This Row],[Buchung]],"MMM")</f>
        <v>Jan</v>
      </c>
      <c r="I2196" s="67">
        <f>YEAR(Data[[#This Row],[Buchung]])</f>
        <v>2021</v>
      </c>
      <c r="J2196" s="2">
        <f>ABS(Data[[#This Row],[Betrag]])</f>
        <v>15</v>
      </c>
      <c r="K2196" s="66" t="str">
        <f>IF(Data[[#This Row],[Betrag]]&lt;0,"A","E")</f>
        <v>A</v>
      </c>
    </row>
    <row r="2197" spans="1:11" x14ac:dyDescent="0.25">
      <c r="A2197" s="1">
        <v>44200</v>
      </c>
      <c r="B2197" s="66" t="s">
        <v>51</v>
      </c>
      <c r="C2197" s="66" t="s">
        <v>52</v>
      </c>
      <c r="D2197" t="s">
        <v>53</v>
      </c>
      <c r="E2197">
        <v>-350</v>
      </c>
      <c r="F2197" s="66" t="s">
        <v>7</v>
      </c>
      <c r="G2197" s="66" t="s">
        <v>11</v>
      </c>
      <c r="H2197" s="66" t="str">
        <f>TEXT(Data[[#This Row],[Buchung]],"MMM")</f>
        <v>Jan</v>
      </c>
      <c r="I2197" s="67">
        <f>YEAR(Data[[#This Row],[Buchung]])</f>
        <v>2021</v>
      </c>
      <c r="J2197" s="2">
        <f>ABS(Data[[#This Row],[Betrag]])</f>
        <v>350</v>
      </c>
      <c r="K2197" s="66" t="str">
        <f>IF(Data[[#This Row],[Betrag]]&lt;0,"A","E")</f>
        <v>A</v>
      </c>
    </row>
    <row r="2198" spans="1:11" x14ac:dyDescent="0.25">
      <c r="A2198" s="1">
        <v>44201</v>
      </c>
      <c r="B2198" s="66" t="s">
        <v>54</v>
      </c>
      <c r="C2198" s="66" t="s">
        <v>55</v>
      </c>
      <c r="D2198" t="s">
        <v>56</v>
      </c>
      <c r="E2198">
        <v>-120</v>
      </c>
      <c r="F2198" s="66" t="s">
        <v>7</v>
      </c>
      <c r="G2198" s="66" t="s">
        <v>57</v>
      </c>
      <c r="H2198" s="66" t="str">
        <f>TEXT(Data[[#This Row],[Buchung]],"MMM")</f>
        <v>Jan</v>
      </c>
      <c r="I2198" s="67">
        <f>YEAR(Data[[#This Row],[Buchung]])</f>
        <v>2021</v>
      </c>
      <c r="J2198" s="2">
        <f>ABS(Data[[#This Row],[Betrag]])</f>
        <v>120</v>
      </c>
      <c r="K2198" s="66" t="str">
        <f>IF(Data[[#This Row],[Betrag]]&lt;0,"A","E")</f>
        <v>A</v>
      </c>
    </row>
    <row r="2199" spans="1:11" x14ac:dyDescent="0.25">
      <c r="A2199" s="1">
        <v>44202</v>
      </c>
      <c r="B2199" s="66" t="s">
        <v>58</v>
      </c>
      <c r="C2199" s="66" t="s">
        <v>59</v>
      </c>
      <c r="D2199" t="s">
        <v>60</v>
      </c>
      <c r="E2199">
        <v>-70</v>
      </c>
      <c r="F2199" s="66" t="s">
        <v>7</v>
      </c>
      <c r="G2199" s="66" t="s">
        <v>10</v>
      </c>
      <c r="H2199" s="66" t="str">
        <f>TEXT(Data[[#This Row],[Buchung]],"MMM")</f>
        <v>Jan</v>
      </c>
      <c r="I2199" s="67">
        <f>YEAR(Data[[#This Row],[Buchung]])</f>
        <v>2021</v>
      </c>
      <c r="J2199" s="2">
        <f>ABS(Data[[#This Row],[Betrag]])</f>
        <v>70</v>
      </c>
      <c r="K2199" s="66" t="str">
        <f>IF(Data[[#This Row],[Betrag]]&lt;0,"A","E")</f>
        <v>A</v>
      </c>
    </row>
    <row r="2200" spans="1:11" x14ac:dyDescent="0.25">
      <c r="A2200" s="1">
        <v>44203</v>
      </c>
      <c r="B2200" s="66" t="s">
        <v>45</v>
      </c>
      <c r="C2200" s="66" t="s">
        <v>46</v>
      </c>
      <c r="D2200" t="s">
        <v>47</v>
      </c>
      <c r="E2200">
        <v>1000</v>
      </c>
      <c r="F2200" s="66" t="s">
        <v>7</v>
      </c>
      <c r="G2200" s="66" t="s">
        <v>9</v>
      </c>
      <c r="H2200" s="66" t="str">
        <f>TEXT(Data[[#This Row],[Buchung]],"MMM")</f>
        <v>Jan</v>
      </c>
      <c r="I2200" s="67">
        <f>YEAR(Data[[#This Row],[Buchung]])</f>
        <v>2021</v>
      </c>
      <c r="J2200" s="2">
        <f>ABS(Data[[#This Row],[Betrag]])</f>
        <v>1000</v>
      </c>
      <c r="K2200" s="66" t="str">
        <f>IF(Data[[#This Row],[Betrag]]&lt;0,"A","E")</f>
        <v>E</v>
      </c>
    </row>
    <row r="2201" spans="1:11" x14ac:dyDescent="0.25">
      <c r="A2201" s="1">
        <v>44204</v>
      </c>
      <c r="B2201" s="66" t="s">
        <v>61</v>
      </c>
      <c r="C2201" s="66" t="s">
        <v>49</v>
      </c>
      <c r="D2201" t="s">
        <v>62</v>
      </c>
      <c r="E2201">
        <v>-10</v>
      </c>
      <c r="F2201" s="66" t="s">
        <v>7</v>
      </c>
      <c r="G2201" s="66" t="s">
        <v>8</v>
      </c>
      <c r="H2201" s="66" t="str">
        <f>TEXT(Data[[#This Row],[Buchung]],"MMM")</f>
        <v>Jan</v>
      </c>
      <c r="I2201" s="67">
        <f>YEAR(Data[[#This Row],[Buchung]])</f>
        <v>2021</v>
      </c>
      <c r="J2201" s="2">
        <f>ABS(Data[[#This Row],[Betrag]])</f>
        <v>10</v>
      </c>
      <c r="K2201" s="66" t="str">
        <f>IF(Data[[#This Row],[Betrag]]&lt;0,"A","E")</f>
        <v>A</v>
      </c>
    </row>
    <row r="2202" spans="1:11" x14ac:dyDescent="0.25">
      <c r="A2202" s="1">
        <v>44205</v>
      </c>
      <c r="B2202" s="66" t="s">
        <v>63</v>
      </c>
      <c r="C2202" s="66" t="s">
        <v>64</v>
      </c>
      <c r="D2202" t="s">
        <v>65</v>
      </c>
      <c r="E2202">
        <v>-60</v>
      </c>
      <c r="F2202" s="66" t="s">
        <v>7</v>
      </c>
      <c r="G2202" s="66" t="s">
        <v>11</v>
      </c>
      <c r="H2202" s="66" t="str">
        <f>TEXT(Data[[#This Row],[Buchung]],"MMM")</f>
        <v>Jan</v>
      </c>
      <c r="I2202" s="67">
        <f>YEAR(Data[[#This Row],[Buchung]])</f>
        <v>2021</v>
      </c>
      <c r="J2202" s="2">
        <f>ABS(Data[[#This Row],[Betrag]])</f>
        <v>60</v>
      </c>
      <c r="K2202" s="66" t="str">
        <f>IF(Data[[#This Row],[Betrag]]&lt;0,"A","E")</f>
        <v>A</v>
      </c>
    </row>
    <row r="2203" spans="1:11" x14ac:dyDescent="0.25">
      <c r="A2203" s="1">
        <v>44206</v>
      </c>
      <c r="B2203" s="66" t="s">
        <v>54</v>
      </c>
      <c r="C2203" s="66" t="s">
        <v>55</v>
      </c>
      <c r="D2203" t="s">
        <v>66</v>
      </c>
      <c r="E2203">
        <v>-80</v>
      </c>
      <c r="F2203" s="66" t="s">
        <v>7</v>
      </c>
      <c r="G2203" s="66" t="s">
        <v>57</v>
      </c>
      <c r="H2203" s="66" t="str">
        <f>TEXT(Data[[#This Row],[Buchung]],"MMM")</f>
        <v>Jan</v>
      </c>
      <c r="I2203" s="67">
        <f>YEAR(Data[[#This Row],[Buchung]])</f>
        <v>2021</v>
      </c>
      <c r="J2203" s="2">
        <f>ABS(Data[[#This Row],[Betrag]])</f>
        <v>80</v>
      </c>
      <c r="K2203" s="66" t="str">
        <f>IF(Data[[#This Row],[Betrag]]&lt;0,"A","E")</f>
        <v>A</v>
      </c>
    </row>
    <row r="2204" spans="1:11" x14ac:dyDescent="0.25">
      <c r="A2204" s="1">
        <v>44207</v>
      </c>
      <c r="B2204" s="66" t="s">
        <v>67</v>
      </c>
      <c r="C2204" s="66" t="s">
        <v>59</v>
      </c>
      <c r="D2204" t="s">
        <v>68</v>
      </c>
      <c r="E2204">
        <v>-30</v>
      </c>
      <c r="F2204" s="66" t="s">
        <v>7</v>
      </c>
      <c r="G2204" s="66" t="s">
        <v>10</v>
      </c>
      <c r="H2204" s="66" t="str">
        <f>TEXT(Data[[#This Row],[Buchung]],"MMM")</f>
        <v>Jan</v>
      </c>
      <c r="I2204" s="67">
        <f>YEAR(Data[[#This Row],[Buchung]])</f>
        <v>2021</v>
      </c>
      <c r="J2204" s="2">
        <f>ABS(Data[[#This Row],[Betrag]])</f>
        <v>30</v>
      </c>
      <c r="K2204" s="66" t="str">
        <f>IF(Data[[#This Row],[Betrag]]&lt;0,"A","E")</f>
        <v>A</v>
      </c>
    </row>
    <row r="2205" spans="1:11" x14ac:dyDescent="0.25">
      <c r="A2205" s="1">
        <v>44208</v>
      </c>
      <c r="B2205" s="66" t="s">
        <v>45</v>
      </c>
      <c r="C2205" s="66" t="s">
        <v>46</v>
      </c>
      <c r="D2205" t="s">
        <v>47</v>
      </c>
      <c r="E2205">
        <v>1000</v>
      </c>
      <c r="F2205" s="66" t="s">
        <v>7</v>
      </c>
      <c r="G2205" s="66" t="s">
        <v>9</v>
      </c>
      <c r="H2205" s="66" t="str">
        <f>TEXT(Data[[#This Row],[Buchung]],"MMM")</f>
        <v>Jan</v>
      </c>
      <c r="I2205" s="67">
        <f>YEAR(Data[[#This Row],[Buchung]])</f>
        <v>2021</v>
      </c>
      <c r="J2205" s="2">
        <f>ABS(Data[[#This Row],[Betrag]])</f>
        <v>1000</v>
      </c>
      <c r="K2205" s="66" t="str">
        <f>IF(Data[[#This Row],[Betrag]]&lt;0,"A","E")</f>
        <v>E</v>
      </c>
    </row>
    <row r="2206" spans="1:11" x14ac:dyDescent="0.25">
      <c r="A2206" s="1">
        <v>44209</v>
      </c>
      <c r="B2206" s="66" t="s">
        <v>48</v>
      </c>
      <c r="C2206" s="66" t="s">
        <v>49</v>
      </c>
      <c r="D2206" t="s">
        <v>50</v>
      </c>
      <c r="E2206">
        <v>-15</v>
      </c>
      <c r="F2206" s="66" t="s">
        <v>7</v>
      </c>
      <c r="G2206" s="66" t="s">
        <v>8</v>
      </c>
      <c r="H2206" s="66" t="str">
        <f>TEXT(Data[[#This Row],[Buchung]],"MMM")</f>
        <v>Jan</v>
      </c>
      <c r="I2206" s="67">
        <f>YEAR(Data[[#This Row],[Buchung]])</f>
        <v>2021</v>
      </c>
      <c r="J2206" s="2">
        <f>ABS(Data[[#This Row],[Betrag]])</f>
        <v>15</v>
      </c>
      <c r="K2206" s="66" t="str">
        <f>IF(Data[[#This Row],[Betrag]]&lt;0,"A","E")</f>
        <v>A</v>
      </c>
    </row>
    <row r="2207" spans="1:11" x14ac:dyDescent="0.25">
      <c r="A2207" s="1">
        <v>44210</v>
      </c>
      <c r="B2207" s="66" t="s">
        <v>51</v>
      </c>
      <c r="C2207" s="66" t="s">
        <v>52</v>
      </c>
      <c r="D2207" t="s">
        <v>53</v>
      </c>
      <c r="E2207">
        <v>-350</v>
      </c>
      <c r="F2207" s="66" t="s">
        <v>7</v>
      </c>
      <c r="G2207" s="66" t="s">
        <v>11</v>
      </c>
      <c r="H2207" s="66" t="str">
        <f>TEXT(Data[[#This Row],[Buchung]],"MMM")</f>
        <v>Jan</v>
      </c>
      <c r="I2207" s="67">
        <f>YEAR(Data[[#This Row],[Buchung]])</f>
        <v>2021</v>
      </c>
      <c r="J2207" s="2">
        <f>ABS(Data[[#This Row],[Betrag]])</f>
        <v>350</v>
      </c>
      <c r="K2207" s="66" t="str">
        <f>IF(Data[[#This Row],[Betrag]]&lt;0,"A","E")</f>
        <v>A</v>
      </c>
    </row>
    <row r="2208" spans="1:11" x14ac:dyDescent="0.25">
      <c r="A2208" s="1">
        <v>44211</v>
      </c>
      <c r="B2208" s="66" t="s">
        <v>54</v>
      </c>
      <c r="C2208" s="66" t="s">
        <v>55</v>
      </c>
      <c r="D2208" t="s">
        <v>56</v>
      </c>
      <c r="E2208">
        <v>-120</v>
      </c>
      <c r="F2208" s="66" t="s">
        <v>7</v>
      </c>
      <c r="G2208" s="66" t="s">
        <v>57</v>
      </c>
      <c r="H2208" s="66" t="str">
        <f>TEXT(Data[[#This Row],[Buchung]],"MMM")</f>
        <v>Jan</v>
      </c>
      <c r="I2208" s="67">
        <f>YEAR(Data[[#This Row],[Buchung]])</f>
        <v>2021</v>
      </c>
      <c r="J2208" s="2">
        <f>ABS(Data[[#This Row],[Betrag]])</f>
        <v>120</v>
      </c>
      <c r="K2208" s="66" t="str">
        <f>IF(Data[[#This Row],[Betrag]]&lt;0,"A","E")</f>
        <v>A</v>
      </c>
    </row>
    <row r="2209" spans="1:11" x14ac:dyDescent="0.25">
      <c r="A2209" s="1">
        <v>44212</v>
      </c>
      <c r="B2209" s="66" t="s">
        <v>58</v>
      </c>
      <c r="C2209" s="66" t="s">
        <v>59</v>
      </c>
      <c r="D2209" t="s">
        <v>60</v>
      </c>
      <c r="E2209">
        <v>-80</v>
      </c>
      <c r="F2209" s="66" t="s">
        <v>7</v>
      </c>
      <c r="G2209" s="66" t="s">
        <v>10</v>
      </c>
      <c r="H2209" s="66" t="str">
        <f>TEXT(Data[[#This Row],[Buchung]],"MMM")</f>
        <v>Jan</v>
      </c>
      <c r="I2209" s="67">
        <f>YEAR(Data[[#This Row],[Buchung]])</f>
        <v>2021</v>
      </c>
      <c r="J2209" s="2">
        <f>ABS(Data[[#This Row],[Betrag]])</f>
        <v>80</v>
      </c>
      <c r="K2209" s="66" t="str">
        <f>IF(Data[[#This Row],[Betrag]]&lt;0,"A","E")</f>
        <v>A</v>
      </c>
    </row>
    <row r="2210" spans="1:11" x14ac:dyDescent="0.25">
      <c r="A2210" s="1">
        <v>44213</v>
      </c>
      <c r="B2210" s="66" t="s">
        <v>45</v>
      </c>
      <c r="C2210" s="66" t="s">
        <v>46</v>
      </c>
      <c r="D2210" t="s">
        <v>47</v>
      </c>
      <c r="E2210">
        <v>1000</v>
      </c>
      <c r="F2210" s="66" t="s">
        <v>7</v>
      </c>
      <c r="G2210" s="66" t="s">
        <v>9</v>
      </c>
      <c r="H2210" s="66" t="str">
        <f>TEXT(Data[[#This Row],[Buchung]],"MMM")</f>
        <v>Jan</v>
      </c>
      <c r="I2210" s="67">
        <f>YEAR(Data[[#This Row],[Buchung]])</f>
        <v>2021</v>
      </c>
      <c r="J2210" s="2">
        <f>ABS(Data[[#This Row],[Betrag]])</f>
        <v>1000</v>
      </c>
      <c r="K2210" s="66" t="str">
        <f>IF(Data[[#This Row],[Betrag]]&lt;0,"A","E")</f>
        <v>E</v>
      </c>
    </row>
    <row r="2211" spans="1:11" x14ac:dyDescent="0.25">
      <c r="A2211" s="1">
        <v>44214</v>
      </c>
      <c r="B2211" s="66" t="s">
        <v>61</v>
      </c>
      <c r="C2211" s="66" t="s">
        <v>49</v>
      </c>
      <c r="D2211" t="s">
        <v>62</v>
      </c>
      <c r="E2211">
        <v>-10</v>
      </c>
      <c r="F2211" s="66" t="s">
        <v>7</v>
      </c>
      <c r="G2211" s="66" t="s">
        <v>8</v>
      </c>
      <c r="H2211" s="66" t="str">
        <f>TEXT(Data[[#This Row],[Buchung]],"MMM")</f>
        <v>Jan</v>
      </c>
      <c r="I2211" s="67">
        <f>YEAR(Data[[#This Row],[Buchung]])</f>
        <v>2021</v>
      </c>
      <c r="J2211" s="2">
        <f>ABS(Data[[#This Row],[Betrag]])</f>
        <v>10</v>
      </c>
      <c r="K2211" s="66" t="str">
        <f>IF(Data[[#This Row],[Betrag]]&lt;0,"A","E")</f>
        <v>A</v>
      </c>
    </row>
    <row r="2212" spans="1:11" x14ac:dyDescent="0.25">
      <c r="A2212" s="1">
        <v>44215</v>
      </c>
      <c r="B2212" s="66" t="s">
        <v>63</v>
      </c>
      <c r="C2212" s="66" t="s">
        <v>64</v>
      </c>
      <c r="D2212" t="s">
        <v>65</v>
      </c>
      <c r="E2212">
        <v>-65</v>
      </c>
      <c r="F2212" s="66" t="s">
        <v>7</v>
      </c>
      <c r="G2212" s="66" t="s">
        <v>11</v>
      </c>
      <c r="H2212" s="66" t="str">
        <f>TEXT(Data[[#This Row],[Buchung]],"MMM")</f>
        <v>Jan</v>
      </c>
      <c r="I2212" s="67">
        <f>YEAR(Data[[#This Row],[Buchung]])</f>
        <v>2021</v>
      </c>
      <c r="J2212" s="2">
        <f>ABS(Data[[#This Row],[Betrag]])</f>
        <v>65</v>
      </c>
      <c r="K2212" s="66" t="str">
        <f>IF(Data[[#This Row],[Betrag]]&lt;0,"A","E")</f>
        <v>A</v>
      </c>
    </row>
    <row r="2213" spans="1:11" x14ac:dyDescent="0.25">
      <c r="A2213" s="1">
        <v>44216</v>
      </c>
      <c r="B2213" s="66" t="s">
        <v>54</v>
      </c>
      <c r="C2213" s="66" t="s">
        <v>55</v>
      </c>
      <c r="D2213" t="s">
        <v>66</v>
      </c>
      <c r="E2213">
        <v>-80</v>
      </c>
      <c r="F2213" s="66" t="s">
        <v>7</v>
      </c>
      <c r="G2213" s="66" t="s">
        <v>57</v>
      </c>
      <c r="H2213" s="66" t="str">
        <f>TEXT(Data[[#This Row],[Buchung]],"MMM")</f>
        <v>Jan</v>
      </c>
      <c r="I2213" s="67">
        <f>YEAR(Data[[#This Row],[Buchung]])</f>
        <v>2021</v>
      </c>
      <c r="J2213" s="2">
        <f>ABS(Data[[#This Row],[Betrag]])</f>
        <v>80</v>
      </c>
      <c r="K2213" s="66" t="str">
        <f>IF(Data[[#This Row],[Betrag]]&lt;0,"A","E")</f>
        <v>A</v>
      </c>
    </row>
    <row r="2214" spans="1:11" x14ac:dyDescent="0.25">
      <c r="A2214" s="1">
        <v>44217</v>
      </c>
      <c r="B2214" s="66" t="s">
        <v>67</v>
      </c>
      <c r="C2214" s="66" t="s">
        <v>59</v>
      </c>
      <c r="D2214" t="s">
        <v>68</v>
      </c>
      <c r="E2214">
        <v>-35</v>
      </c>
      <c r="F2214" s="66" t="s">
        <v>7</v>
      </c>
      <c r="G2214" s="66" t="s">
        <v>10</v>
      </c>
      <c r="H2214" s="66" t="str">
        <f>TEXT(Data[[#This Row],[Buchung]],"MMM")</f>
        <v>Jan</v>
      </c>
      <c r="I2214" s="67">
        <f>YEAR(Data[[#This Row],[Buchung]])</f>
        <v>2021</v>
      </c>
      <c r="J2214" s="2">
        <f>ABS(Data[[#This Row],[Betrag]])</f>
        <v>35</v>
      </c>
      <c r="K2214" s="66" t="str">
        <f>IF(Data[[#This Row],[Betrag]]&lt;0,"A","E")</f>
        <v>A</v>
      </c>
    </row>
    <row r="2215" spans="1:11" x14ac:dyDescent="0.25">
      <c r="A2215" s="1">
        <v>44218</v>
      </c>
      <c r="B2215" s="66" t="s">
        <v>45</v>
      </c>
      <c r="C2215" s="66" t="s">
        <v>46</v>
      </c>
      <c r="D2215" t="s">
        <v>47</v>
      </c>
      <c r="E2215">
        <v>1000</v>
      </c>
      <c r="F2215" s="66" t="s">
        <v>7</v>
      </c>
      <c r="G2215" s="66" t="s">
        <v>9</v>
      </c>
      <c r="H2215" s="66" t="str">
        <f>TEXT(Data[[#This Row],[Buchung]],"MMM")</f>
        <v>Jan</v>
      </c>
      <c r="I2215" s="67">
        <f>YEAR(Data[[#This Row],[Buchung]])</f>
        <v>2021</v>
      </c>
      <c r="J2215" s="2">
        <f>ABS(Data[[#This Row],[Betrag]])</f>
        <v>1000</v>
      </c>
      <c r="K2215" s="66" t="str">
        <f>IF(Data[[#This Row],[Betrag]]&lt;0,"A","E")</f>
        <v>E</v>
      </c>
    </row>
    <row r="2216" spans="1:11" x14ac:dyDescent="0.25">
      <c r="A2216" s="1">
        <v>44219</v>
      </c>
      <c r="B2216" s="66" t="s">
        <v>45</v>
      </c>
      <c r="C2216" s="66" t="s">
        <v>46</v>
      </c>
      <c r="D2216" t="s">
        <v>47</v>
      </c>
      <c r="E2216">
        <v>1000</v>
      </c>
      <c r="F2216" s="66" t="s">
        <v>7</v>
      </c>
      <c r="G2216" s="66" t="s">
        <v>9</v>
      </c>
      <c r="H2216" s="66" t="str">
        <f>TEXT(Data[[#This Row],[Buchung]],"MMM")</f>
        <v>Jan</v>
      </c>
      <c r="I2216" s="67">
        <f>YEAR(Data[[#This Row],[Buchung]])</f>
        <v>2021</v>
      </c>
      <c r="J2216" s="2">
        <f>ABS(Data[[#This Row],[Betrag]])</f>
        <v>1000</v>
      </c>
      <c r="K2216" s="66" t="str">
        <f>IF(Data[[#This Row],[Betrag]]&lt;0,"A","E")</f>
        <v>E</v>
      </c>
    </row>
    <row r="2217" spans="1:11" x14ac:dyDescent="0.25">
      <c r="A2217" s="1">
        <v>44220</v>
      </c>
      <c r="B2217" s="66" t="s">
        <v>48</v>
      </c>
      <c r="C2217" s="66" t="s">
        <v>49</v>
      </c>
      <c r="D2217" t="s">
        <v>50</v>
      </c>
      <c r="E2217">
        <v>-15</v>
      </c>
      <c r="F2217" s="66" t="s">
        <v>7</v>
      </c>
      <c r="G2217" s="66" t="s">
        <v>8</v>
      </c>
      <c r="H2217" s="66" t="str">
        <f>TEXT(Data[[#This Row],[Buchung]],"MMM")</f>
        <v>Jan</v>
      </c>
      <c r="I2217" s="67">
        <f>YEAR(Data[[#This Row],[Buchung]])</f>
        <v>2021</v>
      </c>
      <c r="J2217" s="2">
        <f>ABS(Data[[#This Row],[Betrag]])</f>
        <v>15</v>
      </c>
      <c r="K2217" s="66" t="str">
        <f>IF(Data[[#This Row],[Betrag]]&lt;0,"A","E")</f>
        <v>A</v>
      </c>
    </row>
    <row r="2218" spans="1:11" x14ac:dyDescent="0.25">
      <c r="A2218" s="1">
        <v>44221</v>
      </c>
      <c r="B2218" s="66" t="s">
        <v>51</v>
      </c>
      <c r="C2218" s="66" t="s">
        <v>52</v>
      </c>
      <c r="D2218" t="s">
        <v>53</v>
      </c>
      <c r="E2218">
        <v>-350</v>
      </c>
      <c r="F2218" s="66" t="s">
        <v>7</v>
      </c>
      <c r="G2218" s="66" t="s">
        <v>11</v>
      </c>
      <c r="H2218" s="66" t="str">
        <f>TEXT(Data[[#This Row],[Buchung]],"MMM")</f>
        <v>Jan</v>
      </c>
      <c r="I2218" s="67">
        <f>YEAR(Data[[#This Row],[Buchung]])</f>
        <v>2021</v>
      </c>
      <c r="J2218" s="2">
        <f>ABS(Data[[#This Row],[Betrag]])</f>
        <v>350</v>
      </c>
      <c r="K2218" s="66" t="str">
        <f>IF(Data[[#This Row],[Betrag]]&lt;0,"A","E")</f>
        <v>A</v>
      </c>
    </row>
    <row r="2219" spans="1:11" x14ac:dyDescent="0.25">
      <c r="A2219" s="1">
        <v>44222</v>
      </c>
      <c r="B2219" s="66" t="s">
        <v>54</v>
      </c>
      <c r="C2219" s="66" t="s">
        <v>55</v>
      </c>
      <c r="D2219" t="s">
        <v>56</v>
      </c>
      <c r="E2219">
        <v>-120</v>
      </c>
      <c r="F2219" s="66" t="s">
        <v>7</v>
      </c>
      <c r="G2219" s="66" t="s">
        <v>57</v>
      </c>
      <c r="H2219" s="66" t="str">
        <f>TEXT(Data[[#This Row],[Buchung]],"MMM")</f>
        <v>Jan</v>
      </c>
      <c r="I2219" s="67">
        <f>YEAR(Data[[#This Row],[Buchung]])</f>
        <v>2021</v>
      </c>
      <c r="J2219" s="2">
        <f>ABS(Data[[#This Row],[Betrag]])</f>
        <v>120</v>
      </c>
      <c r="K2219" s="66" t="str">
        <f>IF(Data[[#This Row],[Betrag]]&lt;0,"A","E")</f>
        <v>A</v>
      </c>
    </row>
    <row r="2220" spans="1:11" x14ac:dyDescent="0.25">
      <c r="A2220" s="1">
        <v>44223</v>
      </c>
      <c r="B2220" s="66" t="s">
        <v>58</v>
      </c>
      <c r="C2220" s="66" t="s">
        <v>59</v>
      </c>
      <c r="D2220" t="s">
        <v>60</v>
      </c>
      <c r="E2220">
        <v>-50</v>
      </c>
      <c r="F2220" s="66" t="s">
        <v>7</v>
      </c>
      <c r="G2220" s="66" t="s">
        <v>10</v>
      </c>
      <c r="H2220" s="66" t="str">
        <f>TEXT(Data[[#This Row],[Buchung]],"MMM")</f>
        <v>Jan</v>
      </c>
      <c r="I2220" s="67">
        <f>YEAR(Data[[#This Row],[Buchung]])</f>
        <v>2021</v>
      </c>
      <c r="J2220" s="2">
        <f>ABS(Data[[#This Row],[Betrag]])</f>
        <v>50</v>
      </c>
      <c r="K2220" s="66" t="str">
        <f>IF(Data[[#This Row],[Betrag]]&lt;0,"A","E")</f>
        <v>A</v>
      </c>
    </row>
    <row r="2221" spans="1:11" x14ac:dyDescent="0.25">
      <c r="A2221" s="1">
        <v>44224</v>
      </c>
      <c r="B2221" s="66" t="s">
        <v>45</v>
      </c>
      <c r="C2221" s="66" t="s">
        <v>46</v>
      </c>
      <c r="D2221" t="s">
        <v>47</v>
      </c>
      <c r="E2221">
        <v>1000</v>
      </c>
      <c r="F2221" s="66" t="s">
        <v>7</v>
      </c>
      <c r="G2221" s="66" t="s">
        <v>9</v>
      </c>
      <c r="H2221" s="66" t="str">
        <f>TEXT(Data[[#This Row],[Buchung]],"MMM")</f>
        <v>Jan</v>
      </c>
      <c r="I2221" s="67">
        <f>YEAR(Data[[#This Row],[Buchung]])</f>
        <v>2021</v>
      </c>
      <c r="J2221" s="2">
        <f>ABS(Data[[#This Row],[Betrag]])</f>
        <v>1000</v>
      </c>
      <c r="K2221" s="66" t="str">
        <f>IF(Data[[#This Row],[Betrag]]&lt;0,"A","E")</f>
        <v>E</v>
      </c>
    </row>
    <row r="2222" spans="1:11" x14ac:dyDescent="0.25">
      <c r="A2222" s="1">
        <v>44225</v>
      </c>
      <c r="B2222" s="66" t="s">
        <v>61</v>
      </c>
      <c r="C2222" s="66" t="s">
        <v>49</v>
      </c>
      <c r="D2222" t="s">
        <v>62</v>
      </c>
      <c r="E2222">
        <v>-10</v>
      </c>
      <c r="F2222" s="66" t="s">
        <v>7</v>
      </c>
      <c r="G2222" s="66" t="s">
        <v>8</v>
      </c>
      <c r="H2222" s="66" t="str">
        <f>TEXT(Data[[#This Row],[Buchung]],"MMM")</f>
        <v>Jan</v>
      </c>
      <c r="I2222" s="67">
        <f>YEAR(Data[[#This Row],[Buchung]])</f>
        <v>2021</v>
      </c>
      <c r="J2222" s="2">
        <f>ABS(Data[[#This Row],[Betrag]])</f>
        <v>10</v>
      </c>
      <c r="K2222" s="66" t="str">
        <f>IF(Data[[#This Row],[Betrag]]&lt;0,"A","E")</f>
        <v>A</v>
      </c>
    </row>
    <row r="2223" spans="1:11" x14ac:dyDescent="0.25">
      <c r="A2223" s="1">
        <v>44226</v>
      </c>
      <c r="B2223" s="66" t="s">
        <v>63</v>
      </c>
      <c r="C2223" s="66" t="s">
        <v>64</v>
      </c>
      <c r="D2223" t="s">
        <v>65</v>
      </c>
      <c r="E2223">
        <v>-60</v>
      </c>
      <c r="F2223" s="66" t="s">
        <v>7</v>
      </c>
      <c r="G2223" s="66" t="s">
        <v>11</v>
      </c>
      <c r="H2223" s="66" t="str">
        <f>TEXT(Data[[#This Row],[Buchung]],"MMM")</f>
        <v>Jan</v>
      </c>
      <c r="I2223" s="67">
        <f>YEAR(Data[[#This Row],[Buchung]])</f>
        <v>2021</v>
      </c>
      <c r="J2223" s="2">
        <f>ABS(Data[[#This Row],[Betrag]])</f>
        <v>60</v>
      </c>
      <c r="K2223" s="66" t="str">
        <f>IF(Data[[#This Row],[Betrag]]&lt;0,"A","E")</f>
        <v>A</v>
      </c>
    </row>
    <row r="2224" spans="1:11" x14ac:dyDescent="0.25">
      <c r="A2224" s="1">
        <v>44227</v>
      </c>
      <c r="B2224" s="66" t="s">
        <v>54</v>
      </c>
      <c r="C2224" s="66" t="s">
        <v>55</v>
      </c>
      <c r="D2224" t="s">
        <v>66</v>
      </c>
      <c r="E2224">
        <v>-80</v>
      </c>
      <c r="F2224" s="66" t="s">
        <v>7</v>
      </c>
      <c r="G2224" s="66" t="s">
        <v>57</v>
      </c>
      <c r="H2224" s="66" t="str">
        <f>TEXT(Data[[#This Row],[Buchung]],"MMM")</f>
        <v>Jan</v>
      </c>
      <c r="I2224" s="67">
        <f>YEAR(Data[[#This Row],[Buchung]])</f>
        <v>2021</v>
      </c>
      <c r="J2224" s="2">
        <f>ABS(Data[[#This Row],[Betrag]])</f>
        <v>80</v>
      </c>
      <c r="K2224" s="66" t="str">
        <f>IF(Data[[#This Row],[Betrag]]&lt;0,"A","E")</f>
        <v>A</v>
      </c>
    </row>
    <row r="2225" spans="1:11" x14ac:dyDescent="0.25">
      <c r="A2225" s="1">
        <v>44228</v>
      </c>
      <c r="B2225" s="66" t="s">
        <v>67</v>
      </c>
      <c r="C2225" s="66" t="s">
        <v>59</v>
      </c>
      <c r="D2225" t="s">
        <v>68</v>
      </c>
      <c r="E2225">
        <v>-20</v>
      </c>
      <c r="F2225" s="66" t="s">
        <v>7</v>
      </c>
      <c r="G2225" s="66" t="s">
        <v>10</v>
      </c>
      <c r="H2225" s="66" t="str">
        <f>TEXT(Data[[#This Row],[Buchung]],"MMM")</f>
        <v>Feb</v>
      </c>
      <c r="I2225" s="67">
        <f>YEAR(Data[[#This Row],[Buchung]])</f>
        <v>2021</v>
      </c>
      <c r="J2225" s="2">
        <f>ABS(Data[[#This Row],[Betrag]])</f>
        <v>20</v>
      </c>
      <c r="K2225" s="66" t="str">
        <f>IF(Data[[#This Row],[Betrag]]&lt;0,"A","E")</f>
        <v>A</v>
      </c>
    </row>
    <row r="2226" spans="1:11" x14ac:dyDescent="0.25">
      <c r="A2226" s="1">
        <v>44229</v>
      </c>
      <c r="B2226" s="66" t="s">
        <v>45</v>
      </c>
      <c r="C2226" s="66" t="s">
        <v>46</v>
      </c>
      <c r="D2226" t="s">
        <v>47</v>
      </c>
      <c r="E2226">
        <v>1000</v>
      </c>
      <c r="F2226" s="66" t="s">
        <v>7</v>
      </c>
      <c r="G2226" s="66" t="s">
        <v>9</v>
      </c>
      <c r="H2226" s="66" t="str">
        <f>TEXT(Data[[#This Row],[Buchung]],"MMM")</f>
        <v>Feb</v>
      </c>
      <c r="I2226" s="67">
        <f>YEAR(Data[[#This Row],[Buchung]])</f>
        <v>2021</v>
      </c>
      <c r="J2226" s="2">
        <f>ABS(Data[[#This Row],[Betrag]])</f>
        <v>1000</v>
      </c>
      <c r="K2226" s="66" t="str">
        <f>IF(Data[[#This Row],[Betrag]]&lt;0,"A","E")</f>
        <v>E</v>
      </c>
    </row>
    <row r="2227" spans="1:11" x14ac:dyDescent="0.25">
      <c r="A2227" s="1">
        <v>44230</v>
      </c>
      <c r="B2227" s="66" t="s">
        <v>48</v>
      </c>
      <c r="C2227" s="66" t="s">
        <v>49</v>
      </c>
      <c r="D2227" t="s">
        <v>50</v>
      </c>
      <c r="E2227">
        <v>-15</v>
      </c>
      <c r="F2227" s="66" t="s">
        <v>7</v>
      </c>
      <c r="G2227" s="66" t="s">
        <v>8</v>
      </c>
      <c r="H2227" s="66" t="str">
        <f>TEXT(Data[[#This Row],[Buchung]],"MMM")</f>
        <v>Feb</v>
      </c>
      <c r="I2227" s="67">
        <f>YEAR(Data[[#This Row],[Buchung]])</f>
        <v>2021</v>
      </c>
      <c r="J2227" s="2">
        <f>ABS(Data[[#This Row],[Betrag]])</f>
        <v>15</v>
      </c>
      <c r="K2227" s="66" t="str">
        <f>IF(Data[[#This Row],[Betrag]]&lt;0,"A","E")</f>
        <v>A</v>
      </c>
    </row>
    <row r="2228" spans="1:11" x14ac:dyDescent="0.25">
      <c r="A2228" s="1">
        <v>44231</v>
      </c>
      <c r="B2228" s="66" t="s">
        <v>51</v>
      </c>
      <c r="C2228" s="66" t="s">
        <v>52</v>
      </c>
      <c r="D2228" t="s">
        <v>53</v>
      </c>
      <c r="E2228">
        <v>-350</v>
      </c>
      <c r="F2228" s="66" t="s">
        <v>7</v>
      </c>
      <c r="G2228" s="66" t="s">
        <v>11</v>
      </c>
      <c r="H2228" s="66" t="str">
        <f>TEXT(Data[[#This Row],[Buchung]],"MMM")</f>
        <v>Feb</v>
      </c>
      <c r="I2228" s="67">
        <f>YEAR(Data[[#This Row],[Buchung]])</f>
        <v>2021</v>
      </c>
      <c r="J2228" s="2">
        <f>ABS(Data[[#This Row],[Betrag]])</f>
        <v>350</v>
      </c>
      <c r="K2228" s="66" t="str">
        <f>IF(Data[[#This Row],[Betrag]]&lt;0,"A","E")</f>
        <v>A</v>
      </c>
    </row>
    <row r="2229" spans="1:11" x14ac:dyDescent="0.25">
      <c r="A2229" s="1">
        <v>44232</v>
      </c>
      <c r="B2229" s="66" t="s">
        <v>54</v>
      </c>
      <c r="C2229" s="66" t="s">
        <v>55</v>
      </c>
      <c r="D2229" t="s">
        <v>56</v>
      </c>
      <c r="E2229">
        <v>-120</v>
      </c>
      <c r="F2229" s="66" t="s">
        <v>7</v>
      </c>
      <c r="G2229" s="66" t="s">
        <v>57</v>
      </c>
      <c r="H2229" s="66" t="str">
        <f>TEXT(Data[[#This Row],[Buchung]],"MMM")</f>
        <v>Feb</v>
      </c>
      <c r="I2229" s="67">
        <f>YEAR(Data[[#This Row],[Buchung]])</f>
        <v>2021</v>
      </c>
      <c r="J2229" s="2">
        <f>ABS(Data[[#This Row],[Betrag]])</f>
        <v>120</v>
      </c>
      <c r="K2229" s="66" t="str">
        <f>IF(Data[[#This Row],[Betrag]]&lt;0,"A","E")</f>
        <v>A</v>
      </c>
    </row>
    <row r="2230" spans="1:11" x14ac:dyDescent="0.25">
      <c r="A2230" s="1">
        <v>44233</v>
      </c>
      <c r="B2230" s="66" t="s">
        <v>58</v>
      </c>
      <c r="C2230" s="66" t="s">
        <v>59</v>
      </c>
      <c r="D2230" t="s">
        <v>60</v>
      </c>
      <c r="E2230">
        <v>-60</v>
      </c>
      <c r="F2230" s="66" t="s">
        <v>7</v>
      </c>
      <c r="G2230" s="66" t="s">
        <v>10</v>
      </c>
      <c r="H2230" s="66" t="str">
        <f>TEXT(Data[[#This Row],[Buchung]],"MMM")</f>
        <v>Feb</v>
      </c>
      <c r="I2230" s="67">
        <f>YEAR(Data[[#This Row],[Buchung]])</f>
        <v>2021</v>
      </c>
      <c r="J2230" s="2">
        <f>ABS(Data[[#This Row],[Betrag]])</f>
        <v>60</v>
      </c>
      <c r="K2230" s="66" t="str">
        <f>IF(Data[[#This Row],[Betrag]]&lt;0,"A","E")</f>
        <v>A</v>
      </c>
    </row>
    <row r="2231" spans="1:11" x14ac:dyDescent="0.25">
      <c r="A2231" s="1">
        <v>44234</v>
      </c>
      <c r="B2231" s="66" t="s">
        <v>45</v>
      </c>
      <c r="C2231" s="66" t="s">
        <v>46</v>
      </c>
      <c r="D2231" t="s">
        <v>47</v>
      </c>
      <c r="E2231">
        <v>1000</v>
      </c>
      <c r="F2231" s="66" t="s">
        <v>7</v>
      </c>
      <c r="G2231" s="66" t="s">
        <v>9</v>
      </c>
      <c r="H2231" s="66" t="str">
        <f>TEXT(Data[[#This Row],[Buchung]],"MMM")</f>
        <v>Feb</v>
      </c>
      <c r="I2231" s="67">
        <f>YEAR(Data[[#This Row],[Buchung]])</f>
        <v>2021</v>
      </c>
      <c r="J2231" s="2">
        <f>ABS(Data[[#This Row],[Betrag]])</f>
        <v>1000</v>
      </c>
      <c r="K2231" s="66" t="str">
        <f>IF(Data[[#This Row],[Betrag]]&lt;0,"A","E")</f>
        <v>E</v>
      </c>
    </row>
    <row r="2232" spans="1:11" x14ac:dyDescent="0.25">
      <c r="A2232" s="1">
        <v>44235</v>
      </c>
      <c r="B2232" s="66" t="s">
        <v>61</v>
      </c>
      <c r="C2232" s="66" t="s">
        <v>49</v>
      </c>
      <c r="D2232" t="s">
        <v>62</v>
      </c>
      <c r="E2232">
        <v>-10</v>
      </c>
      <c r="F2232" s="66" t="s">
        <v>7</v>
      </c>
      <c r="G2232" s="66" t="s">
        <v>8</v>
      </c>
      <c r="H2232" s="66" t="str">
        <f>TEXT(Data[[#This Row],[Buchung]],"MMM")</f>
        <v>Feb</v>
      </c>
      <c r="I2232" s="67">
        <f>YEAR(Data[[#This Row],[Buchung]])</f>
        <v>2021</v>
      </c>
      <c r="J2232" s="2">
        <f>ABS(Data[[#This Row],[Betrag]])</f>
        <v>10</v>
      </c>
      <c r="K2232" s="66" t="str">
        <f>IF(Data[[#This Row],[Betrag]]&lt;0,"A","E")</f>
        <v>A</v>
      </c>
    </row>
    <row r="2233" spans="1:11" x14ac:dyDescent="0.25">
      <c r="A2233" s="1">
        <v>44236</v>
      </c>
      <c r="B2233" s="66" t="s">
        <v>63</v>
      </c>
      <c r="C2233" s="66" t="s">
        <v>64</v>
      </c>
      <c r="D2233" t="s">
        <v>65</v>
      </c>
      <c r="E2233">
        <v>-70</v>
      </c>
      <c r="F2233" s="66" t="s">
        <v>7</v>
      </c>
      <c r="G2233" s="66" t="s">
        <v>11</v>
      </c>
      <c r="H2233" s="66" t="str">
        <f>TEXT(Data[[#This Row],[Buchung]],"MMM")</f>
        <v>Feb</v>
      </c>
      <c r="I2233" s="67">
        <f>YEAR(Data[[#This Row],[Buchung]])</f>
        <v>2021</v>
      </c>
      <c r="J2233" s="2">
        <f>ABS(Data[[#This Row],[Betrag]])</f>
        <v>70</v>
      </c>
      <c r="K2233" s="66" t="str">
        <f>IF(Data[[#This Row],[Betrag]]&lt;0,"A","E")</f>
        <v>A</v>
      </c>
    </row>
    <row r="2234" spans="1:11" x14ac:dyDescent="0.25">
      <c r="A2234" s="1">
        <v>44237</v>
      </c>
      <c r="B2234" s="66" t="s">
        <v>54</v>
      </c>
      <c r="C2234" s="66" t="s">
        <v>55</v>
      </c>
      <c r="D2234" t="s">
        <v>66</v>
      </c>
      <c r="E2234">
        <v>-80</v>
      </c>
      <c r="F2234" s="66" t="s">
        <v>7</v>
      </c>
      <c r="G2234" s="66" t="s">
        <v>57</v>
      </c>
      <c r="H2234" s="66" t="str">
        <f>TEXT(Data[[#This Row],[Buchung]],"MMM")</f>
        <v>Feb</v>
      </c>
      <c r="I2234" s="67">
        <f>YEAR(Data[[#This Row],[Buchung]])</f>
        <v>2021</v>
      </c>
      <c r="J2234" s="2">
        <f>ABS(Data[[#This Row],[Betrag]])</f>
        <v>80</v>
      </c>
      <c r="K2234" s="66" t="str">
        <f>IF(Data[[#This Row],[Betrag]]&lt;0,"A","E")</f>
        <v>A</v>
      </c>
    </row>
    <row r="2235" spans="1:11" x14ac:dyDescent="0.25">
      <c r="A2235" s="1">
        <v>44238</v>
      </c>
      <c r="B2235" s="66" t="s">
        <v>67</v>
      </c>
      <c r="C2235" s="66" t="s">
        <v>59</v>
      </c>
      <c r="D2235" t="s">
        <v>68</v>
      </c>
      <c r="E2235">
        <v>-25</v>
      </c>
      <c r="F2235" s="66" t="s">
        <v>7</v>
      </c>
      <c r="G2235" s="66" t="s">
        <v>10</v>
      </c>
      <c r="H2235" s="66" t="str">
        <f>TEXT(Data[[#This Row],[Buchung]],"MMM")</f>
        <v>Feb</v>
      </c>
      <c r="I2235" s="67">
        <f>YEAR(Data[[#This Row],[Buchung]])</f>
        <v>2021</v>
      </c>
      <c r="J2235" s="2">
        <f>ABS(Data[[#This Row],[Betrag]])</f>
        <v>25</v>
      </c>
      <c r="K2235" s="66" t="str">
        <f>IF(Data[[#This Row],[Betrag]]&lt;0,"A","E")</f>
        <v>A</v>
      </c>
    </row>
    <row r="2236" spans="1:11" x14ac:dyDescent="0.25">
      <c r="A2236" s="1">
        <v>44239</v>
      </c>
      <c r="B2236" s="66" t="s">
        <v>45</v>
      </c>
      <c r="C2236" s="66" t="s">
        <v>46</v>
      </c>
      <c r="D2236" t="s">
        <v>47</v>
      </c>
      <c r="E2236">
        <v>1000</v>
      </c>
      <c r="F2236" s="66" t="s">
        <v>7</v>
      </c>
      <c r="G2236" s="66" t="s">
        <v>9</v>
      </c>
      <c r="H2236" s="66" t="str">
        <f>TEXT(Data[[#This Row],[Buchung]],"MMM")</f>
        <v>Feb</v>
      </c>
      <c r="I2236" s="67">
        <f>YEAR(Data[[#This Row],[Buchung]])</f>
        <v>2021</v>
      </c>
      <c r="J2236" s="2">
        <f>ABS(Data[[#This Row],[Betrag]])</f>
        <v>1000</v>
      </c>
      <c r="K2236" s="66" t="str">
        <f>IF(Data[[#This Row],[Betrag]]&lt;0,"A","E")</f>
        <v>E</v>
      </c>
    </row>
    <row r="2237" spans="1:11" x14ac:dyDescent="0.25">
      <c r="A2237" s="1">
        <v>44240</v>
      </c>
      <c r="B2237" s="66" t="s">
        <v>48</v>
      </c>
      <c r="C2237" s="66" t="s">
        <v>49</v>
      </c>
      <c r="D2237" t="s">
        <v>50</v>
      </c>
      <c r="E2237">
        <v>-15</v>
      </c>
      <c r="F2237" s="66" t="s">
        <v>7</v>
      </c>
      <c r="G2237" s="66" t="s">
        <v>8</v>
      </c>
      <c r="H2237" s="66" t="str">
        <f>TEXT(Data[[#This Row],[Buchung]],"MMM")</f>
        <v>Feb</v>
      </c>
      <c r="I2237" s="67">
        <f>YEAR(Data[[#This Row],[Buchung]])</f>
        <v>2021</v>
      </c>
      <c r="J2237" s="2">
        <f>ABS(Data[[#This Row],[Betrag]])</f>
        <v>15</v>
      </c>
      <c r="K2237" s="66" t="str">
        <f>IF(Data[[#This Row],[Betrag]]&lt;0,"A","E")</f>
        <v>A</v>
      </c>
    </row>
    <row r="2238" spans="1:11" x14ac:dyDescent="0.25">
      <c r="A2238" s="1">
        <v>44241</v>
      </c>
      <c r="B2238" s="66" t="s">
        <v>51</v>
      </c>
      <c r="C2238" s="66" t="s">
        <v>52</v>
      </c>
      <c r="D2238" t="s">
        <v>53</v>
      </c>
      <c r="E2238">
        <v>-350</v>
      </c>
      <c r="F2238" s="66" t="s">
        <v>7</v>
      </c>
      <c r="G2238" s="66" t="s">
        <v>11</v>
      </c>
      <c r="H2238" s="66" t="str">
        <f>TEXT(Data[[#This Row],[Buchung]],"MMM")</f>
        <v>Feb</v>
      </c>
      <c r="I2238" s="67">
        <f>YEAR(Data[[#This Row],[Buchung]])</f>
        <v>2021</v>
      </c>
      <c r="J2238" s="2">
        <f>ABS(Data[[#This Row],[Betrag]])</f>
        <v>350</v>
      </c>
      <c r="K2238" s="66" t="str">
        <f>IF(Data[[#This Row],[Betrag]]&lt;0,"A","E")</f>
        <v>A</v>
      </c>
    </row>
    <row r="2239" spans="1:11" x14ac:dyDescent="0.25">
      <c r="A2239" s="1">
        <v>44242</v>
      </c>
      <c r="B2239" s="66" t="s">
        <v>54</v>
      </c>
      <c r="C2239" s="66" t="s">
        <v>55</v>
      </c>
      <c r="D2239" t="s">
        <v>56</v>
      </c>
      <c r="E2239">
        <v>-120</v>
      </c>
      <c r="F2239" s="66" t="s">
        <v>7</v>
      </c>
      <c r="G2239" s="66" t="s">
        <v>57</v>
      </c>
      <c r="H2239" s="66" t="str">
        <f>TEXT(Data[[#This Row],[Buchung]],"MMM")</f>
        <v>Feb</v>
      </c>
      <c r="I2239" s="67">
        <f>YEAR(Data[[#This Row],[Buchung]])</f>
        <v>2021</v>
      </c>
      <c r="J2239" s="2">
        <f>ABS(Data[[#This Row],[Betrag]])</f>
        <v>120</v>
      </c>
      <c r="K2239" s="66" t="str">
        <f>IF(Data[[#This Row],[Betrag]]&lt;0,"A","E")</f>
        <v>A</v>
      </c>
    </row>
    <row r="2240" spans="1:11" x14ac:dyDescent="0.25">
      <c r="A2240" s="1">
        <v>44243</v>
      </c>
      <c r="B2240" s="66" t="s">
        <v>58</v>
      </c>
      <c r="C2240" s="66" t="s">
        <v>59</v>
      </c>
      <c r="D2240" t="s">
        <v>60</v>
      </c>
      <c r="E2240">
        <v>-70</v>
      </c>
      <c r="F2240" s="66" t="s">
        <v>7</v>
      </c>
      <c r="G2240" s="66" t="s">
        <v>10</v>
      </c>
      <c r="H2240" s="66" t="str">
        <f>TEXT(Data[[#This Row],[Buchung]],"MMM")</f>
        <v>Feb</v>
      </c>
      <c r="I2240" s="67">
        <f>YEAR(Data[[#This Row],[Buchung]])</f>
        <v>2021</v>
      </c>
      <c r="J2240" s="2">
        <f>ABS(Data[[#This Row],[Betrag]])</f>
        <v>70</v>
      </c>
      <c r="K2240" s="66" t="str">
        <f>IF(Data[[#This Row],[Betrag]]&lt;0,"A","E")</f>
        <v>A</v>
      </c>
    </row>
    <row r="2241" spans="1:11" x14ac:dyDescent="0.25">
      <c r="A2241" s="1">
        <v>44244</v>
      </c>
      <c r="B2241" s="66" t="s">
        <v>45</v>
      </c>
      <c r="C2241" s="66" t="s">
        <v>46</v>
      </c>
      <c r="D2241" t="s">
        <v>47</v>
      </c>
      <c r="E2241">
        <v>1000</v>
      </c>
      <c r="F2241" s="66" t="s">
        <v>7</v>
      </c>
      <c r="G2241" s="66" t="s">
        <v>9</v>
      </c>
      <c r="H2241" s="66" t="str">
        <f>TEXT(Data[[#This Row],[Buchung]],"MMM")</f>
        <v>Feb</v>
      </c>
      <c r="I2241" s="67">
        <f>YEAR(Data[[#This Row],[Buchung]])</f>
        <v>2021</v>
      </c>
      <c r="J2241" s="2">
        <f>ABS(Data[[#This Row],[Betrag]])</f>
        <v>1000</v>
      </c>
      <c r="K2241" s="66" t="str">
        <f>IF(Data[[#This Row],[Betrag]]&lt;0,"A","E")</f>
        <v>E</v>
      </c>
    </row>
    <row r="2242" spans="1:11" x14ac:dyDescent="0.25">
      <c r="A2242" s="1">
        <v>44245</v>
      </c>
      <c r="B2242" s="66" t="s">
        <v>61</v>
      </c>
      <c r="C2242" s="66" t="s">
        <v>49</v>
      </c>
      <c r="D2242" t="s">
        <v>62</v>
      </c>
      <c r="E2242">
        <v>-10</v>
      </c>
      <c r="F2242" s="66" t="s">
        <v>7</v>
      </c>
      <c r="G2242" s="66" t="s">
        <v>8</v>
      </c>
      <c r="H2242" s="66" t="str">
        <f>TEXT(Data[[#This Row],[Buchung]],"MMM")</f>
        <v>Feb</v>
      </c>
      <c r="I2242" s="67">
        <f>YEAR(Data[[#This Row],[Buchung]])</f>
        <v>2021</v>
      </c>
      <c r="J2242" s="2">
        <f>ABS(Data[[#This Row],[Betrag]])</f>
        <v>10</v>
      </c>
      <c r="K2242" s="66" t="str">
        <f>IF(Data[[#This Row],[Betrag]]&lt;0,"A","E")</f>
        <v>A</v>
      </c>
    </row>
    <row r="2243" spans="1:11" x14ac:dyDescent="0.25">
      <c r="A2243" s="1">
        <v>44246</v>
      </c>
      <c r="B2243" s="66" t="s">
        <v>63</v>
      </c>
      <c r="C2243" s="66" t="s">
        <v>64</v>
      </c>
      <c r="D2243" t="s">
        <v>65</v>
      </c>
      <c r="E2243">
        <v>-60</v>
      </c>
      <c r="F2243" s="66" t="s">
        <v>7</v>
      </c>
      <c r="G2243" s="66" t="s">
        <v>11</v>
      </c>
      <c r="H2243" s="66" t="str">
        <f>TEXT(Data[[#This Row],[Buchung]],"MMM")</f>
        <v>Feb</v>
      </c>
      <c r="I2243" s="67">
        <f>YEAR(Data[[#This Row],[Buchung]])</f>
        <v>2021</v>
      </c>
      <c r="J2243" s="2">
        <f>ABS(Data[[#This Row],[Betrag]])</f>
        <v>60</v>
      </c>
      <c r="K2243" s="66" t="str">
        <f>IF(Data[[#This Row],[Betrag]]&lt;0,"A","E")</f>
        <v>A</v>
      </c>
    </row>
    <row r="2244" spans="1:11" x14ac:dyDescent="0.25">
      <c r="A2244" s="1">
        <v>44247</v>
      </c>
      <c r="B2244" s="66" t="s">
        <v>54</v>
      </c>
      <c r="C2244" s="66" t="s">
        <v>55</v>
      </c>
      <c r="D2244" t="s">
        <v>66</v>
      </c>
      <c r="E2244">
        <v>-80</v>
      </c>
      <c r="F2244" s="66" t="s">
        <v>7</v>
      </c>
      <c r="G2244" s="66" t="s">
        <v>57</v>
      </c>
      <c r="H2244" s="66" t="str">
        <f>TEXT(Data[[#This Row],[Buchung]],"MMM")</f>
        <v>Feb</v>
      </c>
      <c r="I2244" s="67">
        <f>YEAR(Data[[#This Row],[Buchung]])</f>
        <v>2021</v>
      </c>
      <c r="J2244" s="2">
        <f>ABS(Data[[#This Row],[Betrag]])</f>
        <v>80</v>
      </c>
      <c r="K2244" s="66" t="str">
        <f>IF(Data[[#This Row],[Betrag]]&lt;0,"A","E")</f>
        <v>A</v>
      </c>
    </row>
    <row r="2245" spans="1:11" x14ac:dyDescent="0.25">
      <c r="A2245" s="1">
        <v>44248</v>
      </c>
      <c r="B2245" s="66" t="s">
        <v>67</v>
      </c>
      <c r="C2245" s="66" t="s">
        <v>59</v>
      </c>
      <c r="D2245" t="s">
        <v>68</v>
      </c>
      <c r="E2245">
        <v>-30</v>
      </c>
      <c r="F2245" s="66" t="s">
        <v>7</v>
      </c>
      <c r="G2245" s="66" t="s">
        <v>10</v>
      </c>
      <c r="H2245" s="66" t="str">
        <f>TEXT(Data[[#This Row],[Buchung]],"MMM")</f>
        <v>Feb</v>
      </c>
      <c r="I2245" s="67">
        <f>YEAR(Data[[#This Row],[Buchung]])</f>
        <v>2021</v>
      </c>
      <c r="J2245" s="2">
        <f>ABS(Data[[#This Row],[Betrag]])</f>
        <v>30</v>
      </c>
      <c r="K2245" s="66" t="str">
        <f>IF(Data[[#This Row],[Betrag]]&lt;0,"A","E")</f>
        <v>A</v>
      </c>
    </row>
    <row r="2246" spans="1:11" x14ac:dyDescent="0.25">
      <c r="A2246" s="1">
        <v>44249</v>
      </c>
      <c r="B2246" s="66" t="s">
        <v>45</v>
      </c>
      <c r="C2246" s="66" t="s">
        <v>46</v>
      </c>
      <c r="D2246" t="s">
        <v>47</v>
      </c>
      <c r="E2246">
        <v>1000</v>
      </c>
      <c r="F2246" s="66" t="s">
        <v>7</v>
      </c>
      <c r="G2246" s="66" t="s">
        <v>9</v>
      </c>
      <c r="H2246" s="66" t="str">
        <f>TEXT(Data[[#This Row],[Buchung]],"MMM")</f>
        <v>Feb</v>
      </c>
      <c r="I2246" s="67">
        <f>YEAR(Data[[#This Row],[Buchung]])</f>
        <v>2021</v>
      </c>
      <c r="J2246" s="2">
        <f>ABS(Data[[#This Row],[Betrag]])</f>
        <v>1000</v>
      </c>
      <c r="K2246" s="66" t="str">
        <f>IF(Data[[#This Row],[Betrag]]&lt;0,"A","E")</f>
        <v>E</v>
      </c>
    </row>
    <row r="2247" spans="1:11" x14ac:dyDescent="0.25">
      <c r="A2247" s="1">
        <v>44250</v>
      </c>
      <c r="B2247" s="66" t="s">
        <v>48</v>
      </c>
      <c r="C2247" s="66" t="s">
        <v>49</v>
      </c>
      <c r="D2247" t="s">
        <v>50</v>
      </c>
      <c r="E2247">
        <v>-15</v>
      </c>
      <c r="F2247" s="66" t="s">
        <v>7</v>
      </c>
      <c r="G2247" s="66" t="s">
        <v>8</v>
      </c>
      <c r="H2247" s="66" t="str">
        <f>TEXT(Data[[#This Row],[Buchung]],"MMM")</f>
        <v>Feb</v>
      </c>
      <c r="I2247" s="67">
        <f>YEAR(Data[[#This Row],[Buchung]])</f>
        <v>2021</v>
      </c>
      <c r="J2247" s="2">
        <f>ABS(Data[[#This Row],[Betrag]])</f>
        <v>15</v>
      </c>
      <c r="K2247" s="66" t="str">
        <f>IF(Data[[#This Row],[Betrag]]&lt;0,"A","E")</f>
        <v>A</v>
      </c>
    </row>
    <row r="2248" spans="1:11" x14ac:dyDescent="0.25">
      <c r="A2248" s="1">
        <v>44251</v>
      </c>
      <c r="B2248" s="66" t="s">
        <v>51</v>
      </c>
      <c r="C2248" s="66" t="s">
        <v>52</v>
      </c>
      <c r="D2248" t="s">
        <v>53</v>
      </c>
      <c r="E2248">
        <v>-350</v>
      </c>
      <c r="F2248" s="66" t="s">
        <v>7</v>
      </c>
      <c r="G2248" s="66" t="s">
        <v>11</v>
      </c>
      <c r="H2248" s="66" t="str">
        <f>TEXT(Data[[#This Row],[Buchung]],"MMM")</f>
        <v>Feb</v>
      </c>
      <c r="I2248" s="67">
        <f>YEAR(Data[[#This Row],[Buchung]])</f>
        <v>2021</v>
      </c>
      <c r="J2248" s="2">
        <f>ABS(Data[[#This Row],[Betrag]])</f>
        <v>350</v>
      </c>
      <c r="K2248" s="66" t="str">
        <f>IF(Data[[#This Row],[Betrag]]&lt;0,"A","E")</f>
        <v>A</v>
      </c>
    </row>
    <row r="2249" spans="1:11" x14ac:dyDescent="0.25">
      <c r="A2249" s="1">
        <v>44252</v>
      </c>
      <c r="B2249" s="66" t="s">
        <v>54</v>
      </c>
      <c r="C2249" s="66" t="s">
        <v>55</v>
      </c>
      <c r="D2249" t="s">
        <v>56</v>
      </c>
      <c r="E2249">
        <v>-120</v>
      </c>
      <c r="F2249" s="66" t="s">
        <v>7</v>
      </c>
      <c r="G2249" s="66" t="s">
        <v>57</v>
      </c>
      <c r="H2249" s="66" t="str">
        <f>TEXT(Data[[#This Row],[Buchung]],"MMM")</f>
        <v>Feb</v>
      </c>
      <c r="I2249" s="67">
        <f>YEAR(Data[[#This Row],[Buchung]])</f>
        <v>2021</v>
      </c>
      <c r="J2249" s="2">
        <f>ABS(Data[[#This Row],[Betrag]])</f>
        <v>120</v>
      </c>
      <c r="K2249" s="66" t="str">
        <f>IF(Data[[#This Row],[Betrag]]&lt;0,"A","E")</f>
        <v>A</v>
      </c>
    </row>
    <row r="2250" spans="1:11" x14ac:dyDescent="0.25">
      <c r="A2250" s="1">
        <v>44253</v>
      </c>
      <c r="B2250" s="66" t="s">
        <v>58</v>
      </c>
      <c r="C2250" s="66" t="s">
        <v>59</v>
      </c>
      <c r="D2250" t="s">
        <v>60</v>
      </c>
      <c r="E2250">
        <v>-80</v>
      </c>
      <c r="F2250" s="66" t="s">
        <v>7</v>
      </c>
      <c r="G2250" s="66" t="s">
        <v>10</v>
      </c>
      <c r="H2250" s="66" t="str">
        <f>TEXT(Data[[#This Row],[Buchung]],"MMM")</f>
        <v>Feb</v>
      </c>
      <c r="I2250" s="67">
        <f>YEAR(Data[[#This Row],[Buchung]])</f>
        <v>2021</v>
      </c>
      <c r="J2250" s="2">
        <f>ABS(Data[[#This Row],[Betrag]])</f>
        <v>80</v>
      </c>
      <c r="K2250" s="66" t="str">
        <f>IF(Data[[#This Row],[Betrag]]&lt;0,"A","E")</f>
        <v>A</v>
      </c>
    </row>
    <row r="2251" spans="1:11" x14ac:dyDescent="0.25">
      <c r="A2251" s="1">
        <v>44254</v>
      </c>
      <c r="B2251" s="66" t="s">
        <v>45</v>
      </c>
      <c r="C2251" s="66" t="s">
        <v>46</v>
      </c>
      <c r="D2251" t="s">
        <v>47</v>
      </c>
      <c r="E2251">
        <v>1000</v>
      </c>
      <c r="F2251" s="66" t="s">
        <v>7</v>
      </c>
      <c r="G2251" s="66" t="s">
        <v>9</v>
      </c>
      <c r="H2251" s="66" t="str">
        <f>TEXT(Data[[#This Row],[Buchung]],"MMM")</f>
        <v>Feb</v>
      </c>
      <c r="I2251" s="67">
        <f>YEAR(Data[[#This Row],[Buchung]])</f>
        <v>2021</v>
      </c>
      <c r="J2251" s="2">
        <f>ABS(Data[[#This Row],[Betrag]])</f>
        <v>1000</v>
      </c>
      <c r="K2251" s="66" t="str">
        <f>IF(Data[[#This Row],[Betrag]]&lt;0,"A","E")</f>
        <v>E</v>
      </c>
    </row>
    <row r="2252" spans="1:11" x14ac:dyDescent="0.25">
      <c r="A2252" s="1">
        <v>44255</v>
      </c>
      <c r="B2252" s="66" t="s">
        <v>61</v>
      </c>
      <c r="C2252" s="66" t="s">
        <v>49</v>
      </c>
      <c r="D2252" t="s">
        <v>62</v>
      </c>
      <c r="E2252">
        <v>-10</v>
      </c>
      <c r="F2252" s="66" t="s">
        <v>7</v>
      </c>
      <c r="G2252" s="66" t="s">
        <v>8</v>
      </c>
      <c r="H2252" s="66" t="str">
        <f>TEXT(Data[[#This Row],[Buchung]],"MMM")</f>
        <v>Feb</v>
      </c>
      <c r="I2252" s="67">
        <f>YEAR(Data[[#This Row],[Buchung]])</f>
        <v>2021</v>
      </c>
      <c r="J2252" s="2">
        <f>ABS(Data[[#This Row],[Betrag]])</f>
        <v>10</v>
      </c>
      <c r="K2252" s="66" t="str">
        <f>IF(Data[[#This Row],[Betrag]]&lt;0,"A","E")</f>
        <v>A</v>
      </c>
    </row>
    <row r="2253" spans="1:11" x14ac:dyDescent="0.25">
      <c r="A2253" s="1">
        <v>44256</v>
      </c>
      <c r="B2253" s="66" t="s">
        <v>63</v>
      </c>
      <c r="C2253" s="66" t="s">
        <v>64</v>
      </c>
      <c r="D2253" t="s">
        <v>65</v>
      </c>
      <c r="E2253">
        <v>-65</v>
      </c>
      <c r="F2253" s="66" t="s">
        <v>7</v>
      </c>
      <c r="G2253" s="66" t="s">
        <v>11</v>
      </c>
      <c r="H2253" s="66" t="str">
        <f>TEXT(Data[[#This Row],[Buchung]],"MMM")</f>
        <v>Mrz</v>
      </c>
      <c r="I2253" s="67">
        <f>YEAR(Data[[#This Row],[Buchung]])</f>
        <v>2021</v>
      </c>
      <c r="J2253" s="2">
        <f>ABS(Data[[#This Row],[Betrag]])</f>
        <v>65</v>
      </c>
      <c r="K2253" s="66" t="str">
        <f>IF(Data[[#This Row],[Betrag]]&lt;0,"A","E")</f>
        <v>A</v>
      </c>
    </row>
    <row r="2254" spans="1:11" x14ac:dyDescent="0.25">
      <c r="A2254" s="1">
        <v>44257</v>
      </c>
      <c r="B2254" s="66" t="s">
        <v>54</v>
      </c>
      <c r="C2254" s="66" t="s">
        <v>55</v>
      </c>
      <c r="D2254" t="s">
        <v>66</v>
      </c>
      <c r="E2254">
        <v>-80</v>
      </c>
      <c r="F2254" s="66" t="s">
        <v>7</v>
      </c>
      <c r="G2254" s="66" t="s">
        <v>57</v>
      </c>
      <c r="H2254" s="66" t="str">
        <f>TEXT(Data[[#This Row],[Buchung]],"MMM")</f>
        <v>Mrz</v>
      </c>
      <c r="I2254" s="67">
        <f>YEAR(Data[[#This Row],[Buchung]])</f>
        <v>2021</v>
      </c>
      <c r="J2254" s="2">
        <f>ABS(Data[[#This Row],[Betrag]])</f>
        <v>80</v>
      </c>
      <c r="K2254" s="66" t="str">
        <f>IF(Data[[#This Row],[Betrag]]&lt;0,"A","E")</f>
        <v>A</v>
      </c>
    </row>
    <row r="2255" spans="1:11" x14ac:dyDescent="0.25">
      <c r="A2255" s="1">
        <v>44258</v>
      </c>
      <c r="B2255" s="66" t="s">
        <v>67</v>
      </c>
      <c r="C2255" s="66" t="s">
        <v>59</v>
      </c>
      <c r="D2255" t="s">
        <v>68</v>
      </c>
      <c r="E2255">
        <v>-35</v>
      </c>
      <c r="F2255" s="66" t="s">
        <v>7</v>
      </c>
      <c r="G2255" s="66" t="s">
        <v>10</v>
      </c>
      <c r="H2255" s="66" t="str">
        <f>TEXT(Data[[#This Row],[Buchung]],"MMM")</f>
        <v>Mrz</v>
      </c>
      <c r="I2255" s="67">
        <f>YEAR(Data[[#This Row],[Buchung]])</f>
        <v>2021</v>
      </c>
      <c r="J2255" s="2">
        <f>ABS(Data[[#This Row],[Betrag]])</f>
        <v>35</v>
      </c>
      <c r="K2255" s="66" t="str">
        <f>IF(Data[[#This Row],[Betrag]]&lt;0,"A","E")</f>
        <v>A</v>
      </c>
    </row>
    <row r="2256" spans="1:11" x14ac:dyDescent="0.25">
      <c r="A2256" s="1">
        <v>44259</v>
      </c>
      <c r="B2256" s="66" t="s">
        <v>45</v>
      </c>
      <c r="C2256" s="66" t="s">
        <v>46</v>
      </c>
      <c r="D2256" t="s">
        <v>47</v>
      </c>
      <c r="E2256">
        <v>1000</v>
      </c>
      <c r="F2256" s="66" t="s">
        <v>7</v>
      </c>
      <c r="G2256" s="66" t="s">
        <v>9</v>
      </c>
      <c r="H2256" s="66" t="str">
        <f>TEXT(Data[[#This Row],[Buchung]],"MMM")</f>
        <v>Mrz</v>
      </c>
      <c r="I2256" s="67">
        <f>YEAR(Data[[#This Row],[Buchung]])</f>
        <v>2021</v>
      </c>
      <c r="J2256" s="2">
        <f>ABS(Data[[#This Row],[Betrag]])</f>
        <v>1000</v>
      </c>
      <c r="K2256" s="66" t="str">
        <f>IF(Data[[#This Row],[Betrag]]&lt;0,"A","E")</f>
        <v>E</v>
      </c>
    </row>
    <row r="2257" spans="1:11" x14ac:dyDescent="0.25">
      <c r="A2257" s="1">
        <v>44260</v>
      </c>
      <c r="B2257" s="66" t="s">
        <v>45</v>
      </c>
      <c r="C2257" s="66" t="s">
        <v>46</v>
      </c>
      <c r="D2257" t="s">
        <v>47</v>
      </c>
      <c r="E2257">
        <v>1000</v>
      </c>
      <c r="F2257" s="66" t="s">
        <v>7</v>
      </c>
      <c r="G2257" s="66" t="s">
        <v>9</v>
      </c>
      <c r="H2257" s="66" t="str">
        <f>TEXT(Data[[#This Row],[Buchung]],"MMM")</f>
        <v>Mrz</v>
      </c>
      <c r="I2257" s="67">
        <f>YEAR(Data[[#This Row],[Buchung]])</f>
        <v>2021</v>
      </c>
      <c r="J2257" s="2">
        <f>ABS(Data[[#This Row],[Betrag]])</f>
        <v>1000</v>
      </c>
      <c r="K2257" s="66" t="str">
        <f>IF(Data[[#This Row],[Betrag]]&lt;0,"A","E")</f>
        <v>E</v>
      </c>
    </row>
    <row r="2258" spans="1:11" x14ac:dyDescent="0.25">
      <c r="A2258" s="1">
        <v>44261</v>
      </c>
      <c r="B2258" s="66" t="s">
        <v>48</v>
      </c>
      <c r="C2258" s="66" t="s">
        <v>49</v>
      </c>
      <c r="D2258" t="s">
        <v>50</v>
      </c>
      <c r="E2258">
        <v>-15</v>
      </c>
      <c r="F2258" s="66" t="s">
        <v>7</v>
      </c>
      <c r="G2258" s="66" t="s">
        <v>8</v>
      </c>
      <c r="H2258" s="66" t="str">
        <f>TEXT(Data[[#This Row],[Buchung]],"MMM")</f>
        <v>Mrz</v>
      </c>
      <c r="I2258" s="67">
        <f>YEAR(Data[[#This Row],[Buchung]])</f>
        <v>2021</v>
      </c>
      <c r="J2258" s="2">
        <f>ABS(Data[[#This Row],[Betrag]])</f>
        <v>15</v>
      </c>
      <c r="K2258" s="66" t="str">
        <f>IF(Data[[#This Row],[Betrag]]&lt;0,"A","E")</f>
        <v>A</v>
      </c>
    </row>
    <row r="2259" spans="1:11" x14ac:dyDescent="0.25">
      <c r="A2259" s="1">
        <v>44262</v>
      </c>
      <c r="B2259" s="66" t="s">
        <v>51</v>
      </c>
      <c r="C2259" s="66" t="s">
        <v>52</v>
      </c>
      <c r="D2259" t="s">
        <v>53</v>
      </c>
      <c r="E2259">
        <v>-350</v>
      </c>
      <c r="F2259" s="66" t="s">
        <v>7</v>
      </c>
      <c r="G2259" s="66" t="s">
        <v>11</v>
      </c>
      <c r="H2259" s="66" t="str">
        <f>TEXT(Data[[#This Row],[Buchung]],"MMM")</f>
        <v>Mrz</v>
      </c>
      <c r="I2259" s="67">
        <f>YEAR(Data[[#This Row],[Buchung]])</f>
        <v>2021</v>
      </c>
      <c r="J2259" s="2">
        <f>ABS(Data[[#This Row],[Betrag]])</f>
        <v>350</v>
      </c>
      <c r="K2259" s="66" t="str">
        <f>IF(Data[[#This Row],[Betrag]]&lt;0,"A","E")</f>
        <v>A</v>
      </c>
    </row>
    <row r="2260" spans="1:11" x14ac:dyDescent="0.25">
      <c r="A2260" s="1">
        <v>44263</v>
      </c>
      <c r="B2260" s="66" t="s">
        <v>54</v>
      </c>
      <c r="C2260" s="66" t="s">
        <v>55</v>
      </c>
      <c r="D2260" t="s">
        <v>56</v>
      </c>
      <c r="E2260">
        <v>-120</v>
      </c>
      <c r="F2260" s="66" t="s">
        <v>7</v>
      </c>
      <c r="G2260" s="66" t="s">
        <v>57</v>
      </c>
      <c r="H2260" s="66" t="str">
        <f>TEXT(Data[[#This Row],[Buchung]],"MMM")</f>
        <v>Mrz</v>
      </c>
      <c r="I2260" s="67">
        <f>YEAR(Data[[#This Row],[Buchung]])</f>
        <v>2021</v>
      </c>
      <c r="J2260" s="2">
        <f>ABS(Data[[#This Row],[Betrag]])</f>
        <v>120</v>
      </c>
      <c r="K2260" s="66" t="str">
        <f>IF(Data[[#This Row],[Betrag]]&lt;0,"A","E")</f>
        <v>A</v>
      </c>
    </row>
    <row r="2261" spans="1:11" x14ac:dyDescent="0.25">
      <c r="A2261" s="1">
        <v>44264</v>
      </c>
      <c r="B2261" s="66" t="s">
        <v>58</v>
      </c>
      <c r="C2261" s="66" t="s">
        <v>59</v>
      </c>
      <c r="D2261" t="s">
        <v>60</v>
      </c>
      <c r="E2261">
        <v>-50</v>
      </c>
      <c r="F2261" s="66" t="s">
        <v>7</v>
      </c>
      <c r="G2261" s="66" t="s">
        <v>10</v>
      </c>
      <c r="H2261" s="66" t="str">
        <f>TEXT(Data[[#This Row],[Buchung]],"MMM")</f>
        <v>Mrz</v>
      </c>
      <c r="I2261" s="67">
        <f>YEAR(Data[[#This Row],[Buchung]])</f>
        <v>2021</v>
      </c>
      <c r="J2261" s="2">
        <f>ABS(Data[[#This Row],[Betrag]])</f>
        <v>50</v>
      </c>
      <c r="K2261" s="66" t="str">
        <f>IF(Data[[#This Row],[Betrag]]&lt;0,"A","E")</f>
        <v>A</v>
      </c>
    </row>
    <row r="2262" spans="1:11" x14ac:dyDescent="0.25">
      <c r="A2262" s="1">
        <v>44265</v>
      </c>
      <c r="B2262" s="66" t="s">
        <v>45</v>
      </c>
      <c r="C2262" s="66" t="s">
        <v>46</v>
      </c>
      <c r="D2262" t="s">
        <v>47</v>
      </c>
      <c r="E2262">
        <v>1000</v>
      </c>
      <c r="F2262" s="66" t="s">
        <v>7</v>
      </c>
      <c r="G2262" s="66" t="s">
        <v>9</v>
      </c>
      <c r="H2262" s="66" t="str">
        <f>TEXT(Data[[#This Row],[Buchung]],"MMM")</f>
        <v>Mrz</v>
      </c>
      <c r="I2262" s="67">
        <f>YEAR(Data[[#This Row],[Buchung]])</f>
        <v>2021</v>
      </c>
      <c r="J2262" s="2">
        <f>ABS(Data[[#This Row],[Betrag]])</f>
        <v>1000</v>
      </c>
      <c r="K2262" s="66" t="str">
        <f>IF(Data[[#This Row],[Betrag]]&lt;0,"A","E")</f>
        <v>E</v>
      </c>
    </row>
    <row r="2263" spans="1:11" x14ac:dyDescent="0.25">
      <c r="A2263" s="1">
        <v>44266</v>
      </c>
      <c r="B2263" s="66" t="s">
        <v>61</v>
      </c>
      <c r="C2263" s="66" t="s">
        <v>49</v>
      </c>
      <c r="D2263" t="s">
        <v>62</v>
      </c>
      <c r="E2263">
        <v>-10</v>
      </c>
      <c r="F2263" s="66" t="s">
        <v>7</v>
      </c>
      <c r="G2263" s="66" t="s">
        <v>8</v>
      </c>
      <c r="H2263" s="66" t="str">
        <f>TEXT(Data[[#This Row],[Buchung]],"MMM")</f>
        <v>Mrz</v>
      </c>
      <c r="I2263" s="67">
        <f>YEAR(Data[[#This Row],[Buchung]])</f>
        <v>2021</v>
      </c>
      <c r="J2263" s="2">
        <f>ABS(Data[[#This Row],[Betrag]])</f>
        <v>10</v>
      </c>
      <c r="K2263" s="66" t="str">
        <f>IF(Data[[#This Row],[Betrag]]&lt;0,"A","E")</f>
        <v>A</v>
      </c>
    </row>
    <row r="2264" spans="1:11" x14ac:dyDescent="0.25">
      <c r="A2264" s="1">
        <v>44267</v>
      </c>
      <c r="B2264" s="66" t="s">
        <v>63</v>
      </c>
      <c r="C2264" s="66" t="s">
        <v>64</v>
      </c>
      <c r="D2264" t="s">
        <v>65</v>
      </c>
      <c r="E2264">
        <v>-60</v>
      </c>
      <c r="F2264" s="66" t="s">
        <v>7</v>
      </c>
      <c r="G2264" s="66" t="s">
        <v>11</v>
      </c>
      <c r="H2264" s="66" t="str">
        <f>TEXT(Data[[#This Row],[Buchung]],"MMM")</f>
        <v>Mrz</v>
      </c>
      <c r="I2264" s="67">
        <f>YEAR(Data[[#This Row],[Buchung]])</f>
        <v>2021</v>
      </c>
      <c r="J2264" s="2">
        <f>ABS(Data[[#This Row],[Betrag]])</f>
        <v>60</v>
      </c>
      <c r="K2264" s="66" t="str">
        <f>IF(Data[[#This Row],[Betrag]]&lt;0,"A","E")</f>
        <v>A</v>
      </c>
    </row>
    <row r="2265" spans="1:11" x14ac:dyDescent="0.25">
      <c r="A2265" s="1">
        <v>44268</v>
      </c>
      <c r="B2265" s="66" t="s">
        <v>54</v>
      </c>
      <c r="C2265" s="66" t="s">
        <v>55</v>
      </c>
      <c r="D2265" t="s">
        <v>66</v>
      </c>
      <c r="E2265">
        <v>-80</v>
      </c>
      <c r="F2265" s="66" t="s">
        <v>7</v>
      </c>
      <c r="G2265" s="66" t="s">
        <v>57</v>
      </c>
      <c r="H2265" s="66" t="str">
        <f>TEXT(Data[[#This Row],[Buchung]],"MMM")</f>
        <v>Mrz</v>
      </c>
      <c r="I2265" s="67">
        <f>YEAR(Data[[#This Row],[Buchung]])</f>
        <v>2021</v>
      </c>
      <c r="J2265" s="2">
        <f>ABS(Data[[#This Row],[Betrag]])</f>
        <v>80</v>
      </c>
      <c r="K2265" s="66" t="str">
        <f>IF(Data[[#This Row],[Betrag]]&lt;0,"A","E")</f>
        <v>A</v>
      </c>
    </row>
    <row r="2266" spans="1:11" x14ac:dyDescent="0.25">
      <c r="A2266" s="1">
        <v>44269</v>
      </c>
      <c r="B2266" s="66" t="s">
        <v>67</v>
      </c>
      <c r="C2266" s="66" t="s">
        <v>59</v>
      </c>
      <c r="D2266" t="s">
        <v>68</v>
      </c>
      <c r="E2266">
        <v>-20</v>
      </c>
      <c r="F2266" s="66" t="s">
        <v>7</v>
      </c>
      <c r="G2266" s="66" t="s">
        <v>10</v>
      </c>
      <c r="H2266" s="66" t="str">
        <f>TEXT(Data[[#This Row],[Buchung]],"MMM")</f>
        <v>Mrz</v>
      </c>
      <c r="I2266" s="67">
        <f>YEAR(Data[[#This Row],[Buchung]])</f>
        <v>2021</v>
      </c>
      <c r="J2266" s="2">
        <f>ABS(Data[[#This Row],[Betrag]])</f>
        <v>20</v>
      </c>
      <c r="K2266" s="66" t="str">
        <f>IF(Data[[#This Row],[Betrag]]&lt;0,"A","E")</f>
        <v>A</v>
      </c>
    </row>
    <row r="2267" spans="1:11" x14ac:dyDescent="0.25">
      <c r="A2267" s="1">
        <v>44270</v>
      </c>
      <c r="B2267" s="66" t="s">
        <v>45</v>
      </c>
      <c r="C2267" s="66" t="s">
        <v>46</v>
      </c>
      <c r="D2267" t="s">
        <v>47</v>
      </c>
      <c r="E2267">
        <v>1000</v>
      </c>
      <c r="F2267" s="66" t="s">
        <v>7</v>
      </c>
      <c r="G2267" s="66" t="s">
        <v>9</v>
      </c>
      <c r="H2267" s="66" t="str">
        <f>TEXT(Data[[#This Row],[Buchung]],"MMM")</f>
        <v>Mrz</v>
      </c>
      <c r="I2267" s="67">
        <f>YEAR(Data[[#This Row],[Buchung]])</f>
        <v>2021</v>
      </c>
      <c r="J2267" s="2">
        <f>ABS(Data[[#This Row],[Betrag]])</f>
        <v>1000</v>
      </c>
      <c r="K2267" s="66" t="str">
        <f>IF(Data[[#This Row],[Betrag]]&lt;0,"A","E")</f>
        <v>E</v>
      </c>
    </row>
    <row r="2268" spans="1:11" x14ac:dyDescent="0.25">
      <c r="A2268" s="1">
        <v>44271</v>
      </c>
      <c r="B2268" s="66" t="s">
        <v>48</v>
      </c>
      <c r="C2268" s="66" t="s">
        <v>49</v>
      </c>
      <c r="D2268" t="s">
        <v>50</v>
      </c>
      <c r="E2268">
        <v>-15</v>
      </c>
      <c r="F2268" s="66" t="s">
        <v>7</v>
      </c>
      <c r="G2268" s="66" t="s">
        <v>8</v>
      </c>
      <c r="H2268" s="66" t="str">
        <f>TEXT(Data[[#This Row],[Buchung]],"MMM")</f>
        <v>Mrz</v>
      </c>
      <c r="I2268" s="67">
        <f>YEAR(Data[[#This Row],[Buchung]])</f>
        <v>2021</v>
      </c>
      <c r="J2268" s="2">
        <f>ABS(Data[[#This Row],[Betrag]])</f>
        <v>15</v>
      </c>
      <c r="K2268" s="66" t="str">
        <f>IF(Data[[#This Row],[Betrag]]&lt;0,"A","E")</f>
        <v>A</v>
      </c>
    </row>
    <row r="2269" spans="1:11" x14ac:dyDescent="0.25">
      <c r="A2269" s="1">
        <v>44272</v>
      </c>
      <c r="B2269" s="66" t="s">
        <v>51</v>
      </c>
      <c r="C2269" s="66" t="s">
        <v>52</v>
      </c>
      <c r="D2269" t="s">
        <v>53</v>
      </c>
      <c r="E2269">
        <v>-350</v>
      </c>
      <c r="F2269" s="66" t="s">
        <v>7</v>
      </c>
      <c r="G2269" s="66" t="s">
        <v>11</v>
      </c>
      <c r="H2269" s="66" t="str">
        <f>TEXT(Data[[#This Row],[Buchung]],"MMM")</f>
        <v>Mrz</v>
      </c>
      <c r="I2269" s="67">
        <f>YEAR(Data[[#This Row],[Buchung]])</f>
        <v>2021</v>
      </c>
      <c r="J2269" s="2">
        <f>ABS(Data[[#This Row],[Betrag]])</f>
        <v>350</v>
      </c>
      <c r="K2269" s="66" t="str">
        <f>IF(Data[[#This Row],[Betrag]]&lt;0,"A","E")</f>
        <v>A</v>
      </c>
    </row>
    <row r="2270" spans="1:11" x14ac:dyDescent="0.25">
      <c r="A2270" s="1">
        <v>44273</v>
      </c>
      <c r="B2270" s="66" t="s">
        <v>54</v>
      </c>
      <c r="C2270" s="66" t="s">
        <v>55</v>
      </c>
      <c r="D2270" t="s">
        <v>56</v>
      </c>
      <c r="E2270">
        <v>-120</v>
      </c>
      <c r="F2270" s="66" t="s">
        <v>7</v>
      </c>
      <c r="G2270" s="66" t="s">
        <v>57</v>
      </c>
      <c r="H2270" s="66" t="str">
        <f>TEXT(Data[[#This Row],[Buchung]],"MMM")</f>
        <v>Mrz</v>
      </c>
      <c r="I2270" s="67">
        <f>YEAR(Data[[#This Row],[Buchung]])</f>
        <v>2021</v>
      </c>
      <c r="J2270" s="2">
        <f>ABS(Data[[#This Row],[Betrag]])</f>
        <v>120</v>
      </c>
      <c r="K2270" s="66" t="str">
        <f>IF(Data[[#This Row],[Betrag]]&lt;0,"A","E")</f>
        <v>A</v>
      </c>
    </row>
    <row r="2271" spans="1:11" x14ac:dyDescent="0.25">
      <c r="A2271" s="1">
        <v>44274</v>
      </c>
      <c r="B2271" s="66" t="s">
        <v>58</v>
      </c>
      <c r="C2271" s="66" t="s">
        <v>59</v>
      </c>
      <c r="D2271" t="s">
        <v>60</v>
      </c>
      <c r="E2271">
        <v>-60</v>
      </c>
      <c r="F2271" s="66" t="s">
        <v>7</v>
      </c>
      <c r="G2271" s="66" t="s">
        <v>10</v>
      </c>
      <c r="H2271" s="66" t="str">
        <f>TEXT(Data[[#This Row],[Buchung]],"MMM")</f>
        <v>Mrz</v>
      </c>
      <c r="I2271" s="67">
        <f>YEAR(Data[[#This Row],[Buchung]])</f>
        <v>2021</v>
      </c>
      <c r="J2271" s="2">
        <f>ABS(Data[[#This Row],[Betrag]])</f>
        <v>60</v>
      </c>
      <c r="K2271" s="66" t="str">
        <f>IF(Data[[#This Row],[Betrag]]&lt;0,"A","E")</f>
        <v>A</v>
      </c>
    </row>
    <row r="2272" spans="1:11" x14ac:dyDescent="0.25">
      <c r="A2272" s="1">
        <v>44275</v>
      </c>
      <c r="B2272" s="66" t="s">
        <v>45</v>
      </c>
      <c r="C2272" s="66" t="s">
        <v>46</v>
      </c>
      <c r="D2272" t="s">
        <v>47</v>
      </c>
      <c r="E2272">
        <v>1000</v>
      </c>
      <c r="F2272" s="66" t="s">
        <v>7</v>
      </c>
      <c r="G2272" s="66" t="s">
        <v>9</v>
      </c>
      <c r="H2272" s="66" t="str">
        <f>TEXT(Data[[#This Row],[Buchung]],"MMM")</f>
        <v>Mrz</v>
      </c>
      <c r="I2272" s="67">
        <f>YEAR(Data[[#This Row],[Buchung]])</f>
        <v>2021</v>
      </c>
      <c r="J2272" s="2">
        <f>ABS(Data[[#This Row],[Betrag]])</f>
        <v>1000</v>
      </c>
      <c r="K2272" s="66" t="str">
        <f>IF(Data[[#This Row],[Betrag]]&lt;0,"A","E")</f>
        <v>E</v>
      </c>
    </row>
    <row r="2273" spans="1:11" x14ac:dyDescent="0.25">
      <c r="A2273" s="1">
        <v>44276</v>
      </c>
      <c r="B2273" s="66" t="s">
        <v>61</v>
      </c>
      <c r="C2273" s="66" t="s">
        <v>49</v>
      </c>
      <c r="D2273" t="s">
        <v>62</v>
      </c>
      <c r="E2273">
        <v>-10</v>
      </c>
      <c r="F2273" s="66" t="s">
        <v>7</v>
      </c>
      <c r="G2273" s="66" t="s">
        <v>8</v>
      </c>
      <c r="H2273" s="66" t="str">
        <f>TEXT(Data[[#This Row],[Buchung]],"MMM")</f>
        <v>Mrz</v>
      </c>
      <c r="I2273" s="67">
        <f>YEAR(Data[[#This Row],[Buchung]])</f>
        <v>2021</v>
      </c>
      <c r="J2273" s="2">
        <f>ABS(Data[[#This Row],[Betrag]])</f>
        <v>10</v>
      </c>
      <c r="K2273" s="66" t="str">
        <f>IF(Data[[#This Row],[Betrag]]&lt;0,"A","E")</f>
        <v>A</v>
      </c>
    </row>
    <row r="2274" spans="1:11" x14ac:dyDescent="0.25">
      <c r="A2274" s="1">
        <v>44277</v>
      </c>
      <c r="B2274" s="66" t="s">
        <v>63</v>
      </c>
      <c r="C2274" s="66" t="s">
        <v>64</v>
      </c>
      <c r="D2274" t="s">
        <v>65</v>
      </c>
      <c r="E2274">
        <v>-70</v>
      </c>
      <c r="F2274" s="66" t="s">
        <v>7</v>
      </c>
      <c r="G2274" s="66" t="s">
        <v>11</v>
      </c>
      <c r="H2274" s="66" t="str">
        <f>TEXT(Data[[#This Row],[Buchung]],"MMM")</f>
        <v>Mrz</v>
      </c>
      <c r="I2274" s="67">
        <f>YEAR(Data[[#This Row],[Buchung]])</f>
        <v>2021</v>
      </c>
      <c r="J2274" s="2">
        <f>ABS(Data[[#This Row],[Betrag]])</f>
        <v>70</v>
      </c>
      <c r="K2274" s="66" t="str">
        <f>IF(Data[[#This Row],[Betrag]]&lt;0,"A","E")</f>
        <v>A</v>
      </c>
    </row>
    <row r="2275" spans="1:11" x14ac:dyDescent="0.25">
      <c r="A2275" s="1">
        <v>44278</v>
      </c>
      <c r="B2275" s="66" t="s">
        <v>54</v>
      </c>
      <c r="C2275" s="66" t="s">
        <v>55</v>
      </c>
      <c r="D2275" t="s">
        <v>66</v>
      </c>
      <c r="E2275">
        <v>-80</v>
      </c>
      <c r="F2275" s="66" t="s">
        <v>7</v>
      </c>
      <c r="G2275" s="66" t="s">
        <v>57</v>
      </c>
      <c r="H2275" s="66" t="str">
        <f>TEXT(Data[[#This Row],[Buchung]],"MMM")</f>
        <v>Mrz</v>
      </c>
      <c r="I2275" s="67">
        <f>YEAR(Data[[#This Row],[Buchung]])</f>
        <v>2021</v>
      </c>
      <c r="J2275" s="2">
        <f>ABS(Data[[#This Row],[Betrag]])</f>
        <v>80</v>
      </c>
      <c r="K2275" s="66" t="str">
        <f>IF(Data[[#This Row],[Betrag]]&lt;0,"A","E")</f>
        <v>A</v>
      </c>
    </row>
    <row r="2276" spans="1:11" x14ac:dyDescent="0.25">
      <c r="A2276" s="1">
        <v>44279</v>
      </c>
      <c r="B2276" s="66" t="s">
        <v>67</v>
      </c>
      <c r="C2276" s="66" t="s">
        <v>59</v>
      </c>
      <c r="D2276" t="s">
        <v>68</v>
      </c>
      <c r="E2276">
        <v>-25</v>
      </c>
      <c r="F2276" s="66" t="s">
        <v>7</v>
      </c>
      <c r="G2276" s="66" t="s">
        <v>10</v>
      </c>
      <c r="H2276" s="66" t="str">
        <f>TEXT(Data[[#This Row],[Buchung]],"MMM")</f>
        <v>Mrz</v>
      </c>
      <c r="I2276" s="67">
        <f>YEAR(Data[[#This Row],[Buchung]])</f>
        <v>2021</v>
      </c>
      <c r="J2276" s="2">
        <f>ABS(Data[[#This Row],[Betrag]])</f>
        <v>25</v>
      </c>
      <c r="K2276" s="66" t="str">
        <f>IF(Data[[#This Row],[Betrag]]&lt;0,"A","E")</f>
        <v>A</v>
      </c>
    </row>
    <row r="2277" spans="1:11" x14ac:dyDescent="0.25">
      <c r="A2277" s="1">
        <v>44280</v>
      </c>
      <c r="B2277" s="66" t="s">
        <v>45</v>
      </c>
      <c r="C2277" s="66" t="s">
        <v>46</v>
      </c>
      <c r="D2277" t="s">
        <v>47</v>
      </c>
      <c r="E2277">
        <v>1000</v>
      </c>
      <c r="F2277" s="66" t="s">
        <v>7</v>
      </c>
      <c r="G2277" s="66" t="s">
        <v>9</v>
      </c>
      <c r="H2277" s="66" t="str">
        <f>TEXT(Data[[#This Row],[Buchung]],"MMM")</f>
        <v>Mrz</v>
      </c>
      <c r="I2277" s="67">
        <f>YEAR(Data[[#This Row],[Buchung]])</f>
        <v>2021</v>
      </c>
      <c r="J2277" s="2">
        <f>ABS(Data[[#This Row],[Betrag]])</f>
        <v>1000</v>
      </c>
      <c r="K2277" s="66" t="str">
        <f>IF(Data[[#This Row],[Betrag]]&lt;0,"A","E")</f>
        <v>E</v>
      </c>
    </row>
    <row r="2278" spans="1:11" x14ac:dyDescent="0.25">
      <c r="A2278" s="1">
        <v>44281</v>
      </c>
      <c r="B2278" s="66" t="s">
        <v>48</v>
      </c>
      <c r="C2278" s="66" t="s">
        <v>49</v>
      </c>
      <c r="D2278" t="s">
        <v>50</v>
      </c>
      <c r="E2278">
        <v>-15</v>
      </c>
      <c r="F2278" s="66" t="s">
        <v>7</v>
      </c>
      <c r="G2278" s="66" t="s">
        <v>8</v>
      </c>
      <c r="H2278" s="66" t="str">
        <f>TEXT(Data[[#This Row],[Buchung]],"MMM")</f>
        <v>Mrz</v>
      </c>
      <c r="I2278" s="67">
        <f>YEAR(Data[[#This Row],[Buchung]])</f>
        <v>2021</v>
      </c>
      <c r="J2278" s="2">
        <f>ABS(Data[[#This Row],[Betrag]])</f>
        <v>15</v>
      </c>
      <c r="K2278" s="66" t="str">
        <f>IF(Data[[#This Row],[Betrag]]&lt;0,"A","E")</f>
        <v>A</v>
      </c>
    </row>
    <row r="2279" spans="1:11" x14ac:dyDescent="0.25">
      <c r="A2279" s="1">
        <v>44282</v>
      </c>
      <c r="B2279" s="66" t="s">
        <v>51</v>
      </c>
      <c r="C2279" s="66" t="s">
        <v>52</v>
      </c>
      <c r="D2279" t="s">
        <v>53</v>
      </c>
      <c r="E2279">
        <v>-350</v>
      </c>
      <c r="F2279" s="66" t="s">
        <v>7</v>
      </c>
      <c r="G2279" s="66" t="s">
        <v>11</v>
      </c>
      <c r="H2279" s="66" t="str">
        <f>TEXT(Data[[#This Row],[Buchung]],"MMM")</f>
        <v>Mrz</v>
      </c>
      <c r="I2279" s="67">
        <f>YEAR(Data[[#This Row],[Buchung]])</f>
        <v>2021</v>
      </c>
      <c r="J2279" s="2">
        <f>ABS(Data[[#This Row],[Betrag]])</f>
        <v>350</v>
      </c>
      <c r="K2279" s="66" t="str">
        <f>IF(Data[[#This Row],[Betrag]]&lt;0,"A","E")</f>
        <v>A</v>
      </c>
    </row>
    <row r="2280" spans="1:11" x14ac:dyDescent="0.25">
      <c r="A2280" s="1">
        <v>44283</v>
      </c>
      <c r="B2280" s="66" t="s">
        <v>54</v>
      </c>
      <c r="C2280" s="66" t="s">
        <v>55</v>
      </c>
      <c r="D2280" t="s">
        <v>56</v>
      </c>
      <c r="E2280">
        <v>-120</v>
      </c>
      <c r="F2280" s="66" t="s">
        <v>7</v>
      </c>
      <c r="G2280" s="66" t="s">
        <v>57</v>
      </c>
      <c r="H2280" s="66" t="str">
        <f>TEXT(Data[[#This Row],[Buchung]],"MMM")</f>
        <v>Mrz</v>
      </c>
      <c r="I2280" s="67">
        <f>YEAR(Data[[#This Row],[Buchung]])</f>
        <v>2021</v>
      </c>
      <c r="J2280" s="2">
        <f>ABS(Data[[#This Row],[Betrag]])</f>
        <v>120</v>
      </c>
      <c r="K2280" s="66" t="str">
        <f>IF(Data[[#This Row],[Betrag]]&lt;0,"A","E")</f>
        <v>A</v>
      </c>
    </row>
    <row r="2281" spans="1:11" x14ac:dyDescent="0.25">
      <c r="A2281" s="1">
        <v>44284</v>
      </c>
      <c r="B2281" s="66" t="s">
        <v>58</v>
      </c>
      <c r="C2281" s="66" t="s">
        <v>59</v>
      </c>
      <c r="D2281" t="s">
        <v>60</v>
      </c>
      <c r="E2281">
        <v>-70</v>
      </c>
      <c r="F2281" s="66" t="s">
        <v>7</v>
      </c>
      <c r="G2281" s="66" t="s">
        <v>10</v>
      </c>
      <c r="H2281" s="66" t="str">
        <f>TEXT(Data[[#This Row],[Buchung]],"MMM")</f>
        <v>Mrz</v>
      </c>
      <c r="I2281" s="67">
        <f>YEAR(Data[[#This Row],[Buchung]])</f>
        <v>2021</v>
      </c>
      <c r="J2281" s="2">
        <f>ABS(Data[[#This Row],[Betrag]])</f>
        <v>70</v>
      </c>
      <c r="K2281" s="66" t="str">
        <f>IF(Data[[#This Row],[Betrag]]&lt;0,"A","E")</f>
        <v>A</v>
      </c>
    </row>
    <row r="2282" spans="1:11" x14ac:dyDescent="0.25">
      <c r="A2282" s="1">
        <v>44285</v>
      </c>
      <c r="B2282" s="66" t="s">
        <v>45</v>
      </c>
      <c r="C2282" s="66" t="s">
        <v>46</v>
      </c>
      <c r="D2282" t="s">
        <v>47</v>
      </c>
      <c r="E2282">
        <v>1000</v>
      </c>
      <c r="F2282" s="66" t="s">
        <v>7</v>
      </c>
      <c r="G2282" s="66" t="s">
        <v>9</v>
      </c>
      <c r="H2282" s="66" t="str">
        <f>TEXT(Data[[#This Row],[Buchung]],"MMM")</f>
        <v>Mrz</v>
      </c>
      <c r="I2282" s="67">
        <f>YEAR(Data[[#This Row],[Buchung]])</f>
        <v>2021</v>
      </c>
      <c r="J2282" s="2">
        <f>ABS(Data[[#This Row],[Betrag]])</f>
        <v>1000</v>
      </c>
      <c r="K2282" s="66" t="str">
        <f>IF(Data[[#This Row],[Betrag]]&lt;0,"A","E")</f>
        <v>E</v>
      </c>
    </row>
    <row r="2283" spans="1:11" x14ac:dyDescent="0.25">
      <c r="A2283" s="1">
        <v>44286</v>
      </c>
      <c r="B2283" s="66" t="s">
        <v>61</v>
      </c>
      <c r="C2283" s="66" t="s">
        <v>49</v>
      </c>
      <c r="D2283" t="s">
        <v>62</v>
      </c>
      <c r="E2283">
        <v>-10</v>
      </c>
      <c r="F2283" s="66" t="s">
        <v>7</v>
      </c>
      <c r="G2283" s="66" t="s">
        <v>8</v>
      </c>
      <c r="H2283" s="66" t="str">
        <f>TEXT(Data[[#This Row],[Buchung]],"MMM")</f>
        <v>Mrz</v>
      </c>
      <c r="I2283" s="67">
        <f>YEAR(Data[[#This Row],[Buchung]])</f>
        <v>2021</v>
      </c>
      <c r="J2283" s="2">
        <f>ABS(Data[[#This Row],[Betrag]])</f>
        <v>10</v>
      </c>
      <c r="K2283" s="66" t="str">
        <f>IF(Data[[#This Row],[Betrag]]&lt;0,"A","E")</f>
        <v>A</v>
      </c>
    </row>
    <row r="2284" spans="1:11" x14ac:dyDescent="0.25">
      <c r="A2284" s="1">
        <v>44287</v>
      </c>
      <c r="B2284" s="66" t="s">
        <v>63</v>
      </c>
      <c r="C2284" s="66" t="s">
        <v>64</v>
      </c>
      <c r="D2284" t="s">
        <v>65</v>
      </c>
      <c r="E2284">
        <v>-60</v>
      </c>
      <c r="F2284" s="66" t="s">
        <v>7</v>
      </c>
      <c r="G2284" s="66" t="s">
        <v>11</v>
      </c>
      <c r="H2284" s="66" t="str">
        <f>TEXT(Data[[#This Row],[Buchung]],"MMM")</f>
        <v>Apr</v>
      </c>
      <c r="I2284" s="67">
        <f>YEAR(Data[[#This Row],[Buchung]])</f>
        <v>2021</v>
      </c>
      <c r="J2284" s="2">
        <f>ABS(Data[[#This Row],[Betrag]])</f>
        <v>60</v>
      </c>
      <c r="K2284" s="66" t="str">
        <f>IF(Data[[#This Row],[Betrag]]&lt;0,"A","E")</f>
        <v>A</v>
      </c>
    </row>
    <row r="2285" spans="1:11" x14ac:dyDescent="0.25">
      <c r="A2285" s="1">
        <v>44288</v>
      </c>
      <c r="B2285" s="66" t="s">
        <v>54</v>
      </c>
      <c r="C2285" s="66" t="s">
        <v>55</v>
      </c>
      <c r="D2285" t="s">
        <v>66</v>
      </c>
      <c r="E2285">
        <v>-80</v>
      </c>
      <c r="F2285" s="66" t="s">
        <v>7</v>
      </c>
      <c r="G2285" s="66" t="s">
        <v>57</v>
      </c>
      <c r="H2285" s="66" t="str">
        <f>TEXT(Data[[#This Row],[Buchung]],"MMM")</f>
        <v>Apr</v>
      </c>
      <c r="I2285" s="67">
        <f>YEAR(Data[[#This Row],[Buchung]])</f>
        <v>2021</v>
      </c>
      <c r="J2285" s="2">
        <f>ABS(Data[[#This Row],[Betrag]])</f>
        <v>80</v>
      </c>
      <c r="K2285" s="66" t="str">
        <f>IF(Data[[#This Row],[Betrag]]&lt;0,"A","E")</f>
        <v>A</v>
      </c>
    </row>
    <row r="2286" spans="1:11" x14ac:dyDescent="0.25">
      <c r="A2286" s="1">
        <v>44289</v>
      </c>
      <c r="B2286" s="66" t="s">
        <v>67</v>
      </c>
      <c r="C2286" s="66" t="s">
        <v>59</v>
      </c>
      <c r="D2286" t="s">
        <v>68</v>
      </c>
      <c r="E2286">
        <v>-30</v>
      </c>
      <c r="F2286" s="66" t="s">
        <v>7</v>
      </c>
      <c r="G2286" s="66" t="s">
        <v>10</v>
      </c>
      <c r="H2286" s="66" t="str">
        <f>TEXT(Data[[#This Row],[Buchung]],"MMM")</f>
        <v>Apr</v>
      </c>
      <c r="I2286" s="67">
        <f>YEAR(Data[[#This Row],[Buchung]])</f>
        <v>2021</v>
      </c>
      <c r="J2286" s="2">
        <f>ABS(Data[[#This Row],[Betrag]])</f>
        <v>30</v>
      </c>
      <c r="K2286" s="66" t="str">
        <f>IF(Data[[#This Row],[Betrag]]&lt;0,"A","E")</f>
        <v>A</v>
      </c>
    </row>
    <row r="2287" spans="1:11" x14ac:dyDescent="0.25">
      <c r="A2287" s="1">
        <v>44290</v>
      </c>
      <c r="B2287" s="66" t="s">
        <v>45</v>
      </c>
      <c r="C2287" s="66" t="s">
        <v>46</v>
      </c>
      <c r="D2287" t="s">
        <v>47</v>
      </c>
      <c r="E2287">
        <v>1000</v>
      </c>
      <c r="F2287" s="66" t="s">
        <v>7</v>
      </c>
      <c r="G2287" s="66" t="s">
        <v>9</v>
      </c>
      <c r="H2287" s="66" t="str">
        <f>TEXT(Data[[#This Row],[Buchung]],"MMM")</f>
        <v>Apr</v>
      </c>
      <c r="I2287" s="67">
        <f>YEAR(Data[[#This Row],[Buchung]])</f>
        <v>2021</v>
      </c>
      <c r="J2287" s="2">
        <f>ABS(Data[[#This Row],[Betrag]])</f>
        <v>1000</v>
      </c>
      <c r="K2287" s="66" t="str">
        <f>IF(Data[[#This Row],[Betrag]]&lt;0,"A","E")</f>
        <v>E</v>
      </c>
    </row>
    <row r="2288" spans="1:11" x14ac:dyDescent="0.25">
      <c r="A2288" s="1">
        <v>44291</v>
      </c>
      <c r="B2288" s="66" t="s">
        <v>48</v>
      </c>
      <c r="C2288" s="66" t="s">
        <v>49</v>
      </c>
      <c r="D2288" t="s">
        <v>50</v>
      </c>
      <c r="E2288">
        <v>-15</v>
      </c>
      <c r="F2288" s="66" t="s">
        <v>7</v>
      </c>
      <c r="G2288" s="66" t="s">
        <v>8</v>
      </c>
      <c r="H2288" s="66" t="str">
        <f>TEXT(Data[[#This Row],[Buchung]],"MMM")</f>
        <v>Apr</v>
      </c>
      <c r="I2288" s="67">
        <f>YEAR(Data[[#This Row],[Buchung]])</f>
        <v>2021</v>
      </c>
      <c r="J2288" s="2">
        <f>ABS(Data[[#This Row],[Betrag]])</f>
        <v>15</v>
      </c>
      <c r="K2288" s="66" t="str">
        <f>IF(Data[[#This Row],[Betrag]]&lt;0,"A","E")</f>
        <v>A</v>
      </c>
    </row>
    <row r="2289" spans="1:11" x14ac:dyDescent="0.25">
      <c r="A2289" s="1">
        <v>44292</v>
      </c>
      <c r="B2289" s="66" t="s">
        <v>51</v>
      </c>
      <c r="C2289" s="66" t="s">
        <v>52</v>
      </c>
      <c r="D2289" t="s">
        <v>53</v>
      </c>
      <c r="E2289">
        <v>-350</v>
      </c>
      <c r="F2289" s="66" t="s">
        <v>7</v>
      </c>
      <c r="G2289" s="66" t="s">
        <v>11</v>
      </c>
      <c r="H2289" s="66" t="str">
        <f>TEXT(Data[[#This Row],[Buchung]],"MMM")</f>
        <v>Apr</v>
      </c>
      <c r="I2289" s="67">
        <f>YEAR(Data[[#This Row],[Buchung]])</f>
        <v>2021</v>
      </c>
      <c r="J2289" s="2">
        <f>ABS(Data[[#This Row],[Betrag]])</f>
        <v>350</v>
      </c>
      <c r="K2289" s="66" t="str">
        <f>IF(Data[[#This Row],[Betrag]]&lt;0,"A","E")</f>
        <v>A</v>
      </c>
    </row>
    <row r="2290" spans="1:11" x14ac:dyDescent="0.25">
      <c r="A2290" s="1">
        <v>44293</v>
      </c>
      <c r="B2290" s="66" t="s">
        <v>54</v>
      </c>
      <c r="C2290" s="66" t="s">
        <v>55</v>
      </c>
      <c r="D2290" t="s">
        <v>56</v>
      </c>
      <c r="E2290">
        <v>-120</v>
      </c>
      <c r="F2290" s="66" t="s">
        <v>7</v>
      </c>
      <c r="G2290" s="66" t="s">
        <v>57</v>
      </c>
      <c r="H2290" s="66" t="str">
        <f>TEXT(Data[[#This Row],[Buchung]],"MMM")</f>
        <v>Apr</v>
      </c>
      <c r="I2290" s="67">
        <f>YEAR(Data[[#This Row],[Buchung]])</f>
        <v>2021</v>
      </c>
      <c r="J2290" s="2">
        <f>ABS(Data[[#This Row],[Betrag]])</f>
        <v>120</v>
      </c>
      <c r="K2290" s="66" t="str">
        <f>IF(Data[[#This Row],[Betrag]]&lt;0,"A","E")</f>
        <v>A</v>
      </c>
    </row>
    <row r="2291" spans="1:11" x14ac:dyDescent="0.25">
      <c r="A2291" s="1">
        <v>44294</v>
      </c>
      <c r="B2291" s="66" t="s">
        <v>58</v>
      </c>
      <c r="C2291" s="66" t="s">
        <v>59</v>
      </c>
      <c r="D2291" t="s">
        <v>60</v>
      </c>
      <c r="E2291">
        <v>-80</v>
      </c>
      <c r="F2291" s="66" t="s">
        <v>7</v>
      </c>
      <c r="G2291" s="66" t="s">
        <v>10</v>
      </c>
      <c r="H2291" s="66" t="str">
        <f>TEXT(Data[[#This Row],[Buchung]],"MMM")</f>
        <v>Apr</v>
      </c>
      <c r="I2291" s="67">
        <f>YEAR(Data[[#This Row],[Buchung]])</f>
        <v>2021</v>
      </c>
      <c r="J2291" s="2">
        <f>ABS(Data[[#This Row],[Betrag]])</f>
        <v>80</v>
      </c>
      <c r="K2291" s="66" t="str">
        <f>IF(Data[[#This Row],[Betrag]]&lt;0,"A","E")</f>
        <v>A</v>
      </c>
    </row>
    <row r="2292" spans="1:11" x14ac:dyDescent="0.25">
      <c r="A2292" s="1">
        <v>44295</v>
      </c>
      <c r="B2292" s="66" t="s">
        <v>45</v>
      </c>
      <c r="C2292" s="66" t="s">
        <v>46</v>
      </c>
      <c r="D2292" t="s">
        <v>47</v>
      </c>
      <c r="E2292">
        <v>1000</v>
      </c>
      <c r="F2292" s="66" t="s">
        <v>7</v>
      </c>
      <c r="G2292" s="66" t="s">
        <v>9</v>
      </c>
      <c r="H2292" s="66" t="str">
        <f>TEXT(Data[[#This Row],[Buchung]],"MMM")</f>
        <v>Apr</v>
      </c>
      <c r="I2292" s="67">
        <f>YEAR(Data[[#This Row],[Buchung]])</f>
        <v>2021</v>
      </c>
      <c r="J2292" s="2">
        <f>ABS(Data[[#This Row],[Betrag]])</f>
        <v>1000</v>
      </c>
      <c r="K2292" s="66" t="str">
        <f>IF(Data[[#This Row],[Betrag]]&lt;0,"A","E")</f>
        <v>E</v>
      </c>
    </row>
    <row r="2293" spans="1:11" x14ac:dyDescent="0.25">
      <c r="A2293" s="1">
        <v>44296</v>
      </c>
      <c r="B2293" s="66" t="s">
        <v>61</v>
      </c>
      <c r="C2293" s="66" t="s">
        <v>49</v>
      </c>
      <c r="D2293" t="s">
        <v>62</v>
      </c>
      <c r="E2293">
        <v>-10</v>
      </c>
      <c r="F2293" s="66" t="s">
        <v>7</v>
      </c>
      <c r="G2293" s="66" t="s">
        <v>8</v>
      </c>
      <c r="H2293" s="66" t="str">
        <f>TEXT(Data[[#This Row],[Buchung]],"MMM")</f>
        <v>Apr</v>
      </c>
      <c r="I2293" s="67">
        <f>YEAR(Data[[#This Row],[Buchung]])</f>
        <v>2021</v>
      </c>
      <c r="J2293" s="2">
        <f>ABS(Data[[#This Row],[Betrag]])</f>
        <v>10</v>
      </c>
      <c r="K2293" s="66" t="str">
        <f>IF(Data[[#This Row],[Betrag]]&lt;0,"A","E")</f>
        <v>A</v>
      </c>
    </row>
    <row r="2294" spans="1:11" x14ac:dyDescent="0.25">
      <c r="A2294" s="1">
        <v>44297</v>
      </c>
      <c r="B2294" s="66" t="s">
        <v>63</v>
      </c>
      <c r="C2294" s="66" t="s">
        <v>64</v>
      </c>
      <c r="D2294" t="s">
        <v>65</v>
      </c>
      <c r="E2294">
        <v>-65</v>
      </c>
      <c r="F2294" s="66" t="s">
        <v>7</v>
      </c>
      <c r="G2294" s="66" t="s">
        <v>11</v>
      </c>
      <c r="H2294" s="66" t="str">
        <f>TEXT(Data[[#This Row],[Buchung]],"MMM")</f>
        <v>Apr</v>
      </c>
      <c r="I2294" s="67">
        <f>YEAR(Data[[#This Row],[Buchung]])</f>
        <v>2021</v>
      </c>
      <c r="J2294" s="2">
        <f>ABS(Data[[#This Row],[Betrag]])</f>
        <v>65</v>
      </c>
      <c r="K2294" s="66" t="str">
        <f>IF(Data[[#This Row],[Betrag]]&lt;0,"A","E")</f>
        <v>A</v>
      </c>
    </row>
    <row r="2295" spans="1:11" x14ac:dyDescent="0.25">
      <c r="A2295" s="1">
        <v>44298</v>
      </c>
      <c r="B2295" s="66" t="s">
        <v>54</v>
      </c>
      <c r="C2295" s="66" t="s">
        <v>55</v>
      </c>
      <c r="D2295" t="s">
        <v>66</v>
      </c>
      <c r="E2295">
        <v>-80</v>
      </c>
      <c r="F2295" s="66" t="s">
        <v>7</v>
      </c>
      <c r="G2295" s="66" t="s">
        <v>57</v>
      </c>
      <c r="H2295" s="66" t="str">
        <f>TEXT(Data[[#This Row],[Buchung]],"MMM")</f>
        <v>Apr</v>
      </c>
      <c r="I2295" s="67">
        <f>YEAR(Data[[#This Row],[Buchung]])</f>
        <v>2021</v>
      </c>
      <c r="J2295" s="2">
        <f>ABS(Data[[#This Row],[Betrag]])</f>
        <v>80</v>
      </c>
      <c r="K2295" s="66" t="str">
        <f>IF(Data[[#This Row],[Betrag]]&lt;0,"A","E")</f>
        <v>A</v>
      </c>
    </row>
    <row r="2296" spans="1:11" x14ac:dyDescent="0.25">
      <c r="A2296" s="1">
        <v>44299</v>
      </c>
      <c r="B2296" s="66" t="s">
        <v>67</v>
      </c>
      <c r="C2296" s="66" t="s">
        <v>59</v>
      </c>
      <c r="D2296" t="s">
        <v>68</v>
      </c>
      <c r="E2296">
        <v>-35</v>
      </c>
      <c r="F2296" s="66" t="s">
        <v>7</v>
      </c>
      <c r="G2296" s="66" t="s">
        <v>10</v>
      </c>
      <c r="H2296" s="66" t="str">
        <f>TEXT(Data[[#This Row],[Buchung]],"MMM")</f>
        <v>Apr</v>
      </c>
      <c r="I2296" s="67">
        <f>YEAR(Data[[#This Row],[Buchung]])</f>
        <v>2021</v>
      </c>
      <c r="J2296" s="2">
        <f>ABS(Data[[#This Row],[Betrag]])</f>
        <v>35</v>
      </c>
      <c r="K2296" s="66" t="str">
        <f>IF(Data[[#This Row],[Betrag]]&lt;0,"A","E")</f>
        <v>A</v>
      </c>
    </row>
    <row r="2297" spans="1:11" x14ac:dyDescent="0.25">
      <c r="A2297" s="1">
        <v>44300</v>
      </c>
      <c r="B2297" s="66" t="s">
        <v>45</v>
      </c>
      <c r="C2297" s="66" t="s">
        <v>46</v>
      </c>
      <c r="D2297" t="s">
        <v>47</v>
      </c>
      <c r="E2297">
        <v>1000</v>
      </c>
      <c r="F2297" s="66" t="s">
        <v>7</v>
      </c>
      <c r="G2297" s="66" t="s">
        <v>9</v>
      </c>
      <c r="H2297" s="66" t="str">
        <f>TEXT(Data[[#This Row],[Buchung]],"MMM")</f>
        <v>Apr</v>
      </c>
      <c r="I2297" s="67">
        <f>YEAR(Data[[#This Row],[Buchung]])</f>
        <v>2021</v>
      </c>
      <c r="J2297" s="2">
        <f>ABS(Data[[#This Row],[Betrag]])</f>
        <v>1000</v>
      </c>
      <c r="K2297" s="66" t="str">
        <f>IF(Data[[#This Row],[Betrag]]&lt;0,"A","E")</f>
        <v>E</v>
      </c>
    </row>
    <row r="2298" spans="1:11" x14ac:dyDescent="0.25">
      <c r="A2298" s="1">
        <v>44301</v>
      </c>
      <c r="B2298" s="66" t="s">
        <v>45</v>
      </c>
      <c r="C2298" s="66" t="s">
        <v>46</v>
      </c>
      <c r="D2298" t="s">
        <v>47</v>
      </c>
      <c r="E2298">
        <v>1000</v>
      </c>
      <c r="F2298" s="66" t="s">
        <v>7</v>
      </c>
      <c r="G2298" s="66" t="s">
        <v>9</v>
      </c>
      <c r="H2298" s="66" t="str">
        <f>TEXT(Data[[#This Row],[Buchung]],"MMM")</f>
        <v>Apr</v>
      </c>
      <c r="I2298" s="67">
        <f>YEAR(Data[[#This Row],[Buchung]])</f>
        <v>2021</v>
      </c>
      <c r="J2298" s="2">
        <f>ABS(Data[[#This Row],[Betrag]])</f>
        <v>1000</v>
      </c>
      <c r="K2298" s="66" t="str">
        <f>IF(Data[[#This Row],[Betrag]]&lt;0,"A","E")</f>
        <v>E</v>
      </c>
    </row>
    <row r="2299" spans="1:11" x14ac:dyDescent="0.25">
      <c r="A2299" s="1">
        <v>44302</v>
      </c>
      <c r="B2299" s="66" t="s">
        <v>48</v>
      </c>
      <c r="C2299" s="66" t="s">
        <v>49</v>
      </c>
      <c r="D2299" t="s">
        <v>50</v>
      </c>
      <c r="E2299">
        <v>-15</v>
      </c>
      <c r="F2299" s="66" t="s">
        <v>7</v>
      </c>
      <c r="G2299" s="66" t="s">
        <v>8</v>
      </c>
      <c r="H2299" s="66" t="str">
        <f>TEXT(Data[[#This Row],[Buchung]],"MMM")</f>
        <v>Apr</v>
      </c>
      <c r="I2299" s="67">
        <f>YEAR(Data[[#This Row],[Buchung]])</f>
        <v>2021</v>
      </c>
      <c r="J2299" s="2">
        <f>ABS(Data[[#This Row],[Betrag]])</f>
        <v>15</v>
      </c>
      <c r="K2299" s="66" t="str">
        <f>IF(Data[[#This Row],[Betrag]]&lt;0,"A","E")</f>
        <v>A</v>
      </c>
    </row>
    <row r="2300" spans="1:11" x14ac:dyDescent="0.25">
      <c r="A2300" s="1">
        <v>44303</v>
      </c>
      <c r="B2300" s="66" t="s">
        <v>51</v>
      </c>
      <c r="C2300" s="66" t="s">
        <v>52</v>
      </c>
      <c r="D2300" t="s">
        <v>53</v>
      </c>
      <c r="E2300">
        <v>-350</v>
      </c>
      <c r="F2300" s="66" t="s">
        <v>7</v>
      </c>
      <c r="G2300" s="66" t="s">
        <v>11</v>
      </c>
      <c r="H2300" s="66" t="str">
        <f>TEXT(Data[[#This Row],[Buchung]],"MMM")</f>
        <v>Apr</v>
      </c>
      <c r="I2300" s="67">
        <f>YEAR(Data[[#This Row],[Buchung]])</f>
        <v>2021</v>
      </c>
      <c r="J2300" s="2">
        <f>ABS(Data[[#This Row],[Betrag]])</f>
        <v>350</v>
      </c>
      <c r="K2300" s="66" t="str">
        <f>IF(Data[[#This Row],[Betrag]]&lt;0,"A","E")</f>
        <v>A</v>
      </c>
    </row>
    <row r="2301" spans="1:11" x14ac:dyDescent="0.25">
      <c r="A2301" s="1">
        <v>44304</v>
      </c>
      <c r="B2301" s="66" t="s">
        <v>54</v>
      </c>
      <c r="C2301" s="66" t="s">
        <v>55</v>
      </c>
      <c r="D2301" t="s">
        <v>56</v>
      </c>
      <c r="E2301">
        <v>-120</v>
      </c>
      <c r="F2301" s="66" t="s">
        <v>7</v>
      </c>
      <c r="G2301" s="66" t="s">
        <v>57</v>
      </c>
      <c r="H2301" s="66" t="str">
        <f>TEXT(Data[[#This Row],[Buchung]],"MMM")</f>
        <v>Apr</v>
      </c>
      <c r="I2301" s="67">
        <f>YEAR(Data[[#This Row],[Buchung]])</f>
        <v>2021</v>
      </c>
      <c r="J2301" s="2">
        <f>ABS(Data[[#This Row],[Betrag]])</f>
        <v>120</v>
      </c>
      <c r="K2301" s="66" t="str">
        <f>IF(Data[[#This Row],[Betrag]]&lt;0,"A","E")</f>
        <v>A</v>
      </c>
    </row>
    <row r="2302" spans="1:11" x14ac:dyDescent="0.25">
      <c r="A2302" s="1">
        <v>44305</v>
      </c>
      <c r="B2302" s="66" t="s">
        <v>58</v>
      </c>
      <c r="C2302" s="66" t="s">
        <v>59</v>
      </c>
      <c r="D2302" t="s">
        <v>60</v>
      </c>
      <c r="E2302">
        <v>-50</v>
      </c>
      <c r="F2302" s="66" t="s">
        <v>7</v>
      </c>
      <c r="G2302" s="66" t="s">
        <v>10</v>
      </c>
      <c r="H2302" s="66" t="str">
        <f>TEXT(Data[[#This Row],[Buchung]],"MMM")</f>
        <v>Apr</v>
      </c>
      <c r="I2302" s="67">
        <f>YEAR(Data[[#This Row],[Buchung]])</f>
        <v>2021</v>
      </c>
      <c r="J2302" s="2">
        <f>ABS(Data[[#This Row],[Betrag]])</f>
        <v>50</v>
      </c>
      <c r="K2302" s="66" t="str">
        <f>IF(Data[[#This Row],[Betrag]]&lt;0,"A","E")</f>
        <v>A</v>
      </c>
    </row>
    <row r="2303" spans="1:11" x14ac:dyDescent="0.25">
      <c r="A2303" s="1">
        <v>44306</v>
      </c>
      <c r="B2303" s="66" t="s">
        <v>45</v>
      </c>
      <c r="C2303" s="66" t="s">
        <v>46</v>
      </c>
      <c r="D2303" t="s">
        <v>47</v>
      </c>
      <c r="E2303">
        <v>1000</v>
      </c>
      <c r="F2303" s="66" t="s">
        <v>7</v>
      </c>
      <c r="G2303" s="66" t="s">
        <v>9</v>
      </c>
      <c r="H2303" s="66" t="str">
        <f>TEXT(Data[[#This Row],[Buchung]],"MMM")</f>
        <v>Apr</v>
      </c>
      <c r="I2303" s="67">
        <f>YEAR(Data[[#This Row],[Buchung]])</f>
        <v>2021</v>
      </c>
      <c r="J2303" s="2">
        <f>ABS(Data[[#This Row],[Betrag]])</f>
        <v>1000</v>
      </c>
      <c r="K2303" s="66" t="str">
        <f>IF(Data[[#This Row],[Betrag]]&lt;0,"A","E")</f>
        <v>E</v>
      </c>
    </row>
    <row r="2304" spans="1:11" x14ac:dyDescent="0.25">
      <c r="A2304" s="1">
        <v>44307</v>
      </c>
      <c r="B2304" s="66" t="s">
        <v>61</v>
      </c>
      <c r="C2304" s="66" t="s">
        <v>49</v>
      </c>
      <c r="D2304" t="s">
        <v>62</v>
      </c>
      <c r="E2304">
        <v>-10</v>
      </c>
      <c r="F2304" s="66" t="s">
        <v>7</v>
      </c>
      <c r="G2304" s="66" t="s">
        <v>8</v>
      </c>
      <c r="H2304" s="66" t="str">
        <f>TEXT(Data[[#This Row],[Buchung]],"MMM")</f>
        <v>Apr</v>
      </c>
      <c r="I2304" s="67">
        <f>YEAR(Data[[#This Row],[Buchung]])</f>
        <v>2021</v>
      </c>
      <c r="J2304" s="2">
        <f>ABS(Data[[#This Row],[Betrag]])</f>
        <v>10</v>
      </c>
      <c r="K2304" s="66" t="str">
        <f>IF(Data[[#This Row],[Betrag]]&lt;0,"A","E")</f>
        <v>A</v>
      </c>
    </row>
    <row r="2305" spans="1:11" x14ac:dyDescent="0.25">
      <c r="A2305" s="1">
        <v>44308</v>
      </c>
      <c r="B2305" s="66" t="s">
        <v>63</v>
      </c>
      <c r="C2305" s="66" t="s">
        <v>64</v>
      </c>
      <c r="D2305" t="s">
        <v>65</v>
      </c>
      <c r="E2305">
        <v>-60</v>
      </c>
      <c r="F2305" s="66" t="s">
        <v>7</v>
      </c>
      <c r="G2305" s="66" t="s">
        <v>11</v>
      </c>
      <c r="H2305" s="66" t="str">
        <f>TEXT(Data[[#This Row],[Buchung]],"MMM")</f>
        <v>Apr</v>
      </c>
      <c r="I2305" s="67">
        <f>YEAR(Data[[#This Row],[Buchung]])</f>
        <v>2021</v>
      </c>
      <c r="J2305" s="2">
        <f>ABS(Data[[#This Row],[Betrag]])</f>
        <v>60</v>
      </c>
      <c r="K2305" s="66" t="str">
        <f>IF(Data[[#This Row],[Betrag]]&lt;0,"A","E")</f>
        <v>A</v>
      </c>
    </row>
    <row r="2306" spans="1:11" x14ac:dyDescent="0.25">
      <c r="A2306" s="1">
        <v>44309</v>
      </c>
      <c r="B2306" s="66" t="s">
        <v>54</v>
      </c>
      <c r="C2306" s="66" t="s">
        <v>55</v>
      </c>
      <c r="D2306" t="s">
        <v>66</v>
      </c>
      <c r="E2306">
        <v>-80</v>
      </c>
      <c r="F2306" s="66" t="s">
        <v>7</v>
      </c>
      <c r="G2306" s="66" t="s">
        <v>57</v>
      </c>
      <c r="H2306" s="66" t="str">
        <f>TEXT(Data[[#This Row],[Buchung]],"MMM")</f>
        <v>Apr</v>
      </c>
      <c r="I2306" s="67">
        <f>YEAR(Data[[#This Row],[Buchung]])</f>
        <v>2021</v>
      </c>
      <c r="J2306" s="2">
        <f>ABS(Data[[#This Row],[Betrag]])</f>
        <v>80</v>
      </c>
      <c r="K2306" s="66" t="str">
        <f>IF(Data[[#This Row],[Betrag]]&lt;0,"A","E")</f>
        <v>A</v>
      </c>
    </row>
    <row r="2307" spans="1:11" x14ac:dyDescent="0.25">
      <c r="A2307" s="1">
        <v>44310</v>
      </c>
      <c r="B2307" s="66" t="s">
        <v>67</v>
      </c>
      <c r="C2307" s="66" t="s">
        <v>59</v>
      </c>
      <c r="D2307" t="s">
        <v>68</v>
      </c>
      <c r="E2307">
        <v>-20</v>
      </c>
      <c r="F2307" s="66" t="s">
        <v>7</v>
      </c>
      <c r="G2307" s="66" t="s">
        <v>10</v>
      </c>
      <c r="H2307" s="66" t="str">
        <f>TEXT(Data[[#This Row],[Buchung]],"MMM")</f>
        <v>Apr</v>
      </c>
      <c r="I2307" s="67">
        <f>YEAR(Data[[#This Row],[Buchung]])</f>
        <v>2021</v>
      </c>
      <c r="J2307" s="2">
        <f>ABS(Data[[#This Row],[Betrag]])</f>
        <v>20</v>
      </c>
      <c r="K2307" s="66" t="str">
        <f>IF(Data[[#This Row],[Betrag]]&lt;0,"A","E")</f>
        <v>A</v>
      </c>
    </row>
    <row r="2308" spans="1:11" x14ac:dyDescent="0.25">
      <c r="A2308" s="1">
        <v>44311</v>
      </c>
      <c r="B2308" s="66" t="s">
        <v>45</v>
      </c>
      <c r="C2308" s="66" t="s">
        <v>46</v>
      </c>
      <c r="D2308" t="s">
        <v>47</v>
      </c>
      <c r="E2308">
        <v>1000</v>
      </c>
      <c r="F2308" s="66" t="s">
        <v>7</v>
      </c>
      <c r="G2308" s="66" t="s">
        <v>9</v>
      </c>
      <c r="H2308" s="66" t="str">
        <f>TEXT(Data[[#This Row],[Buchung]],"MMM")</f>
        <v>Apr</v>
      </c>
      <c r="I2308" s="67">
        <f>YEAR(Data[[#This Row],[Buchung]])</f>
        <v>2021</v>
      </c>
      <c r="J2308" s="2">
        <f>ABS(Data[[#This Row],[Betrag]])</f>
        <v>1000</v>
      </c>
      <c r="K2308" s="66" t="str">
        <f>IF(Data[[#This Row],[Betrag]]&lt;0,"A","E")</f>
        <v>E</v>
      </c>
    </row>
    <row r="2309" spans="1:11" x14ac:dyDescent="0.25">
      <c r="A2309" s="1">
        <v>44312</v>
      </c>
      <c r="B2309" s="66" t="s">
        <v>48</v>
      </c>
      <c r="C2309" s="66" t="s">
        <v>49</v>
      </c>
      <c r="D2309" t="s">
        <v>50</v>
      </c>
      <c r="E2309">
        <v>-15</v>
      </c>
      <c r="F2309" s="66" t="s">
        <v>7</v>
      </c>
      <c r="G2309" s="66" t="s">
        <v>8</v>
      </c>
      <c r="H2309" s="66" t="str">
        <f>TEXT(Data[[#This Row],[Buchung]],"MMM")</f>
        <v>Apr</v>
      </c>
      <c r="I2309" s="67">
        <f>YEAR(Data[[#This Row],[Buchung]])</f>
        <v>2021</v>
      </c>
      <c r="J2309" s="2">
        <f>ABS(Data[[#This Row],[Betrag]])</f>
        <v>15</v>
      </c>
      <c r="K2309" s="66" t="str">
        <f>IF(Data[[#This Row],[Betrag]]&lt;0,"A","E")</f>
        <v>A</v>
      </c>
    </row>
    <row r="2310" spans="1:11" x14ac:dyDescent="0.25">
      <c r="A2310" s="1">
        <v>44313</v>
      </c>
      <c r="B2310" s="66" t="s">
        <v>51</v>
      </c>
      <c r="C2310" s="66" t="s">
        <v>52</v>
      </c>
      <c r="D2310" t="s">
        <v>53</v>
      </c>
      <c r="E2310">
        <v>-350</v>
      </c>
      <c r="F2310" s="66" t="s">
        <v>7</v>
      </c>
      <c r="G2310" s="66" t="s">
        <v>11</v>
      </c>
      <c r="H2310" s="66" t="str">
        <f>TEXT(Data[[#This Row],[Buchung]],"MMM")</f>
        <v>Apr</v>
      </c>
      <c r="I2310" s="67">
        <f>YEAR(Data[[#This Row],[Buchung]])</f>
        <v>2021</v>
      </c>
      <c r="J2310" s="2">
        <f>ABS(Data[[#This Row],[Betrag]])</f>
        <v>350</v>
      </c>
      <c r="K2310" s="66" t="str">
        <f>IF(Data[[#This Row],[Betrag]]&lt;0,"A","E")</f>
        <v>A</v>
      </c>
    </row>
    <row r="2311" spans="1:11" x14ac:dyDescent="0.25">
      <c r="A2311" s="1">
        <v>44314</v>
      </c>
      <c r="B2311" s="66" t="s">
        <v>54</v>
      </c>
      <c r="C2311" s="66" t="s">
        <v>55</v>
      </c>
      <c r="D2311" t="s">
        <v>56</v>
      </c>
      <c r="E2311">
        <v>-120</v>
      </c>
      <c r="F2311" s="66" t="s">
        <v>7</v>
      </c>
      <c r="G2311" s="66" t="s">
        <v>57</v>
      </c>
      <c r="H2311" s="66" t="str">
        <f>TEXT(Data[[#This Row],[Buchung]],"MMM")</f>
        <v>Apr</v>
      </c>
      <c r="I2311" s="67">
        <f>YEAR(Data[[#This Row],[Buchung]])</f>
        <v>2021</v>
      </c>
      <c r="J2311" s="2">
        <f>ABS(Data[[#This Row],[Betrag]])</f>
        <v>120</v>
      </c>
      <c r="K2311" s="66" t="str">
        <f>IF(Data[[#This Row],[Betrag]]&lt;0,"A","E")</f>
        <v>A</v>
      </c>
    </row>
    <row r="2312" spans="1:11" x14ac:dyDescent="0.25">
      <c r="A2312" s="1">
        <v>44315</v>
      </c>
      <c r="B2312" s="66" t="s">
        <v>58</v>
      </c>
      <c r="C2312" s="66" t="s">
        <v>59</v>
      </c>
      <c r="D2312" t="s">
        <v>60</v>
      </c>
      <c r="E2312">
        <v>-60</v>
      </c>
      <c r="F2312" s="66" t="s">
        <v>7</v>
      </c>
      <c r="G2312" s="66" t="s">
        <v>10</v>
      </c>
      <c r="H2312" s="66" t="str">
        <f>TEXT(Data[[#This Row],[Buchung]],"MMM")</f>
        <v>Apr</v>
      </c>
      <c r="I2312" s="67">
        <f>YEAR(Data[[#This Row],[Buchung]])</f>
        <v>2021</v>
      </c>
      <c r="J2312" s="2">
        <f>ABS(Data[[#This Row],[Betrag]])</f>
        <v>60</v>
      </c>
      <c r="K2312" s="66" t="str">
        <f>IF(Data[[#This Row],[Betrag]]&lt;0,"A","E")</f>
        <v>A</v>
      </c>
    </row>
    <row r="2313" spans="1:11" x14ac:dyDescent="0.25">
      <c r="A2313" s="1">
        <v>44316</v>
      </c>
      <c r="B2313" s="66" t="s">
        <v>45</v>
      </c>
      <c r="C2313" s="66" t="s">
        <v>46</v>
      </c>
      <c r="D2313" t="s">
        <v>47</v>
      </c>
      <c r="E2313">
        <v>1000</v>
      </c>
      <c r="F2313" s="66" t="s">
        <v>7</v>
      </c>
      <c r="G2313" s="66" t="s">
        <v>9</v>
      </c>
      <c r="H2313" s="66" t="str">
        <f>TEXT(Data[[#This Row],[Buchung]],"MMM")</f>
        <v>Apr</v>
      </c>
      <c r="I2313" s="67">
        <f>YEAR(Data[[#This Row],[Buchung]])</f>
        <v>2021</v>
      </c>
      <c r="J2313" s="2">
        <f>ABS(Data[[#This Row],[Betrag]])</f>
        <v>1000</v>
      </c>
      <c r="K2313" s="66" t="str">
        <f>IF(Data[[#This Row],[Betrag]]&lt;0,"A","E")</f>
        <v>E</v>
      </c>
    </row>
    <row r="2314" spans="1:11" x14ac:dyDescent="0.25">
      <c r="A2314" s="1">
        <v>44317</v>
      </c>
      <c r="B2314" s="66" t="s">
        <v>61</v>
      </c>
      <c r="C2314" s="66" t="s">
        <v>49</v>
      </c>
      <c r="D2314" t="s">
        <v>62</v>
      </c>
      <c r="E2314">
        <v>-10</v>
      </c>
      <c r="F2314" s="66" t="s">
        <v>7</v>
      </c>
      <c r="G2314" s="66" t="s">
        <v>8</v>
      </c>
      <c r="H2314" s="66" t="str">
        <f>TEXT(Data[[#This Row],[Buchung]],"MMM")</f>
        <v>Mai</v>
      </c>
      <c r="I2314" s="67">
        <f>YEAR(Data[[#This Row],[Buchung]])</f>
        <v>2021</v>
      </c>
      <c r="J2314" s="2">
        <f>ABS(Data[[#This Row],[Betrag]])</f>
        <v>10</v>
      </c>
      <c r="K2314" s="66" t="str">
        <f>IF(Data[[#This Row],[Betrag]]&lt;0,"A","E")</f>
        <v>A</v>
      </c>
    </row>
    <row r="2315" spans="1:11" x14ac:dyDescent="0.25">
      <c r="A2315" s="1">
        <v>44318</v>
      </c>
      <c r="B2315" s="66" t="s">
        <v>63</v>
      </c>
      <c r="C2315" s="66" t="s">
        <v>64</v>
      </c>
      <c r="D2315" t="s">
        <v>65</v>
      </c>
      <c r="E2315">
        <v>-70</v>
      </c>
      <c r="F2315" s="66" t="s">
        <v>7</v>
      </c>
      <c r="G2315" s="66" t="s">
        <v>11</v>
      </c>
      <c r="H2315" s="66" t="str">
        <f>TEXT(Data[[#This Row],[Buchung]],"MMM")</f>
        <v>Mai</v>
      </c>
      <c r="I2315" s="67">
        <f>YEAR(Data[[#This Row],[Buchung]])</f>
        <v>2021</v>
      </c>
      <c r="J2315" s="2">
        <f>ABS(Data[[#This Row],[Betrag]])</f>
        <v>70</v>
      </c>
      <c r="K2315" s="66" t="str">
        <f>IF(Data[[#This Row],[Betrag]]&lt;0,"A","E")</f>
        <v>A</v>
      </c>
    </row>
    <row r="2316" spans="1:11" x14ac:dyDescent="0.25">
      <c r="A2316" s="1">
        <v>44319</v>
      </c>
      <c r="B2316" s="66" t="s">
        <v>54</v>
      </c>
      <c r="C2316" s="66" t="s">
        <v>55</v>
      </c>
      <c r="D2316" t="s">
        <v>66</v>
      </c>
      <c r="E2316">
        <v>-80</v>
      </c>
      <c r="F2316" s="66" t="s">
        <v>7</v>
      </c>
      <c r="G2316" s="66" t="s">
        <v>57</v>
      </c>
      <c r="H2316" s="66" t="str">
        <f>TEXT(Data[[#This Row],[Buchung]],"MMM")</f>
        <v>Mai</v>
      </c>
      <c r="I2316" s="67">
        <f>YEAR(Data[[#This Row],[Buchung]])</f>
        <v>2021</v>
      </c>
      <c r="J2316" s="2">
        <f>ABS(Data[[#This Row],[Betrag]])</f>
        <v>80</v>
      </c>
      <c r="K2316" s="66" t="str">
        <f>IF(Data[[#This Row],[Betrag]]&lt;0,"A","E")</f>
        <v>A</v>
      </c>
    </row>
    <row r="2317" spans="1:11" x14ac:dyDescent="0.25">
      <c r="A2317" s="1">
        <v>44320</v>
      </c>
      <c r="B2317" s="66" t="s">
        <v>67</v>
      </c>
      <c r="C2317" s="66" t="s">
        <v>59</v>
      </c>
      <c r="D2317" t="s">
        <v>68</v>
      </c>
      <c r="E2317">
        <v>-25</v>
      </c>
      <c r="F2317" s="66" t="s">
        <v>7</v>
      </c>
      <c r="G2317" s="66" t="s">
        <v>10</v>
      </c>
      <c r="H2317" s="66" t="str">
        <f>TEXT(Data[[#This Row],[Buchung]],"MMM")</f>
        <v>Mai</v>
      </c>
      <c r="I2317" s="67">
        <f>YEAR(Data[[#This Row],[Buchung]])</f>
        <v>2021</v>
      </c>
      <c r="J2317" s="2">
        <f>ABS(Data[[#This Row],[Betrag]])</f>
        <v>25</v>
      </c>
      <c r="K2317" s="66" t="str">
        <f>IF(Data[[#This Row],[Betrag]]&lt;0,"A","E")</f>
        <v>A</v>
      </c>
    </row>
    <row r="2318" spans="1:11" x14ac:dyDescent="0.25">
      <c r="A2318" s="1">
        <v>44321</v>
      </c>
      <c r="B2318" s="66" t="s">
        <v>45</v>
      </c>
      <c r="C2318" s="66" t="s">
        <v>46</v>
      </c>
      <c r="D2318" t="s">
        <v>47</v>
      </c>
      <c r="E2318">
        <v>1000</v>
      </c>
      <c r="F2318" s="66" t="s">
        <v>7</v>
      </c>
      <c r="G2318" s="66" t="s">
        <v>9</v>
      </c>
      <c r="H2318" s="66" t="str">
        <f>TEXT(Data[[#This Row],[Buchung]],"MMM")</f>
        <v>Mai</v>
      </c>
      <c r="I2318" s="67">
        <f>YEAR(Data[[#This Row],[Buchung]])</f>
        <v>2021</v>
      </c>
      <c r="J2318" s="2">
        <f>ABS(Data[[#This Row],[Betrag]])</f>
        <v>1000</v>
      </c>
      <c r="K2318" s="66" t="str">
        <f>IF(Data[[#This Row],[Betrag]]&lt;0,"A","E")</f>
        <v>E</v>
      </c>
    </row>
    <row r="2319" spans="1:11" x14ac:dyDescent="0.25">
      <c r="A2319" s="1">
        <v>44322</v>
      </c>
      <c r="B2319" s="66" t="s">
        <v>48</v>
      </c>
      <c r="C2319" s="66" t="s">
        <v>49</v>
      </c>
      <c r="D2319" t="s">
        <v>50</v>
      </c>
      <c r="E2319">
        <v>-15</v>
      </c>
      <c r="F2319" s="66" t="s">
        <v>7</v>
      </c>
      <c r="G2319" s="66" t="s">
        <v>8</v>
      </c>
      <c r="H2319" s="66" t="str">
        <f>TEXT(Data[[#This Row],[Buchung]],"MMM")</f>
        <v>Mai</v>
      </c>
      <c r="I2319" s="67">
        <f>YEAR(Data[[#This Row],[Buchung]])</f>
        <v>2021</v>
      </c>
      <c r="J2319" s="2">
        <f>ABS(Data[[#This Row],[Betrag]])</f>
        <v>15</v>
      </c>
      <c r="K2319" s="66" t="str">
        <f>IF(Data[[#This Row],[Betrag]]&lt;0,"A","E")</f>
        <v>A</v>
      </c>
    </row>
    <row r="2320" spans="1:11" x14ac:dyDescent="0.25">
      <c r="A2320" s="1">
        <v>44323</v>
      </c>
      <c r="B2320" s="66" t="s">
        <v>51</v>
      </c>
      <c r="C2320" s="66" t="s">
        <v>52</v>
      </c>
      <c r="D2320" t="s">
        <v>53</v>
      </c>
      <c r="E2320">
        <v>-350</v>
      </c>
      <c r="F2320" s="66" t="s">
        <v>7</v>
      </c>
      <c r="G2320" s="66" t="s">
        <v>11</v>
      </c>
      <c r="H2320" s="66" t="str">
        <f>TEXT(Data[[#This Row],[Buchung]],"MMM")</f>
        <v>Mai</v>
      </c>
      <c r="I2320" s="67">
        <f>YEAR(Data[[#This Row],[Buchung]])</f>
        <v>2021</v>
      </c>
      <c r="J2320" s="2">
        <f>ABS(Data[[#This Row],[Betrag]])</f>
        <v>350</v>
      </c>
      <c r="K2320" s="66" t="str">
        <f>IF(Data[[#This Row],[Betrag]]&lt;0,"A","E")</f>
        <v>A</v>
      </c>
    </row>
    <row r="2321" spans="1:11" x14ac:dyDescent="0.25">
      <c r="A2321" s="1">
        <v>44324</v>
      </c>
      <c r="B2321" s="66" t="s">
        <v>54</v>
      </c>
      <c r="C2321" s="66" t="s">
        <v>55</v>
      </c>
      <c r="D2321" t="s">
        <v>56</v>
      </c>
      <c r="E2321">
        <v>-120</v>
      </c>
      <c r="F2321" s="66" t="s">
        <v>7</v>
      </c>
      <c r="G2321" s="66" t="s">
        <v>57</v>
      </c>
      <c r="H2321" s="66" t="str">
        <f>TEXT(Data[[#This Row],[Buchung]],"MMM")</f>
        <v>Mai</v>
      </c>
      <c r="I2321" s="67">
        <f>YEAR(Data[[#This Row],[Buchung]])</f>
        <v>2021</v>
      </c>
      <c r="J2321" s="2">
        <f>ABS(Data[[#This Row],[Betrag]])</f>
        <v>120</v>
      </c>
      <c r="K2321" s="66" t="str">
        <f>IF(Data[[#This Row],[Betrag]]&lt;0,"A","E")</f>
        <v>A</v>
      </c>
    </row>
    <row r="2322" spans="1:11" x14ac:dyDescent="0.25">
      <c r="A2322" s="1">
        <v>44325</v>
      </c>
      <c r="B2322" s="66" t="s">
        <v>58</v>
      </c>
      <c r="C2322" s="66" t="s">
        <v>59</v>
      </c>
      <c r="D2322" t="s">
        <v>60</v>
      </c>
      <c r="E2322">
        <v>-70</v>
      </c>
      <c r="F2322" s="66" t="s">
        <v>7</v>
      </c>
      <c r="G2322" s="66" t="s">
        <v>10</v>
      </c>
      <c r="H2322" s="66" t="str">
        <f>TEXT(Data[[#This Row],[Buchung]],"MMM")</f>
        <v>Mai</v>
      </c>
      <c r="I2322" s="67">
        <f>YEAR(Data[[#This Row],[Buchung]])</f>
        <v>2021</v>
      </c>
      <c r="J2322" s="2">
        <f>ABS(Data[[#This Row],[Betrag]])</f>
        <v>70</v>
      </c>
      <c r="K2322" s="66" t="str">
        <f>IF(Data[[#This Row],[Betrag]]&lt;0,"A","E")</f>
        <v>A</v>
      </c>
    </row>
    <row r="2323" spans="1:11" x14ac:dyDescent="0.25">
      <c r="A2323" s="1">
        <v>44326</v>
      </c>
      <c r="B2323" s="66" t="s">
        <v>45</v>
      </c>
      <c r="C2323" s="66" t="s">
        <v>46</v>
      </c>
      <c r="D2323" t="s">
        <v>47</v>
      </c>
      <c r="E2323">
        <v>1000</v>
      </c>
      <c r="F2323" s="66" t="s">
        <v>7</v>
      </c>
      <c r="G2323" s="66" t="s">
        <v>9</v>
      </c>
      <c r="H2323" s="66" t="str">
        <f>TEXT(Data[[#This Row],[Buchung]],"MMM")</f>
        <v>Mai</v>
      </c>
      <c r="I2323" s="67">
        <f>YEAR(Data[[#This Row],[Buchung]])</f>
        <v>2021</v>
      </c>
      <c r="J2323" s="2">
        <f>ABS(Data[[#This Row],[Betrag]])</f>
        <v>1000</v>
      </c>
      <c r="K2323" s="66" t="str">
        <f>IF(Data[[#This Row],[Betrag]]&lt;0,"A","E")</f>
        <v>E</v>
      </c>
    </row>
    <row r="2324" spans="1:11" x14ac:dyDescent="0.25">
      <c r="A2324" s="1">
        <v>44327</v>
      </c>
      <c r="B2324" s="66" t="s">
        <v>61</v>
      </c>
      <c r="C2324" s="66" t="s">
        <v>49</v>
      </c>
      <c r="D2324" t="s">
        <v>62</v>
      </c>
      <c r="E2324">
        <v>-10</v>
      </c>
      <c r="F2324" s="66" t="s">
        <v>7</v>
      </c>
      <c r="G2324" s="66" t="s">
        <v>8</v>
      </c>
      <c r="H2324" s="66" t="str">
        <f>TEXT(Data[[#This Row],[Buchung]],"MMM")</f>
        <v>Mai</v>
      </c>
      <c r="I2324" s="67">
        <f>YEAR(Data[[#This Row],[Buchung]])</f>
        <v>2021</v>
      </c>
      <c r="J2324" s="2">
        <f>ABS(Data[[#This Row],[Betrag]])</f>
        <v>10</v>
      </c>
      <c r="K2324" s="66" t="str">
        <f>IF(Data[[#This Row],[Betrag]]&lt;0,"A","E")</f>
        <v>A</v>
      </c>
    </row>
    <row r="2325" spans="1:11" x14ac:dyDescent="0.25">
      <c r="A2325" s="1">
        <v>44328</v>
      </c>
      <c r="B2325" s="66" t="s">
        <v>63</v>
      </c>
      <c r="C2325" s="66" t="s">
        <v>64</v>
      </c>
      <c r="D2325" t="s">
        <v>65</v>
      </c>
      <c r="E2325">
        <v>-60</v>
      </c>
      <c r="F2325" s="66" t="s">
        <v>7</v>
      </c>
      <c r="G2325" s="66" t="s">
        <v>11</v>
      </c>
      <c r="H2325" s="66" t="str">
        <f>TEXT(Data[[#This Row],[Buchung]],"MMM")</f>
        <v>Mai</v>
      </c>
      <c r="I2325" s="67">
        <f>YEAR(Data[[#This Row],[Buchung]])</f>
        <v>2021</v>
      </c>
      <c r="J2325" s="2">
        <f>ABS(Data[[#This Row],[Betrag]])</f>
        <v>60</v>
      </c>
      <c r="K2325" s="66" t="str">
        <f>IF(Data[[#This Row],[Betrag]]&lt;0,"A","E")</f>
        <v>A</v>
      </c>
    </row>
    <row r="2326" spans="1:11" x14ac:dyDescent="0.25">
      <c r="A2326" s="1">
        <v>44329</v>
      </c>
      <c r="B2326" s="66" t="s">
        <v>54</v>
      </c>
      <c r="C2326" s="66" t="s">
        <v>55</v>
      </c>
      <c r="D2326" t="s">
        <v>66</v>
      </c>
      <c r="E2326">
        <v>-80</v>
      </c>
      <c r="F2326" s="66" t="s">
        <v>7</v>
      </c>
      <c r="G2326" s="66" t="s">
        <v>57</v>
      </c>
      <c r="H2326" s="66" t="str">
        <f>TEXT(Data[[#This Row],[Buchung]],"MMM")</f>
        <v>Mai</v>
      </c>
      <c r="I2326" s="67">
        <f>YEAR(Data[[#This Row],[Buchung]])</f>
        <v>2021</v>
      </c>
      <c r="J2326" s="2">
        <f>ABS(Data[[#This Row],[Betrag]])</f>
        <v>80</v>
      </c>
      <c r="K2326" s="66" t="str">
        <f>IF(Data[[#This Row],[Betrag]]&lt;0,"A","E")</f>
        <v>A</v>
      </c>
    </row>
    <row r="2327" spans="1:11" x14ac:dyDescent="0.25">
      <c r="A2327" s="1">
        <v>44330</v>
      </c>
      <c r="B2327" s="66" t="s">
        <v>67</v>
      </c>
      <c r="C2327" s="66" t="s">
        <v>59</v>
      </c>
      <c r="D2327" t="s">
        <v>68</v>
      </c>
      <c r="E2327">
        <v>-30</v>
      </c>
      <c r="F2327" s="66" t="s">
        <v>7</v>
      </c>
      <c r="G2327" s="66" t="s">
        <v>10</v>
      </c>
      <c r="H2327" s="66" t="str">
        <f>TEXT(Data[[#This Row],[Buchung]],"MMM")</f>
        <v>Mai</v>
      </c>
      <c r="I2327" s="67">
        <f>YEAR(Data[[#This Row],[Buchung]])</f>
        <v>2021</v>
      </c>
      <c r="J2327" s="2">
        <f>ABS(Data[[#This Row],[Betrag]])</f>
        <v>30</v>
      </c>
      <c r="K2327" s="66" t="str">
        <f>IF(Data[[#This Row],[Betrag]]&lt;0,"A","E")</f>
        <v>A</v>
      </c>
    </row>
    <row r="2328" spans="1:11" x14ac:dyDescent="0.25">
      <c r="A2328" s="1">
        <v>44331</v>
      </c>
      <c r="B2328" s="66" t="s">
        <v>45</v>
      </c>
      <c r="C2328" s="66" t="s">
        <v>46</v>
      </c>
      <c r="D2328" t="s">
        <v>47</v>
      </c>
      <c r="E2328">
        <v>1000</v>
      </c>
      <c r="F2328" s="66" t="s">
        <v>7</v>
      </c>
      <c r="G2328" s="66" t="s">
        <v>9</v>
      </c>
      <c r="H2328" s="66" t="str">
        <f>TEXT(Data[[#This Row],[Buchung]],"MMM")</f>
        <v>Mai</v>
      </c>
      <c r="I2328" s="67">
        <f>YEAR(Data[[#This Row],[Buchung]])</f>
        <v>2021</v>
      </c>
      <c r="J2328" s="2">
        <f>ABS(Data[[#This Row],[Betrag]])</f>
        <v>1000</v>
      </c>
      <c r="K2328" s="66" t="str">
        <f>IF(Data[[#This Row],[Betrag]]&lt;0,"A","E")</f>
        <v>E</v>
      </c>
    </row>
    <row r="2329" spans="1:11" x14ac:dyDescent="0.25">
      <c r="A2329" s="1">
        <v>44332</v>
      </c>
      <c r="B2329" s="66" t="s">
        <v>48</v>
      </c>
      <c r="C2329" s="66" t="s">
        <v>49</v>
      </c>
      <c r="D2329" t="s">
        <v>50</v>
      </c>
      <c r="E2329">
        <v>-15</v>
      </c>
      <c r="F2329" s="66" t="s">
        <v>7</v>
      </c>
      <c r="G2329" s="66" t="s">
        <v>8</v>
      </c>
      <c r="H2329" s="66" t="str">
        <f>TEXT(Data[[#This Row],[Buchung]],"MMM")</f>
        <v>Mai</v>
      </c>
      <c r="I2329" s="67">
        <f>YEAR(Data[[#This Row],[Buchung]])</f>
        <v>2021</v>
      </c>
      <c r="J2329" s="2">
        <f>ABS(Data[[#This Row],[Betrag]])</f>
        <v>15</v>
      </c>
      <c r="K2329" s="66" t="str">
        <f>IF(Data[[#This Row],[Betrag]]&lt;0,"A","E")</f>
        <v>A</v>
      </c>
    </row>
    <row r="2330" spans="1:11" x14ac:dyDescent="0.25">
      <c r="A2330" s="1">
        <v>44333</v>
      </c>
      <c r="B2330" s="66" t="s">
        <v>51</v>
      </c>
      <c r="C2330" s="66" t="s">
        <v>52</v>
      </c>
      <c r="D2330" t="s">
        <v>53</v>
      </c>
      <c r="E2330">
        <v>-350</v>
      </c>
      <c r="F2330" s="66" t="s">
        <v>7</v>
      </c>
      <c r="G2330" s="66" t="s">
        <v>11</v>
      </c>
      <c r="H2330" s="66" t="str">
        <f>TEXT(Data[[#This Row],[Buchung]],"MMM")</f>
        <v>Mai</v>
      </c>
      <c r="I2330" s="67">
        <f>YEAR(Data[[#This Row],[Buchung]])</f>
        <v>2021</v>
      </c>
      <c r="J2330" s="2">
        <f>ABS(Data[[#This Row],[Betrag]])</f>
        <v>350</v>
      </c>
      <c r="K2330" s="66" t="str">
        <f>IF(Data[[#This Row],[Betrag]]&lt;0,"A","E")</f>
        <v>A</v>
      </c>
    </row>
    <row r="2331" spans="1:11" x14ac:dyDescent="0.25">
      <c r="A2331" s="1">
        <v>44334</v>
      </c>
      <c r="B2331" s="66" t="s">
        <v>54</v>
      </c>
      <c r="C2331" s="66" t="s">
        <v>55</v>
      </c>
      <c r="D2331" t="s">
        <v>56</v>
      </c>
      <c r="E2331">
        <v>-120</v>
      </c>
      <c r="F2331" s="66" t="s">
        <v>7</v>
      </c>
      <c r="G2331" s="66" t="s">
        <v>57</v>
      </c>
      <c r="H2331" s="66" t="str">
        <f>TEXT(Data[[#This Row],[Buchung]],"MMM")</f>
        <v>Mai</v>
      </c>
      <c r="I2331" s="67">
        <f>YEAR(Data[[#This Row],[Buchung]])</f>
        <v>2021</v>
      </c>
      <c r="J2331" s="2">
        <f>ABS(Data[[#This Row],[Betrag]])</f>
        <v>120</v>
      </c>
      <c r="K2331" s="66" t="str">
        <f>IF(Data[[#This Row],[Betrag]]&lt;0,"A","E")</f>
        <v>A</v>
      </c>
    </row>
    <row r="2332" spans="1:11" x14ac:dyDescent="0.25">
      <c r="A2332" s="1">
        <v>44335</v>
      </c>
      <c r="B2332" s="66" t="s">
        <v>58</v>
      </c>
      <c r="C2332" s="66" t="s">
        <v>59</v>
      </c>
      <c r="D2332" t="s">
        <v>60</v>
      </c>
      <c r="E2332">
        <v>-80</v>
      </c>
      <c r="F2332" s="66" t="s">
        <v>7</v>
      </c>
      <c r="G2332" s="66" t="s">
        <v>10</v>
      </c>
      <c r="H2332" s="66" t="str">
        <f>TEXT(Data[[#This Row],[Buchung]],"MMM")</f>
        <v>Mai</v>
      </c>
      <c r="I2332" s="67">
        <f>YEAR(Data[[#This Row],[Buchung]])</f>
        <v>2021</v>
      </c>
      <c r="J2332" s="2">
        <f>ABS(Data[[#This Row],[Betrag]])</f>
        <v>80</v>
      </c>
      <c r="K2332" s="66" t="str">
        <f>IF(Data[[#This Row],[Betrag]]&lt;0,"A","E")</f>
        <v>A</v>
      </c>
    </row>
    <row r="2333" spans="1:11" x14ac:dyDescent="0.25">
      <c r="A2333" s="1">
        <v>44336</v>
      </c>
      <c r="B2333" s="66" t="s">
        <v>45</v>
      </c>
      <c r="C2333" s="66" t="s">
        <v>46</v>
      </c>
      <c r="D2333" t="s">
        <v>47</v>
      </c>
      <c r="E2333">
        <v>1000</v>
      </c>
      <c r="F2333" s="66" t="s">
        <v>7</v>
      </c>
      <c r="G2333" s="66" t="s">
        <v>9</v>
      </c>
      <c r="H2333" s="66" t="str">
        <f>TEXT(Data[[#This Row],[Buchung]],"MMM")</f>
        <v>Mai</v>
      </c>
      <c r="I2333" s="67">
        <f>YEAR(Data[[#This Row],[Buchung]])</f>
        <v>2021</v>
      </c>
      <c r="J2333" s="2">
        <f>ABS(Data[[#This Row],[Betrag]])</f>
        <v>1000</v>
      </c>
      <c r="K2333" s="66" t="str">
        <f>IF(Data[[#This Row],[Betrag]]&lt;0,"A","E")</f>
        <v>E</v>
      </c>
    </row>
    <row r="2334" spans="1:11" x14ac:dyDescent="0.25">
      <c r="A2334" s="1">
        <v>44337</v>
      </c>
      <c r="B2334" s="66" t="s">
        <v>61</v>
      </c>
      <c r="C2334" s="66" t="s">
        <v>49</v>
      </c>
      <c r="D2334" t="s">
        <v>62</v>
      </c>
      <c r="E2334">
        <v>-10</v>
      </c>
      <c r="F2334" s="66" t="s">
        <v>7</v>
      </c>
      <c r="G2334" s="66" t="s">
        <v>8</v>
      </c>
      <c r="H2334" s="66" t="str">
        <f>TEXT(Data[[#This Row],[Buchung]],"MMM")</f>
        <v>Mai</v>
      </c>
      <c r="I2334" s="67">
        <f>YEAR(Data[[#This Row],[Buchung]])</f>
        <v>2021</v>
      </c>
      <c r="J2334" s="2">
        <f>ABS(Data[[#This Row],[Betrag]])</f>
        <v>10</v>
      </c>
      <c r="K2334" s="66" t="str">
        <f>IF(Data[[#This Row],[Betrag]]&lt;0,"A","E")</f>
        <v>A</v>
      </c>
    </row>
    <row r="2335" spans="1:11" x14ac:dyDescent="0.25">
      <c r="A2335" s="1">
        <v>44338</v>
      </c>
      <c r="B2335" s="66" t="s">
        <v>63</v>
      </c>
      <c r="C2335" s="66" t="s">
        <v>64</v>
      </c>
      <c r="D2335" t="s">
        <v>65</v>
      </c>
      <c r="E2335">
        <v>-65</v>
      </c>
      <c r="F2335" s="66" t="s">
        <v>7</v>
      </c>
      <c r="G2335" s="66" t="s">
        <v>11</v>
      </c>
      <c r="H2335" s="66" t="str">
        <f>TEXT(Data[[#This Row],[Buchung]],"MMM")</f>
        <v>Mai</v>
      </c>
      <c r="I2335" s="67">
        <f>YEAR(Data[[#This Row],[Buchung]])</f>
        <v>2021</v>
      </c>
      <c r="J2335" s="2">
        <f>ABS(Data[[#This Row],[Betrag]])</f>
        <v>65</v>
      </c>
      <c r="K2335" s="66" t="str">
        <f>IF(Data[[#This Row],[Betrag]]&lt;0,"A","E")</f>
        <v>A</v>
      </c>
    </row>
    <row r="2336" spans="1:11" x14ac:dyDescent="0.25">
      <c r="A2336" s="1">
        <v>44339</v>
      </c>
      <c r="B2336" s="66" t="s">
        <v>54</v>
      </c>
      <c r="C2336" s="66" t="s">
        <v>55</v>
      </c>
      <c r="D2336" t="s">
        <v>66</v>
      </c>
      <c r="E2336">
        <v>-80</v>
      </c>
      <c r="F2336" s="66" t="s">
        <v>7</v>
      </c>
      <c r="G2336" s="66" t="s">
        <v>57</v>
      </c>
      <c r="H2336" s="66" t="str">
        <f>TEXT(Data[[#This Row],[Buchung]],"MMM")</f>
        <v>Mai</v>
      </c>
      <c r="I2336" s="67">
        <f>YEAR(Data[[#This Row],[Buchung]])</f>
        <v>2021</v>
      </c>
      <c r="J2336" s="2">
        <f>ABS(Data[[#This Row],[Betrag]])</f>
        <v>80</v>
      </c>
      <c r="K2336" s="66" t="str">
        <f>IF(Data[[#This Row],[Betrag]]&lt;0,"A","E")</f>
        <v>A</v>
      </c>
    </row>
    <row r="2337" spans="1:11" x14ac:dyDescent="0.25">
      <c r="A2337" s="1">
        <v>44340</v>
      </c>
      <c r="B2337" s="66" t="s">
        <v>67</v>
      </c>
      <c r="C2337" s="66" t="s">
        <v>59</v>
      </c>
      <c r="D2337" t="s">
        <v>68</v>
      </c>
      <c r="E2337">
        <v>-35</v>
      </c>
      <c r="F2337" s="66" t="s">
        <v>7</v>
      </c>
      <c r="G2337" s="66" t="s">
        <v>10</v>
      </c>
      <c r="H2337" s="66" t="str">
        <f>TEXT(Data[[#This Row],[Buchung]],"MMM")</f>
        <v>Mai</v>
      </c>
      <c r="I2337" s="67">
        <f>YEAR(Data[[#This Row],[Buchung]])</f>
        <v>2021</v>
      </c>
      <c r="J2337" s="2">
        <f>ABS(Data[[#This Row],[Betrag]])</f>
        <v>35</v>
      </c>
      <c r="K2337" s="66" t="str">
        <f>IF(Data[[#This Row],[Betrag]]&lt;0,"A","E")</f>
        <v>A</v>
      </c>
    </row>
    <row r="2338" spans="1:11" x14ac:dyDescent="0.25">
      <c r="A2338" s="1">
        <v>44341</v>
      </c>
      <c r="B2338" s="66" t="s">
        <v>45</v>
      </c>
      <c r="C2338" s="66" t="s">
        <v>46</v>
      </c>
      <c r="D2338" t="s">
        <v>47</v>
      </c>
      <c r="E2338">
        <v>1000</v>
      </c>
      <c r="F2338" s="66" t="s">
        <v>7</v>
      </c>
      <c r="G2338" s="66" t="s">
        <v>9</v>
      </c>
      <c r="H2338" s="66" t="str">
        <f>TEXT(Data[[#This Row],[Buchung]],"MMM")</f>
        <v>Mai</v>
      </c>
      <c r="I2338" s="67">
        <f>YEAR(Data[[#This Row],[Buchung]])</f>
        <v>2021</v>
      </c>
      <c r="J2338" s="2">
        <f>ABS(Data[[#This Row],[Betrag]])</f>
        <v>1000</v>
      </c>
      <c r="K2338" s="66" t="str">
        <f>IF(Data[[#This Row],[Betrag]]&lt;0,"A","E")</f>
        <v>E</v>
      </c>
    </row>
    <row r="2339" spans="1:11" x14ac:dyDescent="0.25">
      <c r="A2339" s="1">
        <v>44342</v>
      </c>
      <c r="B2339" s="66" t="s">
        <v>45</v>
      </c>
      <c r="C2339" s="66" t="s">
        <v>46</v>
      </c>
      <c r="D2339" t="s">
        <v>47</v>
      </c>
      <c r="E2339">
        <v>1000</v>
      </c>
      <c r="F2339" s="66" t="s">
        <v>7</v>
      </c>
      <c r="G2339" s="66" t="s">
        <v>9</v>
      </c>
      <c r="H2339" s="66" t="str">
        <f>TEXT(Data[[#This Row],[Buchung]],"MMM")</f>
        <v>Mai</v>
      </c>
      <c r="I2339" s="67">
        <f>YEAR(Data[[#This Row],[Buchung]])</f>
        <v>2021</v>
      </c>
      <c r="J2339" s="2">
        <f>ABS(Data[[#This Row],[Betrag]])</f>
        <v>1000</v>
      </c>
      <c r="K2339" s="66" t="str">
        <f>IF(Data[[#This Row],[Betrag]]&lt;0,"A","E")</f>
        <v>E</v>
      </c>
    </row>
    <row r="2340" spans="1:11" x14ac:dyDescent="0.25">
      <c r="A2340" s="1">
        <v>44343</v>
      </c>
      <c r="B2340" s="66" t="s">
        <v>48</v>
      </c>
      <c r="C2340" s="66" t="s">
        <v>49</v>
      </c>
      <c r="D2340" t="s">
        <v>50</v>
      </c>
      <c r="E2340">
        <v>-15</v>
      </c>
      <c r="F2340" s="66" t="s">
        <v>7</v>
      </c>
      <c r="G2340" s="66" t="s">
        <v>8</v>
      </c>
      <c r="H2340" s="66" t="str">
        <f>TEXT(Data[[#This Row],[Buchung]],"MMM")</f>
        <v>Mai</v>
      </c>
      <c r="I2340" s="67">
        <f>YEAR(Data[[#This Row],[Buchung]])</f>
        <v>2021</v>
      </c>
      <c r="J2340" s="2">
        <f>ABS(Data[[#This Row],[Betrag]])</f>
        <v>15</v>
      </c>
      <c r="K2340" s="66" t="str">
        <f>IF(Data[[#This Row],[Betrag]]&lt;0,"A","E")</f>
        <v>A</v>
      </c>
    </row>
    <row r="2341" spans="1:11" x14ac:dyDescent="0.25">
      <c r="A2341" s="1">
        <v>44344</v>
      </c>
      <c r="B2341" s="66" t="s">
        <v>51</v>
      </c>
      <c r="C2341" s="66" t="s">
        <v>52</v>
      </c>
      <c r="D2341" t="s">
        <v>53</v>
      </c>
      <c r="E2341">
        <v>-350</v>
      </c>
      <c r="F2341" s="66" t="s">
        <v>7</v>
      </c>
      <c r="G2341" s="66" t="s">
        <v>11</v>
      </c>
      <c r="H2341" s="66" t="str">
        <f>TEXT(Data[[#This Row],[Buchung]],"MMM")</f>
        <v>Mai</v>
      </c>
      <c r="I2341" s="67">
        <f>YEAR(Data[[#This Row],[Buchung]])</f>
        <v>2021</v>
      </c>
      <c r="J2341" s="2">
        <f>ABS(Data[[#This Row],[Betrag]])</f>
        <v>350</v>
      </c>
      <c r="K2341" s="66" t="str">
        <f>IF(Data[[#This Row],[Betrag]]&lt;0,"A","E")</f>
        <v>A</v>
      </c>
    </row>
    <row r="2342" spans="1:11" x14ac:dyDescent="0.25">
      <c r="A2342" s="1">
        <v>44345</v>
      </c>
      <c r="B2342" s="66" t="s">
        <v>54</v>
      </c>
      <c r="C2342" s="66" t="s">
        <v>55</v>
      </c>
      <c r="D2342" t="s">
        <v>56</v>
      </c>
      <c r="E2342">
        <v>-120</v>
      </c>
      <c r="F2342" s="66" t="s">
        <v>7</v>
      </c>
      <c r="G2342" s="66" t="s">
        <v>57</v>
      </c>
      <c r="H2342" s="66" t="str">
        <f>TEXT(Data[[#This Row],[Buchung]],"MMM")</f>
        <v>Mai</v>
      </c>
      <c r="I2342" s="67">
        <f>YEAR(Data[[#This Row],[Buchung]])</f>
        <v>2021</v>
      </c>
      <c r="J2342" s="2">
        <f>ABS(Data[[#This Row],[Betrag]])</f>
        <v>120</v>
      </c>
      <c r="K2342" s="66" t="str">
        <f>IF(Data[[#This Row],[Betrag]]&lt;0,"A","E")</f>
        <v>A</v>
      </c>
    </row>
    <row r="2343" spans="1:11" x14ac:dyDescent="0.25">
      <c r="A2343" s="1">
        <v>44346</v>
      </c>
      <c r="B2343" s="66" t="s">
        <v>58</v>
      </c>
      <c r="C2343" s="66" t="s">
        <v>59</v>
      </c>
      <c r="D2343" t="s">
        <v>60</v>
      </c>
      <c r="E2343">
        <v>-50</v>
      </c>
      <c r="F2343" s="66" t="s">
        <v>7</v>
      </c>
      <c r="G2343" s="66" t="s">
        <v>10</v>
      </c>
      <c r="H2343" s="66" t="str">
        <f>TEXT(Data[[#This Row],[Buchung]],"MMM")</f>
        <v>Mai</v>
      </c>
      <c r="I2343" s="67">
        <f>YEAR(Data[[#This Row],[Buchung]])</f>
        <v>2021</v>
      </c>
      <c r="J2343" s="2">
        <f>ABS(Data[[#This Row],[Betrag]])</f>
        <v>50</v>
      </c>
      <c r="K2343" s="66" t="str">
        <f>IF(Data[[#This Row],[Betrag]]&lt;0,"A","E")</f>
        <v>A</v>
      </c>
    </row>
    <row r="2344" spans="1:11" x14ac:dyDescent="0.25">
      <c r="A2344" s="1">
        <v>44347</v>
      </c>
      <c r="B2344" s="66" t="s">
        <v>45</v>
      </c>
      <c r="C2344" s="66" t="s">
        <v>46</v>
      </c>
      <c r="D2344" t="s">
        <v>47</v>
      </c>
      <c r="E2344">
        <v>1000</v>
      </c>
      <c r="F2344" s="66" t="s">
        <v>7</v>
      </c>
      <c r="G2344" s="66" t="s">
        <v>9</v>
      </c>
      <c r="H2344" s="66" t="str">
        <f>TEXT(Data[[#This Row],[Buchung]],"MMM")</f>
        <v>Mai</v>
      </c>
      <c r="I2344" s="67">
        <f>YEAR(Data[[#This Row],[Buchung]])</f>
        <v>2021</v>
      </c>
      <c r="J2344" s="2">
        <f>ABS(Data[[#This Row],[Betrag]])</f>
        <v>1000</v>
      </c>
      <c r="K2344" s="66" t="str">
        <f>IF(Data[[#This Row],[Betrag]]&lt;0,"A","E")</f>
        <v>E</v>
      </c>
    </row>
    <row r="2345" spans="1:11" x14ac:dyDescent="0.25">
      <c r="A2345" s="1">
        <v>44348</v>
      </c>
      <c r="B2345" s="66" t="s">
        <v>61</v>
      </c>
      <c r="C2345" s="66" t="s">
        <v>49</v>
      </c>
      <c r="D2345" t="s">
        <v>62</v>
      </c>
      <c r="E2345">
        <v>-10</v>
      </c>
      <c r="F2345" s="66" t="s">
        <v>7</v>
      </c>
      <c r="G2345" s="66" t="s">
        <v>8</v>
      </c>
      <c r="H2345" s="66" t="str">
        <f>TEXT(Data[[#This Row],[Buchung]],"MMM")</f>
        <v>Jun</v>
      </c>
      <c r="I2345" s="67">
        <f>YEAR(Data[[#This Row],[Buchung]])</f>
        <v>2021</v>
      </c>
      <c r="J2345" s="2">
        <f>ABS(Data[[#This Row],[Betrag]])</f>
        <v>10</v>
      </c>
      <c r="K2345" s="66" t="str">
        <f>IF(Data[[#This Row],[Betrag]]&lt;0,"A","E")</f>
        <v>A</v>
      </c>
    </row>
    <row r="2346" spans="1:11" x14ac:dyDescent="0.25">
      <c r="A2346" s="1">
        <v>44349</v>
      </c>
      <c r="B2346" s="66" t="s">
        <v>63</v>
      </c>
      <c r="C2346" s="66" t="s">
        <v>64</v>
      </c>
      <c r="D2346" t="s">
        <v>65</v>
      </c>
      <c r="E2346">
        <v>-60</v>
      </c>
      <c r="F2346" s="66" t="s">
        <v>7</v>
      </c>
      <c r="G2346" s="66" t="s">
        <v>11</v>
      </c>
      <c r="H2346" s="66" t="str">
        <f>TEXT(Data[[#This Row],[Buchung]],"MMM")</f>
        <v>Jun</v>
      </c>
      <c r="I2346" s="67">
        <f>YEAR(Data[[#This Row],[Buchung]])</f>
        <v>2021</v>
      </c>
      <c r="J2346" s="2">
        <f>ABS(Data[[#This Row],[Betrag]])</f>
        <v>60</v>
      </c>
      <c r="K2346" s="66" t="str">
        <f>IF(Data[[#This Row],[Betrag]]&lt;0,"A","E")</f>
        <v>A</v>
      </c>
    </row>
    <row r="2347" spans="1:11" x14ac:dyDescent="0.25">
      <c r="A2347" s="1">
        <v>44350</v>
      </c>
      <c r="B2347" s="66" t="s">
        <v>54</v>
      </c>
      <c r="C2347" s="66" t="s">
        <v>55</v>
      </c>
      <c r="D2347" t="s">
        <v>66</v>
      </c>
      <c r="E2347">
        <v>-80</v>
      </c>
      <c r="F2347" s="66" t="s">
        <v>7</v>
      </c>
      <c r="G2347" s="66" t="s">
        <v>57</v>
      </c>
      <c r="H2347" s="66" t="str">
        <f>TEXT(Data[[#This Row],[Buchung]],"MMM")</f>
        <v>Jun</v>
      </c>
      <c r="I2347" s="67">
        <f>YEAR(Data[[#This Row],[Buchung]])</f>
        <v>2021</v>
      </c>
      <c r="J2347" s="2">
        <f>ABS(Data[[#This Row],[Betrag]])</f>
        <v>80</v>
      </c>
      <c r="K2347" s="66" t="str">
        <f>IF(Data[[#This Row],[Betrag]]&lt;0,"A","E")</f>
        <v>A</v>
      </c>
    </row>
    <row r="2348" spans="1:11" x14ac:dyDescent="0.25">
      <c r="A2348" s="1">
        <v>44351</v>
      </c>
      <c r="B2348" s="66" t="s">
        <v>67</v>
      </c>
      <c r="C2348" s="66" t="s">
        <v>59</v>
      </c>
      <c r="D2348" t="s">
        <v>68</v>
      </c>
      <c r="E2348">
        <v>-20</v>
      </c>
      <c r="F2348" s="66" t="s">
        <v>7</v>
      </c>
      <c r="G2348" s="66" t="s">
        <v>10</v>
      </c>
      <c r="H2348" s="66" t="str">
        <f>TEXT(Data[[#This Row],[Buchung]],"MMM")</f>
        <v>Jun</v>
      </c>
      <c r="I2348" s="67">
        <f>YEAR(Data[[#This Row],[Buchung]])</f>
        <v>2021</v>
      </c>
      <c r="J2348" s="2">
        <f>ABS(Data[[#This Row],[Betrag]])</f>
        <v>20</v>
      </c>
      <c r="K2348" s="66" t="str">
        <f>IF(Data[[#This Row],[Betrag]]&lt;0,"A","E")</f>
        <v>A</v>
      </c>
    </row>
    <row r="2349" spans="1:11" x14ac:dyDescent="0.25">
      <c r="A2349" s="1">
        <v>44352</v>
      </c>
      <c r="B2349" s="66" t="s">
        <v>45</v>
      </c>
      <c r="C2349" s="66" t="s">
        <v>46</v>
      </c>
      <c r="D2349" t="s">
        <v>47</v>
      </c>
      <c r="E2349">
        <v>1000</v>
      </c>
      <c r="F2349" s="66" t="s">
        <v>7</v>
      </c>
      <c r="G2349" s="66" t="s">
        <v>9</v>
      </c>
      <c r="H2349" s="66" t="str">
        <f>TEXT(Data[[#This Row],[Buchung]],"MMM")</f>
        <v>Jun</v>
      </c>
      <c r="I2349" s="67">
        <f>YEAR(Data[[#This Row],[Buchung]])</f>
        <v>2021</v>
      </c>
      <c r="J2349" s="2">
        <f>ABS(Data[[#This Row],[Betrag]])</f>
        <v>1000</v>
      </c>
      <c r="K2349" s="66" t="str">
        <f>IF(Data[[#This Row],[Betrag]]&lt;0,"A","E")</f>
        <v>E</v>
      </c>
    </row>
    <row r="2350" spans="1:11" x14ac:dyDescent="0.25">
      <c r="A2350" s="1">
        <v>44353</v>
      </c>
      <c r="B2350" s="66" t="s">
        <v>48</v>
      </c>
      <c r="C2350" s="66" t="s">
        <v>49</v>
      </c>
      <c r="D2350" t="s">
        <v>50</v>
      </c>
      <c r="E2350">
        <v>-15</v>
      </c>
      <c r="F2350" s="66" t="s">
        <v>7</v>
      </c>
      <c r="G2350" s="66" t="s">
        <v>8</v>
      </c>
      <c r="H2350" s="66" t="str">
        <f>TEXT(Data[[#This Row],[Buchung]],"MMM")</f>
        <v>Jun</v>
      </c>
      <c r="I2350" s="67">
        <f>YEAR(Data[[#This Row],[Buchung]])</f>
        <v>2021</v>
      </c>
      <c r="J2350" s="2">
        <f>ABS(Data[[#This Row],[Betrag]])</f>
        <v>15</v>
      </c>
      <c r="K2350" s="66" t="str">
        <f>IF(Data[[#This Row],[Betrag]]&lt;0,"A","E")</f>
        <v>A</v>
      </c>
    </row>
    <row r="2351" spans="1:11" x14ac:dyDescent="0.25">
      <c r="A2351" s="1">
        <v>44354</v>
      </c>
      <c r="B2351" s="66" t="s">
        <v>51</v>
      </c>
      <c r="C2351" s="66" t="s">
        <v>52</v>
      </c>
      <c r="D2351" t="s">
        <v>53</v>
      </c>
      <c r="E2351">
        <v>-350</v>
      </c>
      <c r="F2351" s="66" t="s">
        <v>7</v>
      </c>
      <c r="G2351" s="66" t="s">
        <v>11</v>
      </c>
      <c r="H2351" s="66" t="str">
        <f>TEXT(Data[[#This Row],[Buchung]],"MMM")</f>
        <v>Jun</v>
      </c>
      <c r="I2351" s="67">
        <f>YEAR(Data[[#This Row],[Buchung]])</f>
        <v>2021</v>
      </c>
      <c r="J2351" s="2">
        <f>ABS(Data[[#This Row],[Betrag]])</f>
        <v>350</v>
      </c>
      <c r="K2351" s="66" t="str">
        <f>IF(Data[[#This Row],[Betrag]]&lt;0,"A","E")</f>
        <v>A</v>
      </c>
    </row>
    <row r="2352" spans="1:11" x14ac:dyDescent="0.25">
      <c r="A2352" s="1">
        <v>44355</v>
      </c>
      <c r="B2352" s="66" t="s">
        <v>54</v>
      </c>
      <c r="C2352" s="66" t="s">
        <v>55</v>
      </c>
      <c r="D2352" t="s">
        <v>56</v>
      </c>
      <c r="E2352">
        <v>-120</v>
      </c>
      <c r="F2352" s="66" t="s">
        <v>7</v>
      </c>
      <c r="G2352" s="66" t="s">
        <v>57</v>
      </c>
      <c r="H2352" s="66" t="str">
        <f>TEXT(Data[[#This Row],[Buchung]],"MMM")</f>
        <v>Jun</v>
      </c>
      <c r="I2352" s="67">
        <f>YEAR(Data[[#This Row],[Buchung]])</f>
        <v>2021</v>
      </c>
      <c r="J2352" s="2">
        <f>ABS(Data[[#This Row],[Betrag]])</f>
        <v>120</v>
      </c>
      <c r="K2352" s="66" t="str">
        <f>IF(Data[[#This Row],[Betrag]]&lt;0,"A","E")</f>
        <v>A</v>
      </c>
    </row>
    <row r="2353" spans="1:11" x14ac:dyDescent="0.25">
      <c r="A2353" s="1">
        <v>44356</v>
      </c>
      <c r="B2353" s="66" t="s">
        <v>58</v>
      </c>
      <c r="C2353" s="66" t="s">
        <v>59</v>
      </c>
      <c r="D2353" t="s">
        <v>60</v>
      </c>
      <c r="E2353">
        <v>-60</v>
      </c>
      <c r="F2353" s="66" t="s">
        <v>7</v>
      </c>
      <c r="G2353" s="66" t="s">
        <v>10</v>
      </c>
      <c r="H2353" s="66" t="str">
        <f>TEXT(Data[[#This Row],[Buchung]],"MMM")</f>
        <v>Jun</v>
      </c>
      <c r="I2353" s="67">
        <f>YEAR(Data[[#This Row],[Buchung]])</f>
        <v>2021</v>
      </c>
      <c r="J2353" s="2">
        <f>ABS(Data[[#This Row],[Betrag]])</f>
        <v>60</v>
      </c>
      <c r="K2353" s="66" t="str">
        <f>IF(Data[[#This Row],[Betrag]]&lt;0,"A","E")</f>
        <v>A</v>
      </c>
    </row>
    <row r="2354" spans="1:11" x14ac:dyDescent="0.25">
      <c r="A2354" s="1">
        <v>44357</v>
      </c>
      <c r="B2354" s="66" t="s">
        <v>45</v>
      </c>
      <c r="C2354" s="66" t="s">
        <v>46</v>
      </c>
      <c r="D2354" t="s">
        <v>47</v>
      </c>
      <c r="E2354">
        <v>1000</v>
      </c>
      <c r="F2354" s="66" t="s">
        <v>7</v>
      </c>
      <c r="G2354" s="66" t="s">
        <v>9</v>
      </c>
      <c r="H2354" s="66" t="str">
        <f>TEXT(Data[[#This Row],[Buchung]],"MMM")</f>
        <v>Jun</v>
      </c>
      <c r="I2354" s="67">
        <f>YEAR(Data[[#This Row],[Buchung]])</f>
        <v>2021</v>
      </c>
      <c r="J2354" s="2">
        <f>ABS(Data[[#This Row],[Betrag]])</f>
        <v>1000</v>
      </c>
      <c r="K2354" s="66" t="str">
        <f>IF(Data[[#This Row],[Betrag]]&lt;0,"A","E")</f>
        <v>E</v>
      </c>
    </row>
    <row r="2355" spans="1:11" x14ac:dyDescent="0.25">
      <c r="A2355" s="1">
        <v>44358</v>
      </c>
      <c r="B2355" s="66" t="s">
        <v>61</v>
      </c>
      <c r="C2355" s="66" t="s">
        <v>49</v>
      </c>
      <c r="D2355" t="s">
        <v>62</v>
      </c>
      <c r="E2355">
        <v>-10</v>
      </c>
      <c r="F2355" s="66" t="s">
        <v>7</v>
      </c>
      <c r="G2355" s="66" t="s">
        <v>8</v>
      </c>
      <c r="H2355" s="66" t="str">
        <f>TEXT(Data[[#This Row],[Buchung]],"MMM")</f>
        <v>Jun</v>
      </c>
      <c r="I2355" s="67">
        <f>YEAR(Data[[#This Row],[Buchung]])</f>
        <v>2021</v>
      </c>
      <c r="J2355" s="2">
        <f>ABS(Data[[#This Row],[Betrag]])</f>
        <v>10</v>
      </c>
      <c r="K2355" s="66" t="str">
        <f>IF(Data[[#This Row],[Betrag]]&lt;0,"A","E")</f>
        <v>A</v>
      </c>
    </row>
    <row r="2356" spans="1:11" x14ac:dyDescent="0.25">
      <c r="A2356" s="1">
        <v>44359</v>
      </c>
      <c r="B2356" s="66" t="s">
        <v>63</v>
      </c>
      <c r="C2356" s="66" t="s">
        <v>64</v>
      </c>
      <c r="D2356" t="s">
        <v>65</v>
      </c>
      <c r="E2356">
        <v>-70</v>
      </c>
      <c r="F2356" s="66" t="s">
        <v>7</v>
      </c>
      <c r="G2356" s="66" t="s">
        <v>11</v>
      </c>
      <c r="H2356" s="66" t="str">
        <f>TEXT(Data[[#This Row],[Buchung]],"MMM")</f>
        <v>Jun</v>
      </c>
      <c r="I2356" s="67">
        <f>YEAR(Data[[#This Row],[Buchung]])</f>
        <v>2021</v>
      </c>
      <c r="J2356" s="2">
        <f>ABS(Data[[#This Row],[Betrag]])</f>
        <v>70</v>
      </c>
      <c r="K2356" s="66" t="str">
        <f>IF(Data[[#This Row],[Betrag]]&lt;0,"A","E")</f>
        <v>A</v>
      </c>
    </row>
    <row r="2357" spans="1:11" x14ac:dyDescent="0.25">
      <c r="A2357" s="1">
        <v>44360</v>
      </c>
      <c r="B2357" s="66" t="s">
        <v>54</v>
      </c>
      <c r="C2357" s="66" t="s">
        <v>55</v>
      </c>
      <c r="D2357" t="s">
        <v>66</v>
      </c>
      <c r="E2357">
        <v>-80</v>
      </c>
      <c r="F2357" s="66" t="s">
        <v>7</v>
      </c>
      <c r="G2357" s="66" t="s">
        <v>57</v>
      </c>
      <c r="H2357" s="66" t="str">
        <f>TEXT(Data[[#This Row],[Buchung]],"MMM")</f>
        <v>Jun</v>
      </c>
      <c r="I2357" s="67">
        <f>YEAR(Data[[#This Row],[Buchung]])</f>
        <v>2021</v>
      </c>
      <c r="J2357" s="2">
        <f>ABS(Data[[#This Row],[Betrag]])</f>
        <v>80</v>
      </c>
      <c r="K2357" s="66" t="str">
        <f>IF(Data[[#This Row],[Betrag]]&lt;0,"A","E")</f>
        <v>A</v>
      </c>
    </row>
    <row r="2358" spans="1:11" x14ac:dyDescent="0.25">
      <c r="A2358" s="1">
        <v>44361</v>
      </c>
      <c r="B2358" s="66" t="s">
        <v>67</v>
      </c>
      <c r="C2358" s="66" t="s">
        <v>59</v>
      </c>
      <c r="D2358" t="s">
        <v>68</v>
      </c>
      <c r="E2358">
        <v>-25</v>
      </c>
      <c r="F2358" s="66" t="s">
        <v>7</v>
      </c>
      <c r="G2358" s="66" t="s">
        <v>10</v>
      </c>
      <c r="H2358" s="66" t="str">
        <f>TEXT(Data[[#This Row],[Buchung]],"MMM")</f>
        <v>Jun</v>
      </c>
      <c r="I2358" s="67">
        <f>YEAR(Data[[#This Row],[Buchung]])</f>
        <v>2021</v>
      </c>
      <c r="J2358" s="2">
        <f>ABS(Data[[#This Row],[Betrag]])</f>
        <v>25</v>
      </c>
      <c r="K2358" s="66" t="str">
        <f>IF(Data[[#This Row],[Betrag]]&lt;0,"A","E")</f>
        <v>A</v>
      </c>
    </row>
    <row r="2359" spans="1:11" x14ac:dyDescent="0.25">
      <c r="A2359" s="1">
        <v>44362</v>
      </c>
      <c r="B2359" s="66" t="s">
        <v>45</v>
      </c>
      <c r="C2359" s="66" t="s">
        <v>46</v>
      </c>
      <c r="D2359" t="s">
        <v>47</v>
      </c>
      <c r="E2359">
        <v>1000</v>
      </c>
      <c r="F2359" s="66" t="s">
        <v>7</v>
      </c>
      <c r="G2359" s="66" t="s">
        <v>9</v>
      </c>
      <c r="H2359" s="66" t="str">
        <f>TEXT(Data[[#This Row],[Buchung]],"MMM")</f>
        <v>Jun</v>
      </c>
      <c r="I2359" s="67">
        <f>YEAR(Data[[#This Row],[Buchung]])</f>
        <v>2021</v>
      </c>
      <c r="J2359" s="2">
        <f>ABS(Data[[#This Row],[Betrag]])</f>
        <v>1000</v>
      </c>
      <c r="K2359" s="66" t="str">
        <f>IF(Data[[#This Row],[Betrag]]&lt;0,"A","E")</f>
        <v>E</v>
      </c>
    </row>
    <row r="2360" spans="1:11" x14ac:dyDescent="0.25">
      <c r="A2360" s="1">
        <v>44363</v>
      </c>
      <c r="B2360" s="66" t="s">
        <v>48</v>
      </c>
      <c r="C2360" s="66" t="s">
        <v>49</v>
      </c>
      <c r="D2360" t="s">
        <v>50</v>
      </c>
      <c r="E2360">
        <v>-15</v>
      </c>
      <c r="F2360" s="66" t="s">
        <v>7</v>
      </c>
      <c r="G2360" s="66" t="s">
        <v>8</v>
      </c>
      <c r="H2360" s="66" t="str">
        <f>TEXT(Data[[#This Row],[Buchung]],"MMM")</f>
        <v>Jun</v>
      </c>
      <c r="I2360" s="67">
        <f>YEAR(Data[[#This Row],[Buchung]])</f>
        <v>2021</v>
      </c>
      <c r="J2360" s="2">
        <f>ABS(Data[[#This Row],[Betrag]])</f>
        <v>15</v>
      </c>
      <c r="K2360" s="66" t="str">
        <f>IF(Data[[#This Row],[Betrag]]&lt;0,"A","E")</f>
        <v>A</v>
      </c>
    </row>
    <row r="2361" spans="1:11" x14ac:dyDescent="0.25">
      <c r="A2361" s="1">
        <v>44364</v>
      </c>
      <c r="B2361" s="66" t="s">
        <v>51</v>
      </c>
      <c r="C2361" s="66" t="s">
        <v>52</v>
      </c>
      <c r="D2361" t="s">
        <v>53</v>
      </c>
      <c r="E2361">
        <v>-350</v>
      </c>
      <c r="F2361" s="66" t="s">
        <v>7</v>
      </c>
      <c r="G2361" s="66" t="s">
        <v>11</v>
      </c>
      <c r="H2361" s="66" t="str">
        <f>TEXT(Data[[#This Row],[Buchung]],"MMM")</f>
        <v>Jun</v>
      </c>
      <c r="I2361" s="67">
        <f>YEAR(Data[[#This Row],[Buchung]])</f>
        <v>2021</v>
      </c>
      <c r="J2361" s="2">
        <f>ABS(Data[[#This Row],[Betrag]])</f>
        <v>350</v>
      </c>
      <c r="K2361" s="66" t="str">
        <f>IF(Data[[#This Row],[Betrag]]&lt;0,"A","E")</f>
        <v>A</v>
      </c>
    </row>
    <row r="2362" spans="1:11" x14ac:dyDescent="0.25">
      <c r="A2362" s="1">
        <v>44365</v>
      </c>
      <c r="B2362" s="66" t="s">
        <v>54</v>
      </c>
      <c r="C2362" s="66" t="s">
        <v>55</v>
      </c>
      <c r="D2362" t="s">
        <v>56</v>
      </c>
      <c r="E2362">
        <v>-120</v>
      </c>
      <c r="F2362" s="66" t="s">
        <v>7</v>
      </c>
      <c r="G2362" s="66" t="s">
        <v>57</v>
      </c>
      <c r="H2362" s="66" t="str">
        <f>TEXT(Data[[#This Row],[Buchung]],"MMM")</f>
        <v>Jun</v>
      </c>
      <c r="I2362" s="67">
        <f>YEAR(Data[[#This Row],[Buchung]])</f>
        <v>2021</v>
      </c>
      <c r="J2362" s="2">
        <f>ABS(Data[[#This Row],[Betrag]])</f>
        <v>120</v>
      </c>
      <c r="K2362" s="66" t="str">
        <f>IF(Data[[#This Row],[Betrag]]&lt;0,"A","E")</f>
        <v>A</v>
      </c>
    </row>
    <row r="2363" spans="1:11" x14ac:dyDescent="0.25">
      <c r="A2363" s="1">
        <v>44366</v>
      </c>
      <c r="B2363" s="66" t="s">
        <v>58</v>
      </c>
      <c r="C2363" s="66" t="s">
        <v>59</v>
      </c>
      <c r="D2363" t="s">
        <v>60</v>
      </c>
      <c r="E2363">
        <v>-70</v>
      </c>
      <c r="F2363" s="66" t="s">
        <v>7</v>
      </c>
      <c r="G2363" s="66" t="s">
        <v>10</v>
      </c>
      <c r="H2363" s="66" t="str">
        <f>TEXT(Data[[#This Row],[Buchung]],"MMM")</f>
        <v>Jun</v>
      </c>
      <c r="I2363" s="67">
        <f>YEAR(Data[[#This Row],[Buchung]])</f>
        <v>2021</v>
      </c>
      <c r="J2363" s="2">
        <f>ABS(Data[[#This Row],[Betrag]])</f>
        <v>70</v>
      </c>
      <c r="K2363" s="66" t="str">
        <f>IF(Data[[#This Row],[Betrag]]&lt;0,"A","E")</f>
        <v>A</v>
      </c>
    </row>
    <row r="2364" spans="1:11" x14ac:dyDescent="0.25">
      <c r="A2364" s="1">
        <v>44367</v>
      </c>
      <c r="B2364" s="66" t="s">
        <v>45</v>
      </c>
      <c r="C2364" s="66" t="s">
        <v>46</v>
      </c>
      <c r="D2364" t="s">
        <v>47</v>
      </c>
      <c r="E2364">
        <v>1000</v>
      </c>
      <c r="F2364" s="66" t="s">
        <v>7</v>
      </c>
      <c r="G2364" s="66" t="s">
        <v>9</v>
      </c>
      <c r="H2364" s="66" t="str">
        <f>TEXT(Data[[#This Row],[Buchung]],"MMM")</f>
        <v>Jun</v>
      </c>
      <c r="I2364" s="67">
        <f>YEAR(Data[[#This Row],[Buchung]])</f>
        <v>2021</v>
      </c>
      <c r="J2364" s="2">
        <f>ABS(Data[[#This Row],[Betrag]])</f>
        <v>1000</v>
      </c>
      <c r="K2364" s="66" t="str">
        <f>IF(Data[[#This Row],[Betrag]]&lt;0,"A","E")</f>
        <v>E</v>
      </c>
    </row>
    <row r="2365" spans="1:11" x14ac:dyDescent="0.25">
      <c r="A2365" s="1">
        <v>44368</v>
      </c>
      <c r="B2365" s="66" t="s">
        <v>61</v>
      </c>
      <c r="C2365" s="66" t="s">
        <v>49</v>
      </c>
      <c r="D2365" t="s">
        <v>62</v>
      </c>
      <c r="E2365">
        <v>-10</v>
      </c>
      <c r="F2365" s="66" t="s">
        <v>7</v>
      </c>
      <c r="G2365" s="66" t="s">
        <v>8</v>
      </c>
      <c r="H2365" s="66" t="str">
        <f>TEXT(Data[[#This Row],[Buchung]],"MMM")</f>
        <v>Jun</v>
      </c>
      <c r="I2365" s="67">
        <f>YEAR(Data[[#This Row],[Buchung]])</f>
        <v>2021</v>
      </c>
      <c r="J2365" s="2">
        <f>ABS(Data[[#This Row],[Betrag]])</f>
        <v>10</v>
      </c>
      <c r="K2365" s="66" t="str">
        <f>IF(Data[[#This Row],[Betrag]]&lt;0,"A","E")</f>
        <v>A</v>
      </c>
    </row>
    <row r="2366" spans="1:11" x14ac:dyDescent="0.25">
      <c r="A2366" s="1">
        <v>44369</v>
      </c>
      <c r="B2366" s="66" t="s">
        <v>63</v>
      </c>
      <c r="C2366" s="66" t="s">
        <v>64</v>
      </c>
      <c r="D2366" t="s">
        <v>65</v>
      </c>
      <c r="E2366">
        <v>-60</v>
      </c>
      <c r="F2366" s="66" t="s">
        <v>7</v>
      </c>
      <c r="G2366" s="66" t="s">
        <v>11</v>
      </c>
      <c r="H2366" s="66" t="str">
        <f>TEXT(Data[[#This Row],[Buchung]],"MMM")</f>
        <v>Jun</v>
      </c>
      <c r="I2366" s="67">
        <f>YEAR(Data[[#This Row],[Buchung]])</f>
        <v>2021</v>
      </c>
      <c r="J2366" s="2">
        <f>ABS(Data[[#This Row],[Betrag]])</f>
        <v>60</v>
      </c>
      <c r="K2366" s="66" t="str">
        <f>IF(Data[[#This Row],[Betrag]]&lt;0,"A","E")</f>
        <v>A</v>
      </c>
    </row>
    <row r="2367" spans="1:11" x14ac:dyDescent="0.25">
      <c r="A2367" s="1">
        <v>44370</v>
      </c>
      <c r="B2367" s="66" t="s">
        <v>54</v>
      </c>
      <c r="C2367" s="66" t="s">
        <v>55</v>
      </c>
      <c r="D2367" t="s">
        <v>66</v>
      </c>
      <c r="E2367">
        <v>-80</v>
      </c>
      <c r="F2367" s="66" t="s">
        <v>7</v>
      </c>
      <c r="G2367" s="66" t="s">
        <v>57</v>
      </c>
      <c r="H2367" s="66" t="str">
        <f>TEXT(Data[[#This Row],[Buchung]],"MMM")</f>
        <v>Jun</v>
      </c>
      <c r="I2367" s="67">
        <f>YEAR(Data[[#This Row],[Buchung]])</f>
        <v>2021</v>
      </c>
      <c r="J2367" s="2">
        <f>ABS(Data[[#This Row],[Betrag]])</f>
        <v>80</v>
      </c>
      <c r="K2367" s="66" t="str">
        <f>IF(Data[[#This Row],[Betrag]]&lt;0,"A","E")</f>
        <v>A</v>
      </c>
    </row>
    <row r="2368" spans="1:11" x14ac:dyDescent="0.25">
      <c r="A2368" s="1">
        <v>44371</v>
      </c>
      <c r="B2368" s="66" t="s">
        <v>67</v>
      </c>
      <c r="C2368" s="66" t="s">
        <v>59</v>
      </c>
      <c r="D2368" t="s">
        <v>68</v>
      </c>
      <c r="E2368">
        <v>-30</v>
      </c>
      <c r="F2368" s="66" t="s">
        <v>7</v>
      </c>
      <c r="G2368" s="66" t="s">
        <v>10</v>
      </c>
      <c r="H2368" s="66" t="str">
        <f>TEXT(Data[[#This Row],[Buchung]],"MMM")</f>
        <v>Jun</v>
      </c>
      <c r="I2368" s="67">
        <f>YEAR(Data[[#This Row],[Buchung]])</f>
        <v>2021</v>
      </c>
      <c r="J2368" s="2">
        <f>ABS(Data[[#This Row],[Betrag]])</f>
        <v>30</v>
      </c>
      <c r="K2368" s="66" t="str">
        <f>IF(Data[[#This Row],[Betrag]]&lt;0,"A","E")</f>
        <v>A</v>
      </c>
    </row>
    <row r="2369" spans="1:11" x14ac:dyDescent="0.25">
      <c r="A2369" s="1">
        <v>44372</v>
      </c>
      <c r="B2369" s="66" t="s">
        <v>45</v>
      </c>
      <c r="C2369" s="66" t="s">
        <v>46</v>
      </c>
      <c r="D2369" t="s">
        <v>47</v>
      </c>
      <c r="E2369">
        <v>1000</v>
      </c>
      <c r="F2369" s="66" t="s">
        <v>7</v>
      </c>
      <c r="G2369" s="66" t="s">
        <v>9</v>
      </c>
      <c r="H2369" s="66" t="str">
        <f>TEXT(Data[[#This Row],[Buchung]],"MMM")</f>
        <v>Jun</v>
      </c>
      <c r="I2369" s="67">
        <f>YEAR(Data[[#This Row],[Buchung]])</f>
        <v>2021</v>
      </c>
      <c r="J2369" s="2">
        <f>ABS(Data[[#This Row],[Betrag]])</f>
        <v>1000</v>
      </c>
      <c r="K2369" s="66" t="str">
        <f>IF(Data[[#This Row],[Betrag]]&lt;0,"A","E")</f>
        <v>E</v>
      </c>
    </row>
    <row r="2370" spans="1:11" x14ac:dyDescent="0.25">
      <c r="A2370" s="1">
        <v>44373</v>
      </c>
      <c r="B2370" s="66" t="s">
        <v>48</v>
      </c>
      <c r="C2370" s="66" t="s">
        <v>49</v>
      </c>
      <c r="D2370" t="s">
        <v>50</v>
      </c>
      <c r="E2370">
        <v>-15</v>
      </c>
      <c r="F2370" s="66" t="s">
        <v>7</v>
      </c>
      <c r="G2370" s="66" t="s">
        <v>8</v>
      </c>
      <c r="H2370" s="66" t="str">
        <f>TEXT(Data[[#This Row],[Buchung]],"MMM")</f>
        <v>Jun</v>
      </c>
      <c r="I2370" s="67">
        <f>YEAR(Data[[#This Row],[Buchung]])</f>
        <v>2021</v>
      </c>
      <c r="J2370" s="2">
        <f>ABS(Data[[#This Row],[Betrag]])</f>
        <v>15</v>
      </c>
      <c r="K2370" s="66" t="str">
        <f>IF(Data[[#This Row],[Betrag]]&lt;0,"A","E")</f>
        <v>A</v>
      </c>
    </row>
    <row r="2371" spans="1:11" x14ac:dyDescent="0.25">
      <c r="A2371" s="1">
        <v>44374</v>
      </c>
      <c r="B2371" s="66" t="s">
        <v>51</v>
      </c>
      <c r="C2371" s="66" t="s">
        <v>52</v>
      </c>
      <c r="D2371" t="s">
        <v>53</v>
      </c>
      <c r="E2371">
        <v>-350</v>
      </c>
      <c r="F2371" s="66" t="s">
        <v>7</v>
      </c>
      <c r="G2371" s="66" t="s">
        <v>11</v>
      </c>
      <c r="H2371" s="66" t="str">
        <f>TEXT(Data[[#This Row],[Buchung]],"MMM")</f>
        <v>Jun</v>
      </c>
      <c r="I2371" s="67">
        <f>YEAR(Data[[#This Row],[Buchung]])</f>
        <v>2021</v>
      </c>
      <c r="J2371" s="2">
        <f>ABS(Data[[#This Row],[Betrag]])</f>
        <v>350</v>
      </c>
      <c r="K2371" s="66" t="str">
        <f>IF(Data[[#This Row],[Betrag]]&lt;0,"A","E")</f>
        <v>A</v>
      </c>
    </row>
    <row r="2372" spans="1:11" x14ac:dyDescent="0.25">
      <c r="A2372" s="1">
        <v>44375</v>
      </c>
      <c r="B2372" s="66" t="s">
        <v>54</v>
      </c>
      <c r="C2372" s="66" t="s">
        <v>55</v>
      </c>
      <c r="D2372" t="s">
        <v>56</v>
      </c>
      <c r="E2372">
        <v>-120</v>
      </c>
      <c r="F2372" s="66" t="s">
        <v>7</v>
      </c>
      <c r="G2372" s="66" t="s">
        <v>57</v>
      </c>
      <c r="H2372" s="66" t="str">
        <f>TEXT(Data[[#This Row],[Buchung]],"MMM")</f>
        <v>Jun</v>
      </c>
      <c r="I2372" s="67">
        <f>YEAR(Data[[#This Row],[Buchung]])</f>
        <v>2021</v>
      </c>
      <c r="J2372" s="2">
        <f>ABS(Data[[#This Row],[Betrag]])</f>
        <v>120</v>
      </c>
      <c r="K2372" s="66" t="str">
        <f>IF(Data[[#This Row],[Betrag]]&lt;0,"A","E")</f>
        <v>A</v>
      </c>
    </row>
    <row r="2373" spans="1:11" x14ac:dyDescent="0.25">
      <c r="A2373" s="1">
        <v>44376</v>
      </c>
      <c r="B2373" s="66" t="s">
        <v>58</v>
      </c>
      <c r="C2373" s="66" t="s">
        <v>59</v>
      </c>
      <c r="D2373" t="s">
        <v>60</v>
      </c>
      <c r="E2373">
        <v>-80</v>
      </c>
      <c r="F2373" s="66" t="s">
        <v>7</v>
      </c>
      <c r="G2373" s="66" t="s">
        <v>10</v>
      </c>
      <c r="H2373" s="66" t="str">
        <f>TEXT(Data[[#This Row],[Buchung]],"MMM")</f>
        <v>Jun</v>
      </c>
      <c r="I2373" s="67">
        <f>YEAR(Data[[#This Row],[Buchung]])</f>
        <v>2021</v>
      </c>
      <c r="J2373" s="2">
        <f>ABS(Data[[#This Row],[Betrag]])</f>
        <v>80</v>
      </c>
      <c r="K2373" s="66" t="str">
        <f>IF(Data[[#This Row],[Betrag]]&lt;0,"A","E")</f>
        <v>A</v>
      </c>
    </row>
    <row r="2374" spans="1:11" x14ac:dyDescent="0.25">
      <c r="A2374" s="1">
        <v>44377</v>
      </c>
      <c r="B2374" s="66" t="s">
        <v>45</v>
      </c>
      <c r="C2374" s="66" t="s">
        <v>46</v>
      </c>
      <c r="D2374" t="s">
        <v>47</v>
      </c>
      <c r="E2374">
        <v>1000</v>
      </c>
      <c r="F2374" s="66" t="s">
        <v>7</v>
      </c>
      <c r="G2374" s="66" t="s">
        <v>9</v>
      </c>
      <c r="H2374" s="66" t="str">
        <f>TEXT(Data[[#This Row],[Buchung]],"MMM")</f>
        <v>Jun</v>
      </c>
      <c r="I2374" s="67">
        <f>YEAR(Data[[#This Row],[Buchung]])</f>
        <v>2021</v>
      </c>
      <c r="J2374" s="2">
        <f>ABS(Data[[#This Row],[Betrag]])</f>
        <v>1000</v>
      </c>
      <c r="K2374" s="66" t="str">
        <f>IF(Data[[#This Row],[Betrag]]&lt;0,"A","E")</f>
        <v>E</v>
      </c>
    </row>
    <row r="2375" spans="1:11" x14ac:dyDescent="0.25">
      <c r="A2375" s="1">
        <v>44378</v>
      </c>
      <c r="B2375" s="66" t="s">
        <v>61</v>
      </c>
      <c r="C2375" s="66" t="s">
        <v>49</v>
      </c>
      <c r="D2375" t="s">
        <v>62</v>
      </c>
      <c r="E2375">
        <v>-10</v>
      </c>
      <c r="F2375" s="66" t="s">
        <v>7</v>
      </c>
      <c r="G2375" s="66" t="s">
        <v>8</v>
      </c>
      <c r="H2375" s="66" t="str">
        <f>TEXT(Data[[#This Row],[Buchung]],"MMM")</f>
        <v>Jul</v>
      </c>
      <c r="I2375" s="67">
        <f>YEAR(Data[[#This Row],[Buchung]])</f>
        <v>2021</v>
      </c>
      <c r="J2375" s="2">
        <f>ABS(Data[[#This Row],[Betrag]])</f>
        <v>10</v>
      </c>
      <c r="K2375" s="66" t="str">
        <f>IF(Data[[#This Row],[Betrag]]&lt;0,"A","E")</f>
        <v>A</v>
      </c>
    </row>
    <row r="2376" spans="1:11" x14ac:dyDescent="0.25">
      <c r="A2376" s="1">
        <v>44379</v>
      </c>
      <c r="B2376" s="66" t="s">
        <v>63</v>
      </c>
      <c r="C2376" s="66" t="s">
        <v>64</v>
      </c>
      <c r="D2376" t="s">
        <v>65</v>
      </c>
      <c r="E2376">
        <v>-65</v>
      </c>
      <c r="F2376" s="66" t="s">
        <v>7</v>
      </c>
      <c r="G2376" s="66" t="s">
        <v>11</v>
      </c>
      <c r="H2376" s="66" t="str">
        <f>TEXT(Data[[#This Row],[Buchung]],"MMM")</f>
        <v>Jul</v>
      </c>
      <c r="I2376" s="67">
        <f>YEAR(Data[[#This Row],[Buchung]])</f>
        <v>2021</v>
      </c>
      <c r="J2376" s="2">
        <f>ABS(Data[[#This Row],[Betrag]])</f>
        <v>65</v>
      </c>
      <c r="K2376" s="66" t="str">
        <f>IF(Data[[#This Row],[Betrag]]&lt;0,"A","E")</f>
        <v>A</v>
      </c>
    </row>
    <row r="2377" spans="1:11" x14ac:dyDescent="0.25">
      <c r="A2377" s="1">
        <v>44380</v>
      </c>
      <c r="B2377" s="66" t="s">
        <v>54</v>
      </c>
      <c r="C2377" s="66" t="s">
        <v>55</v>
      </c>
      <c r="D2377" t="s">
        <v>66</v>
      </c>
      <c r="E2377">
        <v>-80</v>
      </c>
      <c r="F2377" s="66" t="s">
        <v>7</v>
      </c>
      <c r="G2377" s="66" t="s">
        <v>57</v>
      </c>
      <c r="H2377" s="66" t="str">
        <f>TEXT(Data[[#This Row],[Buchung]],"MMM")</f>
        <v>Jul</v>
      </c>
      <c r="I2377" s="67">
        <f>YEAR(Data[[#This Row],[Buchung]])</f>
        <v>2021</v>
      </c>
      <c r="J2377" s="2">
        <f>ABS(Data[[#This Row],[Betrag]])</f>
        <v>80</v>
      </c>
      <c r="K2377" s="66" t="str">
        <f>IF(Data[[#This Row],[Betrag]]&lt;0,"A","E")</f>
        <v>A</v>
      </c>
    </row>
    <row r="2378" spans="1:11" x14ac:dyDescent="0.25">
      <c r="A2378" s="1">
        <v>44381</v>
      </c>
      <c r="B2378" s="66" t="s">
        <v>67</v>
      </c>
      <c r="C2378" s="66" t="s">
        <v>59</v>
      </c>
      <c r="D2378" t="s">
        <v>68</v>
      </c>
      <c r="E2378">
        <v>-35</v>
      </c>
      <c r="F2378" s="66" t="s">
        <v>7</v>
      </c>
      <c r="G2378" s="66" t="s">
        <v>10</v>
      </c>
      <c r="H2378" s="66" t="str">
        <f>TEXT(Data[[#This Row],[Buchung]],"MMM")</f>
        <v>Jul</v>
      </c>
      <c r="I2378" s="67">
        <f>YEAR(Data[[#This Row],[Buchung]])</f>
        <v>2021</v>
      </c>
      <c r="J2378" s="2">
        <f>ABS(Data[[#This Row],[Betrag]])</f>
        <v>35</v>
      </c>
      <c r="K2378" s="66" t="str">
        <f>IF(Data[[#This Row],[Betrag]]&lt;0,"A","E")</f>
        <v>A</v>
      </c>
    </row>
    <row r="2379" spans="1:11" x14ac:dyDescent="0.25">
      <c r="A2379" s="1">
        <v>44382</v>
      </c>
      <c r="B2379" s="66" t="s">
        <v>45</v>
      </c>
      <c r="C2379" s="66" t="s">
        <v>46</v>
      </c>
      <c r="D2379" t="s">
        <v>47</v>
      </c>
      <c r="E2379">
        <v>1000</v>
      </c>
      <c r="F2379" s="66" t="s">
        <v>7</v>
      </c>
      <c r="G2379" s="66" t="s">
        <v>9</v>
      </c>
      <c r="H2379" s="66" t="str">
        <f>TEXT(Data[[#This Row],[Buchung]],"MMM")</f>
        <v>Jul</v>
      </c>
      <c r="I2379" s="67">
        <f>YEAR(Data[[#This Row],[Buchung]])</f>
        <v>2021</v>
      </c>
      <c r="J2379" s="2">
        <f>ABS(Data[[#This Row],[Betrag]])</f>
        <v>1000</v>
      </c>
      <c r="K2379" s="66" t="str">
        <f>IF(Data[[#This Row],[Betrag]]&lt;0,"A","E")</f>
        <v>E</v>
      </c>
    </row>
    <row r="2380" spans="1:11" x14ac:dyDescent="0.25">
      <c r="A2380" s="1">
        <v>44383</v>
      </c>
      <c r="B2380" s="66" t="s">
        <v>45</v>
      </c>
      <c r="C2380" s="66" t="s">
        <v>46</v>
      </c>
      <c r="D2380" t="s">
        <v>47</v>
      </c>
      <c r="E2380">
        <v>1000</v>
      </c>
      <c r="F2380" s="66" t="s">
        <v>7</v>
      </c>
      <c r="G2380" s="66" t="s">
        <v>9</v>
      </c>
      <c r="H2380" s="66" t="str">
        <f>TEXT(Data[[#This Row],[Buchung]],"MMM")</f>
        <v>Jul</v>
      </c>
      <c r="I2380" s="67">
        <f>YEAR(Data[[#This Row],[Buchung]])</f>
        <v>2021</v>
      </c>
      <c r="J2380" s="2">
        <f>ABS(Data[[#This Row],[Betrag]])</f>
        <v>1000</v>
      </c>
      <c r="K2380" s="66" t="str">
        <f>IF(Data[[#This Row],[Betrag]]&lt;0,"A","E")</f>
        <v>E</v>
      </c>
    </row>
    <row r="2381" spans="1:11" x14ac:dyDescent="0.25">
      <c r="A2381" s="1">
        <v>44384</v>
      </c>
      <c r="B2381" s="66" t="s">
        <v>48</v>
      </c>
      <c r="C2381" s="66" t="s">
        <v>49</v>
      </c>
      <c r="D2381" t="s">
        <v>50</v>
      </c>
      <c r="E2381">
        <v>-15</v>
      </c>
      <c r="F2381" s="66" t="s">
        <v>7</v>
      </c>
      <c r="G2381" s="66" t="s">
        <v>8</v>
      </c>
      <c r="H2381" s="66" t="str">
        <f>TEXT(Data[[#This Row],[Buchung]],"MMM")</f>
        <v>Jul</v>
      </c>
      <c r="I2381" s="67">
        <f>YEAR(Data[[#This Row],[Buchung]])</f>
        <v>2021</v>
      </c>
      <c r="J2381" s="2">
        <f>ABS(Data[[#This Row],[Betrag]])</f>
        <v>15</v>
      </c>
      <c r="K2381" s="66" t="str">
        <f>IF(Data[[#This Row],[Betrag]]&lt;0,"A","E")</f>
        <v>A</v>
      </c>
    </row>
    <row r="2382" spans="1:11" x14ac:dyDescent="0.25">
      <c r="A2382" s="1">
        <v>44385</v>
      </c>
      <c r="B2382" s="66" t="s">
        <v>51</v>
      </c>
      <c r="C2382" s="66" t="s">
        <v>52</v>
      </c>
      <c r="D2382" t="s">
        <v>53</v>
      </c>
      <c r="E2382">
        <v>-350</v>
      </c>
      <c r="F2382" s="66" t="s">
        <v>7</v>
      </c>
      <c r="G2382" s="66" t="s">
        <v>11</v>
      </c>
      <c r="H2382" s="66" t="str">
        <f>TEXT(Data[[#This Row],[Buchung]],"MMM")</f>
        <v>Jul</v>
      </c>
      <c r="I2382" s="67">
        <f>YEAR(Data[[#This Row],[Buchung]])</f>
        <v>2021</v>
      </c>
      <c r="J2382" s="2">
        <f>ABS(Data[[#This Row],[Betrag]])</f>
        <v>350</v>
      </c>
      <c r="K2382" s="66" t="str">
        <f>IF(Data[[#This Row],[Betrag]]&lt;0,"A","E")</f>
        <v>A</v>
      </c>
    </row>
    <row r="2383" spans="1:11" x14ac:dyDescent="0.25">
      <c r="A2383" s="1">
        <v>44386</v>
      </c>
      <c r="B2383" s="66" t="s">
        <v>54</v>
      </c>
      <c r="C2383" s="66" t="s">
        <v>55</v>
      </c>
      <c r="D2383" t="s">
        <v>56</v>
      </c>
      <c r="E2383">
        <v>-120</v>
      </c>
      <c r="F2383" s="66" t="s">
        <v>7</v>
      </c>
      <c r="G2383" s="66" t="s">
        <v>57</v>
      </c>
      <c r="H2383" s="66" t="str">
        <f>TEXT(Data[[#This Row],[Buchung]],"MMM")</f>
        <v>Jul</v>
      </c>
      <c r="I2383" s="67">
        <f>YEAR(Data[[#This Row],[Buchung]])</f>
        <v>2021</v>
      </c>
      <c r="J2383" s="2">
        <f>ABS(Data[[#This Row],[Betrag]])</f>
        <v>120</v>
      </c>
      <c r="K2383" s="66" t="str">
        <f>IF(Data[[#This Row],[Betrag]]&lt;0,"A","E")</f>
        <v>A</v>
      </c>
    </row>
    <row r="2384" spans="1:11" x14ac:dyDescent="0.25">
      <c r="A2384" s="1">
        <v>44387</v>
      </c>
      <c r="B2384" s="66" t="s">
        <v>58</v>
      </c>
      <c r="C2384" s="66" t="s">
        <v>59</v>
      </c>
      <c r="D2384" t="s">
        <v>60</v>
      </c>
      <c r="E2384">
        <v>-50</v>
      </c>
      <c r="F2384" s="66" t="s">
        <v>7</v>
      </c>
      <c r="G2384" s="66" t="s">
        <v>10</v>
      </c>
      <c r="H2384" s="66" t="str">
        <f>TEXT(Data[[#This Row],[Buchung]],"MMM")</f>
        <v>Jul</v>
      </c>
      <c r="I2384" s="67">
        <f>YEAR(Data[[#This Row],[Buchung]])</f>
        <v>2021</v>
      </c>
      <c r="J2384" s="2">
        <f>ABS(Data[[#This Row],[Betrag]])</f>
        <v>50</v>
      </c>
      <c r="K2384" s="66" t="str">
        <f>IF(Data[[#This Row],[Betrag]]&lt;0,"A","E")</f>
        <v>A</v>
      </c>
    </row>
    <row r="2385" spans="1:11" x14ac:dyDescent="0.25">
      <c r="A2385" s="1">
        <v>44388</v>
      </c>
      <c r="B2385" s="66" t="s">
        <v>45</v>
      </c>
      <c r="C2385" s="66" t="s">
        <v>46</v>
      </c>
      <c r="D2385" t="s">
        <v>47</v>
      </c>
      <c r="E2385">
        <v>1000</v>
      </c>
      <c r="F2385" s="66" t="s">
        <v>7</v>
      </c>
      <c r="G2385" s="66" t="s">
        <v>9</v>
      </c>
      <c r="H2385" s="66" t="str">
        <f>TEXT(Data[[#This Row],[Buchung]],"MMM")</f>
        <v>Jul</v>
      </c>
      <c r="I2385" s="67">
        <f>YEAR(Data[[#This Row],[Buchung]])</f>
        <v>2021</v>
      </c>
      <c r="J2385" s="2">
        <f>ABS(Data[[#This Row],[Betrag]])</f>
        <v>1000</v>
      </c>
      <c r="K2385" s="66" t="str">
        <f>IF(Data[[#This Row],[Betrag]]&lt;0,"A","E")</f>
        <v>E</v>
      </c>
    </row>
    <row r="2386" spans="1:11" x14ac:dyDescent="0.25">
      <c r="A2386" s="1">
        <v>44389</v>
      </c>
      <c r="B2386" s="66" t="s">
        <v>61</v>
      </c>
      <c r="C2386" s="66" t="s">
        <v>49</v>
      </c>
      <c r="D2386" t="s">
        <v>62</v>
      </c>
      <c r="E2386">
        <v>-10</v>
      </c>
      <c r="F2386" s="66" t="s">
        <v>7</v>
      </c>
      <c r="G2386" s="66" t="s">
        <v>8</v>
      </c>
      <c r="H2386" s="66" t="str">
        <f>TEXT(Data[[#This Row],[Buchung]],"MMM")</f>
        <v>Jul</v>
      </c>
      <c r="I2386" s="67">
        <f>YEAR(Data[[#This Row],[Buchung]])</f>
        <v>2021</v>
      </c>
      <c r="J2386" s="2">
        <f>ABS(Data[[#This Row],[Betrag]])</f>
        <v>10</v>
      </c>
      <c r="K2386" s="66" t="str">
        <f>IF(Data[[#This Row],[Betrag]]&lt;0,"A","E")</f>
        <v>A</v>
      </c>
    </row>
    <row r="2387" spans="1:11" x14ac:dyDescent="0.25">
      <c r="A2387" s="1">
        <v>44390</v>
      </c>
      <c r="B2387" s="66" t="s">
        <v>63</v>
      </c>
      <c r="C2387" s="66" t="s">
        <v>64</v>
      </c>
      <c r="D2387" t="s">
        <v>65</v>
      </c>
      <c r="E2387">
        <v>-60</v>
      </c>
      <c r="F2387" s="66" t="s">
        <v>7</v>
      </c>
      <c r="G2387" s="66" t="s">
        <v>11</v>
      </c>
      <c r="H2387" s="66" t="str">
        <f>TEXT(Data[[#This Row],[Buchung]],"MMM")</f>
        <v>Jul</v>
      </c>
      <c r="I2387" s="67">
        <f>YEAR(Data[[#This Row],[Buchung]])</f>
        <v>2021</v>
      </c>
      <c r="J2387" s="2">
        <f>ABS(Data[[#This Row],[Betrag]])</f>
        <v>60</v>
      </c>
      <c r="K2387" s="66" t="str">
        <f>IF(Data[[#This Row],[Betrag]]&lt;0,"A","E")</f>
        <v>A</v>
      </c>
    </row>
    <row r="2388" spans="1:11" x14ac:dyDescent="0.25">
      <c r="A2388" s="1">
        <v>44391</v>
      </c>
      <c r="B2388" s="66" t="s">
        <v>54</v>
      </c>
      <c r="C2388" s="66" t="s">
        <v>55</v>
      </c>
      <c r="D2388" t="s">
        <v>66</v>
      </c>
      <c r="E2388">
        <v>-80</v>
      </c>
      <c r="F2388" s="66" t="s">
        <v>7</v>
      </c>
      <c r="G2388" s="66" t="s">
        <v>57</v>
      </c>
      <c r="H2388" s="66" t="str">
        <f>TEXT(Data[[#This Row],[Buchung]],"MMM")</f>
        <v>Jul</v>
      </c>
      <c r="I2388" s="67">
        <f>YEAR(Data[[#This Row],[Buchung]])</f>
        <v>2021</v>
      </c>
      <c r="J2388" s="2">
        <f>ABS(Data[[#This Row],[Betrag]])</f>
        <v>80</v>
      </c>
      <c r="K2388" s="66" t="str">
        <f>IF(Data[[#This Row],[Betrag]]&lt;0,"A","E")</f>
        <v>A</v>
      </c>
    </row>
    <row r="2389" spans="1:11" x14ac:dyDescent="0.25">
      <c r="A2389" s="1">
        <v>44392</v>
      </c>
      <c r="B2389" s="66" t="s">
        <v>67</v>
      </c>
      <c r="C2389" s="66" t="s">
        <v>59</v>
      </c>
      <c r="D2389" t="s">
        <v>68</v>
      </c>
      <c r="E2389">
        <v>-20</v>
      </c>
      <c r="F2389" s="66" t="s">
        <v>7</v>
      </c>
      <c r="G2389" s="66" t="s">
        <v>10</v>
      </c>
      <c r="H2389" s="66" t="str">
        <f>TEXT(Data[[#This Row],[Buchung]],"MMM")</f>
        <v>Jul</v>
      </c>
      <c r="I2389" s="67">
        <f>YEAR(Data[[#This Row],[Buchung]])</f>
        <v>2021</v>
      </c>
      <c r="J2389" s="2">
        <f>ABS(Data[[#This Row],[Betrag]])</f>
        <v>20</v>
      </c>
      <c r="K2389" s="66" t="str">
        <f>IF(Data[[#This Row],[Betrag]]&lt;0,"A","E")</f>
        <v>A</v>
      </c>
    </row>
    <row r="2390" spans="1:11" x14ac:dyDescent="0.25">
      <c r="A2390" s="1">
        <v>44393</v>
      </c>
      <c r="B2390" s="66" t="s">
        <v>45</v>
      </c>
      <c r="C2390" s="66" t="s">
        <v>46</v>
      </c>
      <c r="D2390" t="s">
        <v>47</v>
      </c>
      <c r="E2390">
        <v>1000</v>
      </c>
      <c r="F2390" s="66" t="s">
        <v>7</v>
      </c>
      <c r="G2390" s="66" t="s">
        <v>9</v>
      </c>
      <c r="H2390" s="66" t="str">
        <f>TEXT(Data[[#This Row],[Buchung]],"MMM")</f>
        <v>Jul</v>
      </c>
      <c r="I2390" s="67">
        <f>YEAR(Data[[#This Row],[Buchung]])</f>
        <v>2021</v>
      </c>
      <c r="J2390" s="2">
        <f>ABS(Data[[#This Row],[Betrag]])</f>
        <v>1000</v>
      </c>
      <c r="K2390" s="66" t="str">
        <f>IF(Data[[#This Row],[Betrag]]&lt;0,"A","E")</f>
        <v>E</v>
      </c>
    </row>
    <row r="2391" spans="1:11" x14ac:dyDescent="0.25">
      <c r="A2391" s="1">
        <v>44394</v>
      </c>
      <c r="B2391" s="66" t="s">
        <v>48</v>
      </c>
      <c r="C2391" s="66" t="s">
        <v>49</v>
      </c>
      <c r="D2391" t="s">
        <v>50</v>
      </c>
      <c r="E2391">
        <v>-15</v>
      </c>
      <c r="F2391" s="66" t="s">
        <v>7</v>
      </c>
      <c r="G2391" s="66" t="s">
        <v>8</v>
      </c>
      <c r="H2391" s="66" t="str">
        <f>TEXT(Data[[#This Row],[Buchung]],"MMM")</f>
        <v>Jul</v>
      </c>
      <c r="I2391" s="67">
        <f>YEAR(Data[[#This Row],[Buchung]])</f>
        <v>2021</v>
      </c>
      <c r="J2391" s="2">
        <f>ABS(Data[[#This Row],[Betrag]])</f>
        <v>15</v>
      </c>
      <c r="K2391" s="66" t="str">
        <f>IF(Data[[#This Row],[Betrag]]&lt;0,"A","E")</f>
        <v>A</v>
      </c>
    </row>
    <row r="2392" spans="1:11" x14ac:dyDescent="0.25">
      <c r="A2392" s="1">
        <v>44395</v>
      </c>
      <c r="B2392" s="66" t="s">
        <v>51</v>
      </c>
      <c r="C2392" s="66" t="s">
        <v>52</v>
      </c>
      <c r="D2392" t="s">
        <v>53</v>
      </c>
      <c r="E2392">
        <v>-350</v>
      </c>
      <c r="F2392" s="66" t="s">
        <v>7</v>
      </c>
      <c r="G2392" s="66" t="s">
        <v>11</v>
      </c>
      <c r="H2392" s="66" t="str">
        <f>TEXT(Data[[#This Row],[Buchung]],"MMM")</f>
        <v>Jul</v>
      </c>
      <c r="I2392" s="67">
        <f>YEAR(Data[[#This Row],[Buchung]])</f>
        <v>2021</v>
      </c>
      <c r="J2392" s="2">
        <f>ABS(Data[[#This Row],[Betrag]])</f>
        <v>350</v>
      </c>
      <c r="K2392" s="66" t="str">
        <f>IF(Data[[#This Row],[Betrag]]&lt;0,"A","E")</f>
        <v>A</v>
      </c>
    </row>
    <row r="2393" spans="1:11" x14ac:dyDescent="0.25">
      <c r="A2393" s="1">
        <v>44396</v>
      </c>
      <c r="B2393" s="66" t="s">
        <v>54</v>
      </c>
      <c r="C2393" s="66" t="s">
        <v>55</v>
      </c>
      <c r="D2393" t="s">
        <v>56</v>
      </c>
      <c r="E2393">
        <v>-120</v>
      </c>
      <c r="F2393" s="66" t="s">
        <v>7</v>
      </c>
      <c r="G2393" s="66" t="s">
        <v>57</v>
      </c>
      <c r="H2393" s="66" t="str">
        <f>TEXT(Data[[#This Row],[Buchung]],"MMM")</f>
        <v>Jul</v>
      </c>
      <c r="I2393" s="67">
        <f>YEAR(Data[[#This Row],[Buchung]])</f>
        <v>2021</v>
      </c>
      <c r="J2393" s="2">
        <f>ABS(Data[[#This Row],[Betrag]])</f>
        <v>120</v>
      </c>
      <c r="K2393" s="66" t="str">
        <f>IF(Data[[#This Row],[Betrag]]&lt;0,"A","E")</f>
        <v>A</v>
      </c>
    </row>
    <row r="2394" spans="1:11" x14ac:dyDescent="0.25">
      <c r="A2394" s="1">
        <v>44397</v>
      </c>
      <c r="B2394" s="66" t="s">
        <v>58</v>
      </c>
      <c r="C2394" s="66" t="s">
        <v>59</v>
      </c>
      <c r="D2394" t="s">
        <v>60</v>
      </c>
      <c r="E2394">
        <v>-60</v>
      </c>
      <c r="F2394" s="66" t="s">
        <v>7</v>
      </c>
      <c r="G2394" s="66" t="s">
        <v>10</v>
      </c>
      <c r="H2394" s="66" t="str">
        <f>TEXT(Data[[#This Row],[Buchung]],"MMM")</f>
        <v>Jul</v>
      </c>
      <c r="I2394" s="67">
        <f>YEAR(Data[[#This Row],[Buchung]])</f>
        <v>2021</v>
      </c>
      <c r="J2394" s="2">
        <f>ABS(Data[[#This Row],[Betrag]])</f>
        <v>60</v>
      </c>
      <c r="K2394" s="66" t="str">
        <f>IF(Data[[#This Row],[Betrag]]&lt;0,"A","E")</f>
        <v>A</v>
      </c>
    </row>
    <row r="2395" spans="1:11" x14ac:dyDescent="0.25">
      <c r="A2395" s="1">
        <v>44398</v>
      </c>
      <c r="B2395" s="66" t="s">
        <v>45</v>
      </c>
      <c r="C2395" s="66" t="s">
        <v>46</v>
      </c>
      <c r="D2395" t="s">
        <v>47</v>
      </c>
      <c r="E2395">
        <v>1000</v>
      </c>
      <c r="F2395" s="66" t="s">
        <v>7</v>
      </c>
      <c r="G2395" s="66" t="s">
        <v>9</v>
      </c>
      <c r="H2395" s="66" t="str">
        <f>TEXT(Data[[#This Row],[Buchung]],"MMM")</f>
        <v>Jul</v>
      </c>
      <c r="I2395" s="67">
        <f>YEAR(Data[[#This Row],[Buchung]])</f>
        <v>2021</v>
      </c>
      <c r="J2395" s="2">
        <f>ABS(Data[[#This Row],[Betrag]])</f>
        <v>1000</v>
      </c>
      <c r="K2395" s="66" t="str">
        <f>IF(Data[[#This Row],[Betrag]]&lt;0,"A","E")</f>
        <v>E</v>
      </c>
    </row>
    <row r="2396" spans="1:11" x14ac:dyDescent="0.25">
      <c r="A2396" s="1">
        <v>44399</v>
      </c>
      <c r="B2396" s="66" t="s">
        <v>61</v>
      </c>
      <c r="C2396" s="66" t="s">
        <v>49</v>
      </c>
      <c r="D2396" t="s">
        <v>62</v>
      </c>
      <c r="E2396">
        <v>-10</v>
      </c>
      <c r="F2396" s="66" t="s">
        <v>7</v>
      </c>
      <c r="G2396" s="66" t="s">
        <v>8</v>
      </c>
      <c r="H2396" s="66" t="str">
        <f>TEXT(Data[[#This Row],[Buchung]],"MMM")</f>
        <v>Jul</v>
      </c>
      <c r="I2396" s="67">
        <f>YEAR(Data[[#This Row],[Buchung]])</f>
        <v>2021</v>
      </c>
      <c r="J2396" s="2">
        <f>ABS(Data[[#This Row],[Betrag]])</f>
        <v>10</v>
      </c>
      <c r="K2396" s="66" t="str">
        <f>IF(Data[[#This Row],[Betrag]]&lt;0,"A","E")</f>
        <v>A</v>
      </c>
    </row>
    <row r="2397" spans="1:11" x14ac:dyDescent="0.25">
      <c r="A2397" s="1">
        <v>44400</v>
      </c>
      <c r="B2397" s="66" t="s">
        <v>63</v>
      </c>
      <c r="C2397" s="66" t="s">
        <v>64</v>
      </c>
      <c r="D2397" t="s">
        <v>65</v>
      </c>
      <c r="E2397">
        <v>-70</v>
      </c>
      <c r="F2397" s="66" t="s">
        <v>7</v>
      </c>
      <c r="G2397" s="66" t="s">
        <v>11</v>
      </c>
      <c r="H2397" s="66" t="str">
        <f>TEXT(Data[[#This Row],[Buchung]],"MMM")</f>
        <v>Jul</v>
      </c>
      <c r="I2397" s="67">
        <f>YEAR(Data[[#This Row],[Buchung]])</f>
        <v>2021</v>
      </c>
      <c r="J2397" s="2">
        <f>ABS(Data[[#This Row],[Betrag]])</f>
        <v>70</v>
      </c>
      <c r="K2397" s="66" t="str">
        <f>IF(Data[[#This Row],[Betrag]]&lt;0,"A","E")</f>
        <v>A</v>
      </c>
    </row>
    <row r="2398" spans="1:11" x14ac:dyDescent="0.25">
      <c r="A2398" s="1">
        <v>44401</v>
      </c>
      <c r="B2398" s="66" t="s">
        <v>54</v>
      </c>
      <c r="C2398" s="66" t="s">
        <v>55</v>
      </c>
      <c r="D2398" t="s">
        <v>66</v>
      </c>
      <c r="E2398">
        <v>-80</v>
      </c>
      <c r="F2398" s="66" t="s">
        <v>7</v>
      </c>
      <c r="G2398" s="66" t="s">
        <v>57</v>
      </c>
      <c r="H2398" s="66" t="str">
        <f>TEXT(Data[[#This Row],[Buchung]],"MMM")</f>
        <v>Jul</v>
      </c>
      <c r="I2398" s="67">
        <f>YEAR(Data[[#This Row],[Buchung]])</f>
        <v>2021</v>
      </c>
      <c r="J2398" s="2">
        <f>ABS(Data[[#This Row],[Betrag]])</f>
        <v>80</v>
      </c>
      <c r="K2398" s="66" t="str">
        <f>IF(Data[[#This Row],[Betrag]]&lt;0,"A","E")</f>
        <v>A</v>
      </c>
    </row>
    <row r="2399" spans="1:11" x14ac:dyDescent="0.25">
      <c r="A2399" s="1">
        <v>44402</v>
      </c>
      <c r="B2399" s="66" t="s">
        <v>67</v>
      </c>
      <c r="C2399" s="66" t="s">
        <v>59</v>
      </c>
      <c r="D2399" t="s">
        <v>68</v>
      </c>
      <c r="E2399">
        <v>-25</v>
      </c>
      <c r="F2399" s="66" t="s">
        <v>7</v>
      </c>
      <c r="G2399" s="66" t="s">
        <v>10</v>
      </c>
      <c r="H2399" s="66" t="str">
        <f>TEXT(Data[[#This Row],[Buchung]],"MMM")</f>
        <v>Jul</v>
      </c>
      <c r="I2399" s="67">
        <f>YEAR(Data[[#This Row],[Buchung]])</f>
        <v>2021</v>
      </c>
      <c r="J2399" s="2">
        <f>ABS(Data[[#This Row],[Betrag]])</f>
        <v>25</v>
      </c>
      <c r="K2399" s="66" t="str">
        <f>IF(Data[[#This Row],[Betrag]]&lt;0,"A","E")</f>
        <v>A</v>
      </c>
    </row>
    <row r="2400" spans="1:11" x14ac:dyDescent="0.25">
      <c r="A2400" s="1">
        <v>44403</v>
      </c>
      <c r="B2400" s="66" t="s">
        <v>45</v>
      </c>
      <c r="C2400" s="66" t="s">
        <v>46</v>
      </c>
      <c r="D2400" t="s">
        <v>47</v>
      </c>
      <c r="E2400">
        <v>1000</v>
      </c>
      <c r="F2400" s="66" t="s">
        <v>7</v>
      </c>
      <c r="G2400" s="66" t="s">
        <v>9</v>
      </c>
      <c r="H2400" s="66" t="str">
        <f>TEXT(Data[[#This Row],[Buchung]],"MMM")</f>
        <v>Jul</v>
      </c>
      <c r="I2400" s="67">
        <f>YEAR(Data[[#This Row],[Buchung]])</f>
        <v>2021</v>
      </c>
      <c r="J2400" s="2">
        <f>ABS(Data[[#This Row],[Betrag]])</f>
        <v>1000</v>
      </c>
      <c r="K2400" s="66" t="str">
        <f>IF(Data[[#This Row],[Betrag]]&lt;0,"A","E")</f>
        <v>E</v>
      </c>
    </row>
    <row r="2401" spans="1:11" x14ac:dyDescent="0.25">
      <c r="A2401" s="1">
        <v>44404</v>
      </c>
      <c r="B2401" s="66" t="s">
        <v>48</v>
      </c>
      <c r="C2401" s="66" t="s">
        <v>49</v>
      </c>
      <c r="D2401" t="s">
        <v>50</v>
      </c>
      <c r="E2401">
        <v>-15</v>
      </c>
      <c r="F2401" s="66" t="s">
        <v>7</v>
      </c>
      <c r="G2401" s="66" t="s">
        <v>8</v>
      </c>
      <c r="H2401" s="66" t="str">
        <f>TEXT(Data[[#This Row],[Buchung]],"MMM")</f>
        <v>Jul</v>
      </c>
      <c r="I2401" s="67">
        <f>YEAR(Data[[#This Row],[Buchung]])</f>
        <v>2021</v>
      </c>
      <c r="J2401" s="2">
        <f>ABS(Data[[#This Row],[Betrag]])</f>
        <v>15</v>
      </c>
      <c r="K2401" s="66" t="str">
        <f>IF(Data[[#This Row],[Betrag]]&lt;0,"A","E")</f>
        <v>A</v>
      </c>
    </row>
    <row r="2402" spans="1:11" x14ac:dyDescent="0.25">
      <c r="A2402" s="1">
        <v>44405</v>
      </c>
      <c r="B2402" s="66" t="s">
        <v>51</v>
      </c>
      <c r="C2402" s="66" t="s">
        <v>52</v>
      </c>
      <c r="D2402" t="s">
        <v>53</v>
      </c>
      <c r="E2402">
        <v>-350</v>
      </c>
      <c r="F2402" s="66" t="s">
        <v>7</v>
      </c>
      <c r="G2402" s="66" t="s">
        <v>11</v>
      </c>
      <c r="H2402" s="66" t="str">
        <f>TEXT(Data[[#This Row],[Buchung]],"MMM")</f>
        <v>Jul</v>
      </c>
      <c r="I2402" s="67">
        <f>YEAR(Data[[#This Row],[Buchung]])</f>
        <v>2021</v>
      </c>
      <c r="J2402" s="2">
        <f>ABS(Data[[#This Row],[Betrag]])</f>
        <v>350</v>
      </c>
      <c r="K2402" s="66" t="str">
        <f>IF(Data[[#This Row],[Betrag]]&lt;0,"A","E")</f>
        <v>A</v>
      </c>
    </row>
    <row r="2403" spans="1:11" x14ac:dyDescent="0.25">
      <c r="A2403" s="1">
        <v>44406</v>
      </c>
      <c r="B2403" s="66" t="s">
        <v>54</v>
      </c>
      <c r="C2403" s="66" t="s">
        <v>55</v>
      </c>
      <c r="D2403" t="s">
        <v>56</v>
      </c>
      <c r="E2403">
        <v>-120</v>
      </c>
      <c r="F2403" s="66" t="s">
        <v>7</v>
      </c>
      <c r="G2403" s="66" t="s">
        <v>57</v>
      </c>
      <c r="H2403" s="66" t="str">
        <f>TEXT(Data[[#This Row],[Buchung]],"MMM")</f>
        <v>Jul</v>
      </c>
      <c r="I2403" s="67">
        <f>YEAR(Data[[#This Row],[Buchung]])</f>
        <v>2021</v>
      </c>
      <c r="J2403" s="2">
        <f>ABS(Data[[#This Row],[Betrag]])</f>
        <v>120</v>
      </c>
      <c r="K2403" s="66" t="str">
        <f>IF(Data[[#This Row],[Betrag]]&lt;0,"A","E")</f>
        <v>A</v>
      </c>
    </row>
    <row r="2404" spans="1:11" x14ac:dyDescent="0.25">
      <c r="A2404" s="1">
        <v>44407</v>
      </c>
      <c r="B2404" s="66" t="s">
        <v>58</v>
      </c>
      <c r="C2404" s="66" t="s">
        <v>59</v>
      </c>
      <c r="D2404" t="s">
        <v>60</v>
      </c>
      <c r="E2404">
        <v>-70</v>
      </c>
      <c r="F2404" s="66" t="s">
        <v>7</v>
      </c>
      <c r="G2404" s="66" t="s">
        <v>10</v>
      </c>
      <c r="H2404" s="66" t="str">
        <f>TEXT(Data[[#This Row],[Buchung]],"MMM")</f>
        <v>Jul</v>
      </c>
      <c r="I2404" s="67">
        <f>YEAR(Data[[#This Row],[Buchung]])</f>
        <v>2021</v>
      </c>
      <c r="J2404" s="2">
        <f>ABS(Data[[#This Row],[Betrag]])</f>
        <v>70</v>
      </c>
      <c r="K2404" s="66" t="str">
        <f>IF(Data[[#This Row],[Betrag]]&lt;0,"A","E")</f>
        <v>A</v>
      </c>
    </row>
    <row r="2405" spans="1:11" x14ac:dyDescent="0.25">
      <c r="A2405" s="1">
        <v>44408</v>
      </c>
      <c r="B2405" s="66" t="s">
        <v>45</v>
      </c>
      <c r="C2405" s="66" t="s">
        <v>46</v>
      </c>
      <c r="D2405" t="s">
        <v>47</v>
      </c>
      <c r="E2405">
        <v>1000</v>
      </c>
      <c r="F2405" s="66" t="s">
        <v>7</v>
      </c>
      <c r="G2405" s="66" t="s">
        <v>9</v>
      </c>
      <c r="H2405" s="66" t="str">
        <f>TEXT(Data[[#This Row],[Buchung]],"MMM")</f>
        <v>Jul</v>
      </c>
      <c r="I2405" s="67">
        <f>YEAR(Data[[#This Row],[Buchung]])</f>
        <v>2021</v>
      </c>
      <c r="J2405" s="2">
        <f>ABS(Data[[#This Row],[Betrag]])</f>
        <v>1000</v>
      </c>
      <c r="K2405" s="66" t="str">
        <f>IF(Data[[#This Row],[Betrag]]&lt;0,"A","E")</f>
        <v>E</v>
      </c>
    </row>
    <row r="2406" spans="1:11" x14ac:dyDescent="0.25">
      <c r="A2406" s="1">
        <v>44409</v>
      </c>
      <c r="B2406" s="66" t="s">
        <v>61</v>
      </c>
      <c r="C2406" s="66" t="s">
        <v>49</v>
      </c>
      <c r="D2406" t="s">
        <v>62</v>
      </c>
      <c r="E2406">
        <v>-10</v>
      </c>
      <c r="F2406" s="66" t="s">
        <v>7</v>
      </c>
      <c r="G2406" s="66" t="s">
        <v>8</v>
      </c>
      <c r="H2406" s="66" t="str">
        <f>TEXT(Data[[#This Row],[Buchung]],"MMM")</f>
        <v>Aug</v>
      </c>
      <c r="I2406" s="67">
        <f>YEAR(Data[[#This Row],[Buchung]])</f>
        <v>2021</v>
      </c>
      <c r="J2406" s="2">
        <f>ABS(Data[[#This Row],[Betrag]])</f>
        <v>10</v>
      </c>
      <c r="K2406" s="66" t="str">
        <f>IF(Data[[#This Row],[Betrag]]&lt;0,"A","E")</f>
        <v>A</v>
      </c>
    </row>
    <row r="2407" spans="1:11" x14ac:dyDescent="0.25">
      <c r="A2407" s="1">
        <v>44410</v>
      </c>
      <c r="B2407" s="66" t="s">
        <v>63</v>
      </c>
      <c r="C2407" s="66" t="s">
        <v>64</v>
      </c>
      <c r="D2407" t="s">
        <v>65</v>
      </c>
      <c r="E2407">
        <v>-60</v>
      </c>
      <c r="F2407" s="66" t="s">
        <v>7</v>
      </c>
      <c r="G2407" s="66" t="s">
        <v>11</v>
      </c>
      <c r="H2407" s="66" t="str">
        <f>TEXT(Data[[#This Row],[Buchung]],"MMM")</f>
        <v>Aug</v>
      </c>
      <c r="I2407" s="67">
        <f>YEAR(Data[[#This Row],[Buchung]])</f>
        <v>2021</v>
      </c>
      <c r="J2407" s="2">
        <f>ABS(Data[[#This Row],[Betrag]])</f>
        <v>60</v>
      </c>
      <c r="K2407" s="66" t="str">
        <f>IF(Data[[#This Row],[Betrag]]&lt;0,"A","E")</f>
        <v>A</v>
      </c>
    </row>
    <row r="2408" spans="1:11" x14ac:dyDescent="0.25">
      <c r="A2408" s="1">
        <v>44411</v>
      </c>
      <c r="B2408" s="66" t="s">
        <v>54</v>
      </c>
      <c r="C2408" s="66" t="s">
        <v>55</v>
      </c>
      <c r="D2408" t="s">
        <v>66</v>
      </c>
      <c r="E2408">
        <v>-80</v>
      </c>
      <c r="F2408" s="66" t="s">
        <v>7</v>
      </c>
      <c r="G2408" s="66" t="s">
        <v>57</v>
      </c>
      <c r="H2408" s="66" t="str">
        <f>TEXT(Data[[#This Row],[Buchung]],"MMM")</f>
        <v>Aug</v>
      </c>
      <c r="I2408" s="67">
        <f>YEAR(Data[[#This Row],[Buchung]])</f>
        <v>2021</v>
      </c>
      <c r="J2408" s="2">
        <f>ABS(Data[[#This Row],[Betrag]])</f>
        <v>80</v>
      </c>
      <c r="K2408" s="66" t="str">
        <f>IF(Data[[#This Row],[Betrag]]&lt;0,"A","E")</f>
        <v>A</v>
      </c>
    </row>
    <row r="2409" spans="1:11" x14ac:dyDescent="0.25">
      <c r="A2409" s="1">
        <v>44412</v>
      </c>
      <c r="B2409" s="66" t="s">
        <v>67</v>
      </c>
      <c r="C2409" s="66" t="s">
        <v>59</v>
      </c>
      <c r="D2409" t="s">
        <v>68</v>
      </c>
      <c r="E2409">
        <v>-30</v>
      </c>
      <c r="F2409" s="66" t="s">
        <v>7</v>
      </c>
      <c r="G2409" s="66" t="s">
        <v>10</v>
      </c>
      <c r="H2409" s="66" t="str">
        <f>TEXT(Data[[#This Row],[Buchung]],"MMM")</f>
        <v>Aug</v>
      </c>
      <c r="I2409" s="67">
        <f>YEAR(Data[[#This Row],[Buchung]])</f>
        <v>2021</v>
      </c>
      <c r="J2409" s="2">
        <f>ABS(Data[[#This Row],[Betrag]])</f>
        <v>30</v>
      </c>
      <c r="K2409" s="66" t="str">
        <f>IF(Data[[#This Row],[Betrag]]&lt;0,"A","E")</f>
        <v>A</v>
      </c>
    </row>
    <row r="2410" spans="1:11" x14ac:dyDescent="0.25">
      <c r="A2410" s="1">
        <v>44413</v>
      </c>
      <c r="B2410" s="66" t="s">
        <v>45</v>
      </c>
      <c r="C2410" s="66" t="s">
        <v>46</v>
      </c>
      <c r="D2410" t="s">
        <v>47</v>
      </c>
      <c r="E2410">
        <v>1000</v>
      </c>
      <c r="F2410" s="66" t="s">
        <v>7</v>
      </c>
      <c r="G2410" s="66" t="s">
        <v>9</v>
      </c>
      <c r="H2410" s="66" t="str">
        <f>TEXT(Data[[#This Row],[Buchung]],"MMM")</f>
        <v>Aug</v>
      </c>
      <c r="I2410" s="67">
        <f>YEAR(Data[[#This Row],[Buchung]])</f>
        <v>2021</v>
      </c>
      <c r="J2410" s="2">
        <f>ABS(Data[[#This Row],[Betrag]])</f>
        <v>1000</v>
      </c>
      <c r="K2410" s="66" t="str">
        <f>IF(Data[[#This Row],[Betrag]]&lt;0,"A","E")</f>
        <v>E</v>
      </c>
    </row>
    <row r="2411" spans="1:11" x14ac:dyDescent="0.25">
      <c r="A2411" s="1">
        <v>44414</v>
      </c>
      <c r="B2411" s="66" t="s">
        <v>48</v>
      </c>
      <c r="C2411" s="66" t="s">
        <v>49</v>
      </c>
      <c r="D2411" t="s">
        <v>50</v>
      </c>
      <c r="E2411">
        <v>-15</v>
      </c>
      <c r="F2411" s="66" t="s">
        <v>7</v>
      </c>
      <c r="G2411" s="66" t="s">
        <v>8</v>
      </c>
      <c r="H2411" s="66" t="str">
        <f>TEXT(Data[[#This Row],[Buchung]],"MMM")</f>
        <v>Aug</v>
      </c>
      <c r="I2411" s="67">
        <f>YEAR(Data[[#This Row],[Buchung]])</f>
        <v>2021</v>
      </c>
      <c r="J2411" s="2">
        <f>ABS(Data[[#This Row],[Betrag]])</f>
        <v>15</v>
      </c>
      <c r="K2411" s="66" t="str">
        <f>IF(Data[[#This Row],[Betrag]]&lt;0,"A","E")</f>
        <v>A</v>
      </c>
    </row>
    <row r="2412" spans="1:11" x14ac:dyDescent="0.25">
      <c r="A2412" s="1">
        <v>44415</v>
      </c>
      <c r="B2412" s="66" t="s">
        <v>51</v>
      </c>
      <c r="C2412" s="66" t="s">
        <v>52</v>
      </c>
      <c r="D2412" t="s">
        <v>53</v>
      </c>
      <c r="E2412">
        <v>-350</v>
      </c>
      <c r="F2412" s="66" t="s">
        <v>7</v>
      </c>
      <c r="G2412" s="66" t="s">
        <v>11</v>
      </c>
      <c r="H2412" s="66" t="str">
        <f>TEXT(Data[[#This Row],[Buchung]],"MMM")</f>
        <v>Aug</v>
      </c>
      <c r="I2412" s="67">
        <f>YEAR(Data[[#This Row],[Buchung]])</f>
        <v>2021</v>
      </c>
      <c r="J2412" s="2">
        <f>ABS(Data[[#This Row],[Betrag]])</f>
        <v>350</v>
      </c>
      <c r="K2412" s="66" t="str">
        <f>IF(Data[[#This Row],[Betrag]]&lt;0,"A","E")</f>
        <v>A</v>
      </c>
    </row>
    <row r="2413" spans="1:11" x14ac:dyDescent="0.25">
      <c r="A2413" s="1">
        <v>44416</v>
      </c>
      <c r="B2413" s="66" t="s">
        <v>54</v>
      </c>
      <c r="C2413" s="66" t="s">
        <v>55</v>
      </c>
      <c r="D2413" t="s">
        <v>56</v>
      </c>
      <c r="E2413">
        <v>-120</v>
      </c>
      <c r="F2413" s="66" t="s">
        <v>7</v>
      </c>
      <c r="G2413" s="66" t="s">
        <v>57</v>
      </c>
      <c r="H2413" s="66" t="str">
        <f>TEXT(Data[[#This Row],[Buchung]],"MMM")</f>
        <v>Aug</v>
      </c>
      <c r="I2413" s="67">
        <f>YEAR(Data[[#This Row],[Buchung]])</f>
        <v>2021</v>
      </c>
      <c r="J2413" s="2">
        <f>ABS(Data[[#This Row],[Betrag]])</f>
        <v>120</v>
      </c>
      <c r="K2413" s="66" t="str">
        <f>IF(Data[[#This Row],[Betrag]]&lt;0,"A","E")</f>
        <v>A</v>
      </c>
    </row>
    <row r="2414" spans="1:11" x14ac:dyDescent="0.25">
      <c r="A2414" s="1">
        <v>44417</v>
      </c>
      <c r="B2414" s="66" t="s">
        <v>58</v>
      </c>
      <c r="C2414" s="66" t="s">
        <v>59</v>
      </c>
      <c r="D2414" t="s">
        <v>60</v>
      </c>
      <c r="E2414">
        <v>-80</v>
      </c>
      <c r="F2414" s="66" t="s">
        <v>7</v>
      </c>
      <c r="G2414" s="66" t="s">
        <v>10</v>
      </c>
      <c r="H2414" s="66" t="str">
        <f>TEXT(Data[[#This Row],[Buchung]],"MMM")</f>
        <v>Aug</v>
      </c>
      <c r="I2414" s="67">
        <f>YEAR(Data[[#This Row],[Buchung]])</f>
        <v>2021</v>
      </c>
      <c r="J2414" s="2">
        <f>ABS(Data[[#This Row],[Betrag]])</f>
        <v>80</v>
      </c>
      <c r="K2414" s="66" t="str">
        <f>IF(Data[[#This Row],[Betrag]]&lt;0,"A","E")</f>
        <v>A</v>
      </c>
    </row>
    <row r="2415" spans="1:11" x14ac:dyDescent="0.25">
      <c r="A2415" s="1">
        <v>44418</v>
      </c>
      <c r="B2415" s="66" t="s">
        <v>45</v>
      </c>
      <c r="C2415" s="66" t="s">
        <v>46</v>
      </c>
      <c r="D2415" t="s">
        <v>47</v>
      </c>
      <c r="E2415">
        <v>1000</v>
      </c>
      <c r="F2415" s="66" t="s">
        <v>7</v>
      </c>
      <c r="G2415" s="66" t="s">
        <v>9</v>
      </c>
      <c r="H2415" s="66" t="str">
        <f>TEXT(Data[[#This Row],[Buchung]],"MMM")</f>
        <v>Aug</v>
      </c>
      <c r="I2415" s="67">
        <f>YEAR(Data[[#This Row],[Buchung]])</f>
        <v>2021</v>
      </c>
      <c r="J2415" s="2">
        <f>ABS(Data[[#This Row],[Betrag]])</f>
        <v>1000</v>
      </c>
      <c r="K2415" s="66" t="str">
        <f>IF(Data[[#This Row],[Betrag]]&lt;0,"A","E")</f>
        <v>E</v>
      </c>
    </row>
    <row r="2416" spans="1:11" x14ac:dyDescent="0.25">
      <c r="A2416" s="1">
        <v>44419</v>
      </c>
      <c r="B2416" s="66" t="s">
        <v>61</v>
      </c>
      <c r="C2416" s="66" t="s">
        <v>49</v>
      </c>
      <c r="D2416" t="s">
        <v>62</v>
      </c>
      <c r="E2416">
        <v>-10</v>
      </c>
      <c r="F2416" s="66" t="s">
        <v>7</v>
      </c>
      <c r="G2416" s="66" t="s">
        <v>8</v>
      </c>
      <c r="H2416" s="66" t="str">
        <f>TEXT(Data[[#This Row],[Buchung]],"MMM")</f>
        <v>Aug</v>
      </c>
      <c r="I2416" s="67">
        <f>YEAR(Data[[#This Row],[Buchung]])</f>
        <v>2021</v>
      </c>
      <c r="J2416" s="2">
        <f>ABS(Data[[#This Row],[Betrag]])</f>
        <v>10</v>
      </c>
      <c r="K2416" s="66" t="str">
        <f>IF(Data[[#This Row],[Betrag]]&lt;0,"A","E")</f>
        <v>A</v>
      </c>
    </row>
    <row r="2417" spans="1:11" x14ac:dyDescent="0.25">
      <c r="A2417" s="1">
        <v>44420</v>
      </c>
      <c r="B2417" s="66" t="s">
        <v>63</v>
      </c>
      <c r="C2417" s="66" t="s">
        <v>64</v>
      </c>
      <c r="D2417" t="s">
        <v>65</v>
      </c>
      <c r="E2417">
        <v>-65</v>
      </c>
      <c r="F2417" s="66" t="s">
        <v>7</v>
      </c>
      <c r="G2417" s="66" t="s">
        <v>11</v>
      </c>
      <c r="H2417" s="66" t="str">
        <f>TEXT(Data[[#This Row],[Buchung]],"MMM")</f>
        <v>Aug</v>
      </c>
      <c r="I2417" s="67">
        <f>YEAR(Data[[#This Row],[Buchung]])</f>
        <v>2021</v>
      </c>
      <c r="J2417" s="2">
        <f>ABS(Data[[#This Row],[Betrag]])</f>
        <v>65</v>
      </c>
      <c r="K2417" s="66" t="str">
        <f>IF(Data[[#This Row],[Betrag]]&lt;0,"A","E")</f>
        <v>A</v>
      </c>
    </row>
    <row r="2418" spans="1:11" x14ac:dyDescent="0.25">
      <c r="A2418" s="1">
        <v>44421</v>
      </c>
      <c r="B2418" s="66" t="s">
        <v>54</v>
      </c>
      <c r="C2418" s="66" t="s">
        <v>55</v>
      </c>
      <c r="D2418" t="s">
        <v>66</v>
      </c>
      <c r="E2418">
        <v>-80</v>
      </c>
      <c r="F2418" s="66" t="s">
        <v>7</v>
      </c>
      <c r="G2418" s="66" t="s">
        <v>57</v>
      </c>
      <c r="H2418" s="66" t="str">
        <f>TEXT(Data[[#This Row],[Buchung]],"MMM")</f>
        <v>Aug</v>
      </c>
      <c r="I2418" s="67">
        <f>YEAR(Data[[#This Row],[Buchung]])</f>
        <v>2021</v>
      </c>
      <c r="J2418" s="2">
        <f>ABS(Data[[#This Row],[Betrag]])</f>
        <v>80</v>
      </c>
      <c r="K2418" s="66" t="str">
        <f>IF(Data[[#This Row],[Betrag]]&lt;0,"A","E")</f>
        <v>A</v>
      </c>
    </row>
    <row r="2419" spans="1:11" x14ac:dyDescent="0.25">
      <c r="A2419" s="1">
        <v>44422</v>
      </c>
      <c r="B2419" s="66" t="s">
        <v>67</v>
      </c>
      <c r="C2419" s="66" t="s">
        <v>59</v>
      </c>
      <c r="D2419" t="s">
        <v>68</v>
      </c>
      <c r="E2419">
        <v>-35</v>
      </c>
      <c r="F2419" s="66" t="s">
        <v>7</v>
      </c>
      <c r="G2419" s="66" t="s">
        <v>10</v>
      </c>
      <c r="H2419" s="66" t="str">
        <f>TEXT(Data[[#This Row],[Buchung]],"MMM")</f>
        <v>Aug</v>
      </c>
      <c r="I2419" s="67">
        <f>YEAR(Data[[#This Row],[Buchung]])</f>
        <v>2021</v>
      </c>
      <c r="J2419" s="2">
        <f>ABS(Data[[#This Row],[Betrag]])</f>
        <v>35</v>
      </c>
      <c r="K2419" s="66" t="str">
        <f>IF(Data[[#This Row],[Betrag]]&lt;0,"A","E")</f>
        <v>A</v>
      </c>
    </row>
    <row r="2420" spans="1:11" x14ac:dyDescent="0.25">
      <c r="A2420" s="1">
        <v>44423</v>
      </c>
      <c r="B2420" s="66" t="s">
        <v>45</v>
      </c>
      <c r="C2420" s="66" t="s">
        <v>46</v>
      </c>
      <c r="D2420" t="s">
        <v>47</v>
      </c>
      <c r="E2420">
        <v>1000</v>
      </c>
      <c r="F2420" s="66" t="s">
        <v>7</v>
      </c>
      <c r="G2420" s="66" t="s">
        <v>9</v>
      </c>
      <c r="H2420" s="66" t="str">
        <f>TEXT(Data[[#This Row],[Buchung]],"MMM")</f>
        <v>Aug</v>
      </c>
      <c r="I2420" s="67">
        <f>YEAR(Data[[#This Row],[Buchung]])</f>
        <v>2021</v>
      </c>
      <c r="J2420" s="2">
        <f>ABS(Data[[#This Row],[Betrag]])</f>
        <v>1000</v>
      </c>
      <c r="K2420" s="66" t="str">
        <f>IF(Data[[#This Row],[Betrag]]&lt;0,"A","E")</f>
        <v>E</v>
      </c>
    </row>
    <row r="2421" spans="1:11" x14ac:dyDescent="0.25">
      <c r="A2421" s="1">
        <v>44424</v>
      </c>
      <c r="B2421" s="66" t="s">
        <v>45</v>
      </c>
      <c r="C2421" s="66" t="s">
        <v>46</v>
      </c>
      <c r="D2421" t="s">
        <v>47</v>
      </c>
      <c r="E2421">
        <v>1000</v>
      </c>
      <c r="F2421" s="66" t="s">
        <v>7</v>
      </c>
      <c r="G2421" s="66" t="s">
        <v>9</v>
      </c>
      <c r="H2421" s="66" t="str">
        <f>TEXT(Data[[#This Row],[Buchung]],"MMM")</f>
        <v>Aug</v>
      </c>
      <c r="I2421" s="67">
        <f>YEAR(Data[[#This Row],[Buchung]])</f>
        <v>2021</v>
      </c>
      <c r="J2421" s="2">
        <f>ABS(Data[[#This Row],[Betrag]])</f>
        <v>1000</v>
      </c>
      <c r="K2421" s="66" t="str">
        <f>IF(Data[[#This Row],[Betrag]]&lt;0,"A","E")</f>
        <v>E</v>
      </c>
    </row>
    <row r="2422" spans="1:11" x14ac:dyDescent="0.25">
      <c r="A2422" s="1">
        <v>44425</v>
      </c>
      <c r="B2422" s="66" t="s">
        <v>48</v>
      </c>
      <c r="C2422" s="66" t="s">
        <v>49</v>
      </c>
      <c r="D2422" t="s">
        <v>50</v>
      </c>
      <c r="E2422">
        <v>-15</v>
      </c>
      <c r="F2422" s="66" t="s">
        <v>7</v>
      </c>
      <c r="G2422" s="66" t="s">
        <v>8</v>
      </c>
      <c r="H2422" s="66" t="str">
        <f>TEXT(Data[[#This Row],[Buchung]],"MMM")</f>
        <v>Aug</v>
      </c>
      <c r="I2422" s="67">
        <f>YEAR(Data[[#This Row],[Buchung]])</f>
        <v>2021</v>
      </c>
      <c r="J2422" s="2">
        <f>ABS(Data[[#This Row],[Betrag]])</f>
        <v>15</v>
      </c>
      <c r="K2422" s="66" t="str">
        <f>IF(Data[[#This Row],[Betrag]]&lt;0,"A","E")</f>
        <v>A</v>
      </c>
    </row>
    <row r="2423" spans="1:11" x14ac:dyDescent="0.25">
      <c r="A2423" s="1">
        <v>44426</v>
      </c>
      <c r="B2423" s="66" t="s">
        <v>51</v>
      </c>
      <c r="C2423" s="66" t="s">
        <v>52</v>
      </c>
      <c r="D2423" t="s">
        <v>53</v>
      </c>
      <c r="E2423">
        <v>-350</v>
      </c>
      <c r="F2423" s="66" t="s">
        <v>7</v>
      </c>
      <c r="G2423" s="66" t="s">
        <v>11</v>
      </c>
      <c r="H2423" s="66" t="str">
        <f>TEXT(Data[[#This Row],[Buchung]],"MMM")</f>
        <v>Aug</v>
      </c>
      <c r="I2423" s="67">
        <f>YEAR(Data[[#This Row],[Buchung]])</f>
        <v>2021</v>
      </c>
      <c r="J2423" s="2">
        <f>ABS(Data[[#This Row],[Betrag]])</f>
        <v>350</v>
      </c>
      <c r="K2423" s="66" t="str">
        <f>IF(Data[[#This Row],[Betrag]]&lt;0,"A","E")</f>
        <v>A</v>
      </c>
    </row>
    <row r="2424" spans="1:11" x14ac:dyDescent="0.25">
      <c r="A2424" s="1">
        <v>44427</v>
      </c>
      <c r="B2424" s="66" t="s">
        <v>54</v>
      </c>
      <c r="C2424" s="66" t="s">
        <v>55</v>
      </c>
      <c r="D2424" t="s">
        <v>56</v>
      </c>
      <c r="E2424">
        <v>-120</v>
      </c>
      <c r="F2424" s="66" t="s">
        <v>7</v>
      </c>
      <c r="G2424" s="66" t="s">
        <v>57</v>
      </c>
      <c r="H2424" s="66" t="str">
        <f>TEXT(Data[[#This Row],[Buchung]],"MMM")</f>
        <v>Aug</v>
      </c>
      <c r="I2424" s="67">
        <f>YEAR(Data[[#This Row],[Buchung]])</f>
        <v>2021</v>
      </c>
      <c r="J2424" s="2">
        <f>ABS(Data[[#This Row],[Betrag]])</f>
        <v>120</v>
      </c>
      <c r="K2424" s="66" t="str">
        <f>IF(Data[[#This Row],[Betrag]]&lt;0,"A","E")</f>
        <v>A</v>
      </c>
    </row>
    <row r="2425" spans="1:11" x14ac:dyDescent="0.25">
      <c r="A2425" s="1">
        <v>44428</v>
      </c>
      <c r="B2425" s="66" t="s">
        <v>58</v>
      </c>
      <c r="C2425" s="66" t="s">
        <v>59</v>
      </c>
      <c r="D2425" t="s">
        <v>60</v>
      </c>
      <c r="E2425">
        <v>-50</v>
      </c>
      <c r="F2425" s="66" t="s">
        <v>7</v>
      </c>
      <c r="G2425" s="66" t="s">
        <v>10</v>
      </c>
      <c r="H2425" s="66" t="str">
        <f>TEXT(Data[[#This Row],[Buchung]],"MMM")</f>
        <v>Aug</v>
      </c>
      <c r="I2425" s="67">
        <f>YEAR(Data[[#This Row],[Buchung]])</f>
        <v>2021</v>
      </c>
      <c r="J2425" s="2">
        <f>ABS(Data[[#This Row],[Betrag]])</f>
        <v>50</v>
      </c>
      <c r="K2425" s="66" t="str">
        <f>IF(Data[[#This Row],[Betrag]]&lt;0,"A","E")</f>
        <v>A</v>
      </c>
    </row>
    <row r="2426" spans="1:11" x14ac:dyDescent="0.25">
      <c r="A2426" s="1">
        <v>44429</v>
      </c>
      <c r="B2426" s="66" t="s">
        <v>45</v>
      </c>
      <c r="C2426" s="66" t="s">
        <v>46</v>
      </c>
      <c r="D2426" t="s">
        <v>47</v>
      </c>
      <c r="E2426">
        <v>1000</v>
      </c>
      <c r="F2426" s="66" t="s">
        <v>7</v>
      </c>
      <c r="G2426" s="66" t="s">
        <v>9</v>
      </c>
      <c r="H2426" s="66" t="str">
        <f>TEXT(Data[[#This Row],[Buchung]],"MMM")</f>
        <v>Aug</v>
      </c>
      <c r="I2426" s="67">
        <f>YEAR(Data[[#This Row],[Buchung]])</f>
        <v>2021</v>
      </c>
      <c r="J2426" s="2">
        <f>ABS(Data[[#This Row],[Betrag]])</f>
        <v>1000</v>
      </c>
      <c r="K2426" s="66" t="str">
        <f>IF(Data[[#This Row],[Betrag]]&lt;0,"A","E")</f>
        <v>E</v>
      </c>
    </row>
    <row r="2427" spans="1:11" x14ac:dyDescent="0.25">
      <c r="A2427" s="1">
        <v>44430</v>
      </c>
      <c r="B2427" s="66" t="s">
        <v>61</v>
      </c>
      <c r="C2427" s="66" t="s">
        <v>49</v>
      </c>
      <c r="D2427" t="s">
        <v>62</v>
      </c>
      <c r="E2427">
        <v>-10</v>
      </c>
      <c r="F2427" s="66" t="s">
        <v>7</v>
      </c>
      <c r="G2427" s="66" t="s">
        <v>8</v>
      </c>
      <c r="H2427" s="66" t="str">
        <f>TEXT(Data[[#This Row],[Buchung]],"MMM")</f>
        <v>Aug</v>
      </c>
      <c r="I2427" s="67">
        <f>YEAR(Data[[#This Row],[Buchung]])</f>
        <v>2021</v>
      </c>
      <c r="J2427" s="2">
        <f>ABS(Data[[#This Row],[Betrag]])</f>
        <v>10</v>
      </c>
      <c r="K2427" s="66" t="str">
        <f>IF(Data[[#This Row],[Betrag]]&lt;0,"A","E")</f>
        <v>A</v>
      </c>
    </row>
    <row r="2428" spans="1:11" x14ac:dyDescent="0.25">
      <c r="A2428" s="1">
        <v>44431</v>
      </c>
      <c r="B2428" s="66" t="s">
        <v>63</v>
      </c>
      <c r="C2428" s="66" t="s">
        <v>64</v>
      </c>
      <c r="D2428" t="s">
        <v>65</v>
      </c>
      <c r="E2428">
        <v>-60</v>
      </c>
      <c r="F2428" s="66" t="s">
        <v>7</v>
      </c>
      <c r="G2428" s="66" t="s">
        <v>11</v>
      </c>
      <c r="H2428" s="66" t="str">
        <f>TEXT(Data[[#This Row],[Buchung]],"MMM")</f>
        <v>Aug</v>
      </c>
      <c r="I2428" s="67">
        <f>YEAR(Data[[#This Row],[Buchung]])</f>
        <v>2021</v>
      </c>
      <c r="J2428" s="2">
        <f>ABS(Data[[#This Row],[Betrag]])</f>
        <v>60</v>
      </c>
      <c r="K2428" s="66" t="str">
        <f>IF(Data[[#This Row],[Betrag]]&lt;0,"A","E")</f>
        <v>A</v>
      </c>
    </row>
    <row r="2429" spans="1:11" x14ac:dyDescent="0.25">
      <c r="A2429" s="1">
        <v>44432</v>
      </c>
      <c r="B2429" s="66" t="s">
        <v>54</v>
      </c>
      <c r="C2429" s="66" t="s">
        <v>55</v>
      </c>
      <c r="D2429" t="s">
        <v>66</v>
      </c>
      <c r="E2429">
        <v>-80</v>
      </c>
      <c r="F2429" s="66" t="s">
        <v>7</v>
      </c>
      <c r="G2429" s="66" t="s">
        <v>57</v>
      </c>
      <c r="H2429" s="66" t="str">
        <f>TEXT(Data[[#This Row],[Buchung]],"MMM")</f>
        <v>Aug</v>
      </c>
      <c r="I2429" s="67">
        <f>YEAR(Data[[#This Row],[Buchung]])</f>
        <v>2021</v>
      </c>
      <c r="J2429" s="2">
        <f>ABS(Data[[#This Row],[Betrag]])</f>
        <v>80</v>
      </c>
      <c r="K2429" s="66" t="str">
        <f>IF(Data[[#This Row],[Betrag]]&lt;0,"A","E")</f>
        <v>A</v>
      </c>
    </row>
    <row r="2430" spans="1:11" x14ac:dyDescent="0.25">
      <c r="A2430" s="1">
        <v>44433</v>
      </c>
      <c r="B2430" s="66" t="s">
        <v>67</v>
      </c>
      <c r="C2430" s="66" t="s">
        <v>59</v>
      </c>
      <c r="D2430" t="s">
        <v>68</v>
      </c>
      <c r="E2430">
        <v>-20</v>
      </c>
      <c r="F2430" s="66" t="s">
        <v>7</v>
      </c>
      <c r="G2430" s="66" t="s">
        <v>10</v>
      </c>
      <c r="H2430" s="66" t="str">
        <f>TEXT(Data[[#This Row],[Buchung]],"MMM")</f>
        <v>Aug</v>
      </c>
      <c r="I2430" s="67">
        <f>YEAR(Data[[#This Row],[Buchung]])</f>
        <v>2021</v>
      </c>
      <c r="J2430" s="2">
        <f>ABS(Data[[#This Row],[Betrag]])</f>
        <v>20</v>
      </c>
      <c r="K2430" s="66" t="str">
        <f>IF(Data[[#This Row],[Betrag]]&lt;0,"A","E")</f>
        <v>A</v>
      </c>
    </row>
    <row r="2431" spans="1:11" x14ac:dyDescent="0.25">
      <c r="A2431" s="1">
        <v>44434</v>
      </c>
      <c r="B2431" s="66" t="s">
        <v>45</v>
      </c>
      <c r="C2431" s="66" t="s">
        <v>46</v>
      </c>
      <c r="D2431" t="s">
        <v>47</v>
      </c>
      <c r="E2431">
        <v>1000</v>
      </c>
      <c r="F2431" s="66" t="s">
        <v>7</v>
      </c>
      <c r="G2431" s="66" t="s">
        <v>9</v>
      </c>
      <c r="H2431" s="66" t="str">
        <f>TEXT(Data[[#This Row],[Buchung]],"MMM")</f>
        <v>Aug</v>
      </c>
      <c r="I2431" s="67">
        <f>YEAR(Data[[#This Row],[Buchung]])</f>
        <v>2021</v>
      </c>
      <c r="J2431" s="2">
        <f>ABS(Data[[#This Row],[Betrag]])</f>
        <v>1000</v>
      </c>
      <c r="K2431" s="66" t="str">
        <f>IF(Data[[#This Row],[Betrag]]&lt;0,"A","E")</f>
        <v>E</v>
      </c>
    </row>
    <row r="2432" spans="1:11" x14ac:dyDescent="0.25">
      <c r="A2432" s="1">
        <v>44435</v>
      </c>
      <c r="B2432" s="66" t="s">
        <v>48</v>
      </c>
      <c r="C2432" s="66" t="s">
        <v>49</v>
      </c>
      <c r="D2432" t="s">
        <v>50</v>
      </c>
      <c r="E2432">
        <v>-15</v>
      </c>
      <c r="F2432" s="66" t="s">
        <v>7</v>
      </c>
      <c r="G2432" s="66" t="s">
        <v>8</v>
      </c>
      <c r="H2432" s="66" t="str">
        <f>TEXT(Data[[#This Row],[Buchung]],"MMM")</f>
        <v>Aug</v>
      </c>
      <c r="I2432" s="67">
        <f>YEAR(Data[[#This Row],[Buchung]])</f>
        <v>2021</v>
      </c>
      <c r="J2432" s="2">
        <f>ABS(Data[[#This Row],[Betrag]])</f>
        <v>15</v>
      </c>
      <c r="K2432" s="66" t="str">
        <f>IF(Data[[#This Row],[Betrag]]&lt;0,"A","E")</f>
        <v>A</v>
      </c>
    </row>
    <row r="2433" spans="1:11" x14ac:dyDescent="0.25">
      <c r="A2433" s="1">
        <v>44436</v>
      </c>
      <c r="B2433" s="66" t="s">
        <v>51</v>
      </c>
      <c r="C2433" s="66" t="s">
        <v>52</v>
      </c>
      <c r="D2433" t="s">
        <v>53</v>
      </c>
      <c r="E2433">
        <v>-350</v>
      </c>
      <c r="F2433" s="66" t="s">
        <v>7</v>
      </c>
      <c r="G2433" s="66" t="s">
        <v>11</v>
      </c>
      <c r="H2433" s="66" t="str">
        <f>TEXT(Data[[#This Row],[Buchung]],"MMM")</f>
        <v>Aug</v>
      </c>
      <c r="I2433" s="67">
        <f>YEAR(Data[[#This Row],[Buchung]])</f>
        <v>2021</v>
      </c>
      <c r="J2433" s="2">
        <f>ABS(Data[[#This Row],[Betrag]])</f>
        <v>350</v>
      </c>
      <c r="K2433" s="66" t="str">
        <f>IF(Data[[#This Row],[Betrag]]&lt;0,"A","E")</f>
        <v>A</v>
      </c>
    </row>
    <row r="2434" spans="1:11" x14ac:dyDescent="0.25">
      <c r="A2434" s="1">
        <v>44437</v>
      </c>
      <c r="B2434" s="66" t="s">
        <v>54</v>
      </c>
      <c r="C2434" s="66" t="s">
        <v>55</v>
      </c>
      <c r="D2434" t="s">
        <v>56</v>
      </c>
      <c r="E2434">
        <v>-120</v>
      </c>
      <c r="F2434" s="66" t="s">
        <v>7</v>
      </c>
      <c r="G2434" s="66" t="s">
        <v>57</v>
      </c>
      <c r="H2434" s="66" t="str">
        <f>TEXT(Data[[#This Row],[Buchung]],"MMM")</f>
        <v>Aug</v>
      </c>
      <c r="I2434" s="67">
        <f>YEAR(Data[[#This Row],[Buchung]])</f>
        <v>2021</v>
      </c>
      <c r="J2434" s="2">
        <f>ABS(Data[[#This Row],[Betrag]])</f>
        <v>120</v>
      </c>
      <c r="K2434" s="66" t="str">
        <f>IF(Data[[#This Row],[Betrag]]&lt;0,"A","E")</f>
        <v>A</v>
      </c>
    </row>
    <row r="2435" spans="1:11" x14ac:dyDescent="0.25">
      <c r="A2435" s="1">
        <v>44438</v>
      </c>
      <c r="B2435" s="66" t="s">
        <v>58</v>
      </c>
      <c r="C2435" s="66" t="s">
        <v>59</v>
      </c>
      <c r="D2435" t="s">
        <v>60</v>
      </c>
      <c r="E2435">
        <v>-60</v>
      </c>
      <c r="F2435" s="66" t="s">
        <v>7</v>
      </c>
      <c r="G2435" s="66" t="s">
        <v>10</v>
      </c>
      <c r="H2435" s="66" t="str">
        <f>TEXT(Data[[#This Row],[Buchung]],"MMM")</f>
        <v>Aug</v>
      </c>
      <c r="I2435" s="67">
        <f>YEAR(Data[[#This Row],[Buchung]])</f>
        <v>2021</v>
      </c>
      <c r="J2435" s="2">
        <f>ABS(Data[[#This Row],[Betrag]])</f>
        <v>60</v>
      </c>
      <c r="K2435" s="66" t="str">
        <f>IF(Data[[#This Row],[Betrag]]&lt;0,"A","E")</f>
        <v>A</v>
      </c>
    </row>
    <row r="2436" spans="1:11" x14ac:dyDescent="0.25">
      <c r="A2436" s="1">
        <v>44439</v>
      </c>
      <c r="B2436" s="66" t="s">
        <v>45</v>
      </c>
      <c r="C2436" s="66" t="s">
        <v>46</v>
      </c>
      <c r="D2436" t="s">
        <v>47</v>
      </c>
      <c r="E2436">
        <v>1000</v>
      </c>
      <c r="F2436" s="66" t="s">
        <v>7</v>
      </c>
      <c r="G2436" s="66" t="s">
        <v>9</v>
      </c>
      <c r="H2436" s="66" t="str">
        <f>TEXT(Data[[#This Row],[Buchung]],"MMM")</f>
        <v>Aug</v>
      </c>
      <c r="I2436" s="67">
        <f>YEAR(Data[[#This Row],[Buchung]])</f>
        <v>2021</v>
      </c>
      <c r="J2436" s="2">
        <f>ABS(Data[[#This Row],[Betrag]])</f>
        <v>1000</v>
      </c>
      <c r="K2436" s="66" t="str">
        <f>IF(Data[[#This Row],[Betrag]]&lt;0,"A","E")</f>
        <v>E</v>
      </c>
    </row>
    <row r="2437" spans="1:11" x14ac:dyDescent="0.25">
      <c r="A2437" s="1">
        <v>44440</v>
      </c>
      <c r="B2437" s="66" t="s">
        <v>61</v>
      </c>
      <c r="C2437" s="66" t="s">
        <v>49</v>
      </c>
      <c r="D2437" t="s">
        <v>62</v>
      </c>
      <c r="E2437">
        <v>-10</v>
      </c>
      <c r="F2437" s="66" t="s">
        <v>7</v>
      </c>
      <c r="G2437" s="66" t="s">
        <v>8</v>
      </c>
      <c r="H2437" s="66" t="str">
        <f>TEXT(Data[[#This Row],[Buchung]],"MMM")</f>
        <v>Sep</v>
      </c>
      <c r="I2437" s="67">
        <f>YEAR(Data[[#This Row],[Buchung]])</f>
        <v>2021</v>
      </c>
      <c r="J2437" s="2">
        <f>ABS(Data[[#This Row],[Betrag]])</f>
        <v>10</v>
      </c>
      <c r="K2437" s="66" t="str">
        <f>IF(Data[[#This Row],[Betrag]]&lt;0,"A","E")</f>
        <v>A</v>
      </c>
    </row>
    <row r="2438" spans="1:11" x14ac:dyDescent="0.25">
      <c r="A2438" s="1">
        <v>44441</v>
      </c>
      <c r="B2438" s="66" t="s">
        <v>63</v>
      </c>
      <c r="C2438" s="66" t="s">
        <v>64</v>
      </c>
      <c r="D2438" t="s">
        <v>65</v>
      </c>
      <c r="E2438">
        <v>-70</v>
      </c>
      <c r="F2438" s="66" t="s">
        <v>7</v>
      </c>
      <c r="G2438" s="66" t="s">
        <v>11</v>
      </c>
      <c r="H2438" s="66" t="str">
        <f>TEXT(Data[[#This Row],[Buchung]],"MMM")</f>
        <v>Sep</v>
      </c>
      <c r="I2438" s="67">
        <f>YEAR(Data[[#This Row],[Buchung]])</f>
        <v>2021</v>
      </c>
      <c r="J2438" s="2">
        <f>ABS(Data[[#This Row],[Betrag]])</f>
        <v>70</v>
      </c>
      <c r="K2438" s="66" t="str">
        <f>IF(Data[[#This Row],[Betrag]]&lt;0,"A","E")</f>
        <v>A</v>
      </c>
    </row>
    <row r="2439" spans="1:11" x14ac:dyDescent="0.25">
      <c r="A2439" s="1">
        <v>44442</v>
      </c>
      <c r="B2439" s="66" t="s">
        <v>54</v>
      </c>
      <c r="C2439" s="66" t="s">
        <v>55</v>
      </c>
      <c r="D2439" t="s">
        <v>66</v>
      </c>
      <c r="E2439">
        <v>-80</v>
      </c>
      <c r="F2439" s="66" t="s">
        <v>7</v>
      </c>
      <c r="G2439" s="66" t="s">
        <v>57</v>
      </c>
      <c r="H2439" s="66" t="str">
        <f>TEXT(Data[[#This Row],[Buchung]],"MMM")</f>
        <v>Sep</v>
      </c>
      <c r="I2439" s="67">
        <f>YEAR(Data[[#This Row],[Buchung]])</f>
        <v>2021</v>
      </c>
      <c r="J2439" s="2">
        <f>ABS(Data[[#This Row],[Betrag]])</f>
        <v>80</v>
      </c>
      <c r="K2439" s="66" t="str">
        <f>IF(Data[[#This Row],[Betrag]]&lt;0,"A","E")</f>
        <v>A</v>
      </c>
    </row>
    <row r="2440" spans="1:11" x14ac:dyDescent="0.25">
      <c r="A2440" s="1">
        <v>44443</v>
      </c>
      <c r="B2440" s="66" t="s">
        <v>67</v>
      </c>
      <c r="C2440" s="66" t="s">
        <v>59</v>
      </c>
      <c r="D2440" t="s">
        <v>68</v>
      </c>
      <c r="E2440">
        <v>-25</v>
      </c>
      <c r="F2440" s="66" t="s">
        <v>7</v>
      </c>
      <c r="G2440" s="66" t="s">
        <v>10</v>
      </c>
      <c r="H2440" s="66" t="str">
        <f>TEXT(Data[[#This Row],[Buchung]],"MMM")</f>
        <v>Sep</v>
      </c>
      <c r="I2440" s="67">
        <f>YEAR(Data[[#This Row],[Buchung]])</f>
        <v>2021</v>
      </c>
      <c r="J2440" s="2">
        <f>ABS(Data[[#This Row],[Betrag]])</f>
        <v>25</v>
      </c>
      <c r="K2440" s="66" t="str">
        <f>IF(Data[[#This Row],[Betrag]]&lt;0,"A","E")</f>
        <v>A</v>
      </c>
    </row>
    <row r="2441" spans="1:11" x14ac:dyDescent="0.25">
      <c r="A2441" s="1">
        <v>44444</v>
      </c>
      <c r="B2441" s="66" t="s">
        <v>45</v>
      </c>
      <c r="C2441" s="66" t="s">
        <v>46</v>
      </c>
      <c r="D2441" t="s">
        <v>47</v>
      </c>
      <c r="E2441">
        <v>1000</v>
      </c>
      <c r="F2441" s="66" t="s">
        <v>7</v>
      </c>
      <c r="G2441" s="66" t="s">
        <v>9</v>
      </c>
      <c r="H2441" s="66" t="str">
        <f>TEXT(Data[[#This Row],[Buchung]],"MMM")</f>
        <v>Sep</v>
      </c>
      <c r="I2441" s="67">
        <f>YEAR(Data[[#This Row],[Buchung]])</f>
        <v>2021</v>
      </c>
      <c r="J2441" s="2">
        <f>ABS(Data[[#This Row],[Betrag]])</f>
        <v>1000</v>
      </c>
      <c r="K2441" s="66" t="str">
        <f>IF(Data[[#This Row],[Betrag]]&lt;0,"A","E")</f>
        <v>E</v>
      </c>
    </row>
    <row r="2442" spans="1:11" x14ac:dyDescent="0.25">
      <c r="A2442" s="1">
        <v>44445</v>
      </c>
      <c r="B2442" s="66" t="s">
        <v>48</v>
      </c>
      <c r="C2442" s="66" t="s">
        <v>49</v>
      </c>
      <c r="D2442" t="s">
        <v>50</v>
      </c>
      <c r="E2442">
        <v>-15</v>
      </c>
      <c r="F2442" s="66" t="s">
        <v>7</v>
      </c>
      <c r="G2442" s="66" t="s">
        <v>8</v>
      </c>
      <c r="H2442" s="66" t="str">
        <f>TEXT(Data[[#This Row],[Buchung]],"MMM")</f>
        <v>Sep</v>
      </c>
      <c r="I2442" s="67">
        <f>YEAR(Data[[#This Row],[Buchung]])</f>
        <v>2021</v>
      </c>
      <c r="J2442" s="2">
        <f>ABS(Data[[#This Row],[Betrag]])</f>
        <v>15</v>
      </c>
      <c r="K2442" s="66" t="str">
        <f>IF(Data[[#This Row],[Betrag]]&lt;0,"A","E")</f>
        <v>A</v>
      </c>
    </row>
    <row r="2443" spans="1:11" x14ac:dyDescent="0.25">
      <c r="A2443" s="1">
        <v>44446</v>
      </c>
      <c r="B2443" s="66" t="s">
        <v>51</v>
      </c>
      <c r="C2443" s="66" t="s">
        <v>52</v>
      </c>
      <c r="D2443" t="s">
        <v>53</v>
      </c>
      <c r="E2443">
        <v>-350</v>
      </c>
      <c r="F2443" s="66" t="s">
        <v>7</v>
      </c>
      <c r="G2443" s="66" t="s">
        <v>11</v>
      </c>
      <c r="H2443" s="66" t="str">
        <f>TEXT(Data[[#This Row],[Buchung]],"MMM")</f>
        <v>Sep</v>
      </c>
      <c r="I2443" s="67">
        <f>YEAR(Data[[#This Row],[Buchung]])</f>
        <v>2021</v>
      </c>
      <c r="J2443" s="2">
        <f>ABS(Data[[#This Row],[Betrag]])</f>
        <v>350</v>
      </c>
      <c r="K2443" s="66" t="str">
        <f>IF(Data[[#This Row],[Betrag]]&lt;0,"A","E")</f>
        <v>A</v>
      </c>
    </row>
    <row r="2444" spans="1:11" x14ac:dyDescent="0.25">
      <c r="A2444" s="1">
        <v>44447</v>
      </c>
      <c r="B2444" s="66" t="s">
        <v>54</v>
      </c>
      <c r="C2444" s="66" t="s">
        <v>55</v>
      </c>
      <c r="D2444" t="s">
        <v>56</v>
      </c>
      <c r="E2444">
        <v>-120</v>
      </c>
      <c r="F2444" s="66" t="s">
        <v>7</v>
      </c>
      <c r="G2444" s="66" t="s">
        <v>57</v>
      </c>
      <c r="H2444" s="66" t="str">
        <f>TEXT(Data[[#This Row],[Buchung]],"MMM")</f>
        <v>Sep</v>
      </c>
      <c r="I2444" s="67">
        <f>YEAR(Data[[#This Row],[Buchung]])</f>
        <v>2021</v>
      </c>
      <c r="J2444" s="2">
        <f>ABS(Data[[#This Row],[Betrag]])</f>
        <v>120</v>
      </c>
      <c r="K2444" s="66" t="str">
        <f>IF(Data[[#This Row],[Betrag]]&lt;0,"A","E")</f>
        <v>A</v>
      </c>
    </row>
    <row r="2445" spans="1:11" x14ac:dyDescent="0.25">
      <c r="A2445" s="1">
        <v>44448</v>
      </c>
      <c r="B2445" s="66" t="s">
        <v>58</v>
      </c>
      <c r="C2445" s="66" t="s">
        <v>59</v>
      </c>
      <c r="D2445" t="s">
        <v>60</v>
      </c>
      <c r="E2445">
        <v>-70</v>
      </c>
      <c r="F2445" s="66" t="s">
        <v>7</v>
      </c>
      <c r="G2445" s="66" t="s">
        <v>10</v>
      </c>
      <c r="H2445" s="66" t="str">
        <f>TEXT(Data[[#This Row],[Buchung]],"MMM")</f>
        <v>Sep</v>
      </c>
      <c r="I2445" s="67">
        <f>YEAR(Data[[#This Row],[Buchung]])</f>
        <v>2021</v>
      </c>
      <c r="J2445" s="2">
        <f>ABS(Data[[#This Row],[Betrag]])</f>
        <v>70</v>
      </c>
      <c r="K2445" s="66" t="str">
        <f>IF(Data[[#This Row],[Betrag]]&lt;0,"A","E")</f>
        <v>A</v>
      </c>
    </row>
    <row r="2446" spans="1:11" x14ac:dyDescent="0.25">
      <c r="A2446" s="1">
        <v>44449</v>
      </c>
      <c r="B2446" s="66" t="s">
        <v>45</v>
      </c>
      <c r="C2446" s="66" t="s">
        <v>46</v>
      </c>
      <c r="D2446" t="s">
        <v>47</v>
      </c>
      <c r="E2446">
        <v>1000</v>
      </c>
      <c r="F2446" s="66" t="s">
        <v>7</v>
      </c>
      <c r="G2446" s="66" t="s">
        <v>9</v>
      </c>
      <c r="H2446" s="66" t="str">
        <f>TEXT(Data[[#This Row],[Buchung]],"MMM")</f>
        <v>Sep</v>
      </c>
      <c r="I2446" s="67">
        <f>YEAR(Data[[#This Row],[Buchung]])</f>
        <v>2021</v>
      </c>
      <c r="J2446" s="2">
        <f>ABS(Data[[#This Row],[Betrag]])</f>
        <v>1000</v>
      </c>
      <c r="K2446" s="66" t="str">
        <f>IF(Data[[#This Row],[Betrag]]&lt;0,"A","E")</f>
        <v>E</v>
      </c>
    </row>
    <row r="2447" spans="1:11" x14ac:dyDescent="0.25">
      <c r="A2447" s="1">
        <v>44450</v>
      </c>
      <c r="B2447" s="66" t="s">
        <v>61</v>
      </c>
      <c r="C2447" s="66" t="s">
        <v>49</v>
      </c>
      <c r="D2447" t="s">
        <v>62</v>
      </c>
      <c r="E2447">
        <v>-10</v>
      </c>
      <c r="F2447" s="66" t="s">
        <v>7</v>
      </c>
      <c r="G2447" s="66" t="s">
        <v>8</v>
      </c>
      <c r="H2447" s="66" t="str">
        <f>TEXT(Data[[#This Row],[Buchung]],"MMM")</f>
        <v>Sep</v>
      </c>
      <c r="I2447" s="67">
        <f>YEAR(Data[[#This Row],[Buchung]])</f>
        <v>2021</v>
      </c>
      <c r="J2447" s="2">
        <f>ABS(Data[[#This Row],[Betrag]])</f>
        <v>10</v>
      </c>
      <c r="K2447" s="66" t="str">
        <f>IF(Data[[#This Row],[Betrag]]&lt;0,"A","E")</f>
        <v>A</v>
      </c>
    </row>
    <row r="2448" spans="1:11" x14ac:dyDescent="0.25">
      <c r="A2448" s="1">
        <v>44451</v>
      </c>
      <c r="B2448" s="66" t="s">
        <v>63</v>
      </c>
      <c r="C2448" s="66" t="s">
        <v>64</v>
      </c>
      <c r="D2448" t="s">
        <v>65</v>
      </c>
      <c r="E2448">
        <v>-60</v>
      </c>
      <c r="F2448" s="66" t="s">
        <v>7</v>
      </c>
      <c r="G2448" s="66" t="s">
        <v>11</v>
      </c>
      <c r="H2448" s="66" t="str">
        <f>TEXT(Data[[#This Row],[Buchung]],"MMM")</f>
        <v>Sep</v>
      </c>
      <c r="I2448" s="67">
        <f>YEAR(Data[[#This Row],[Buchung]])</f>
        <v>2021</v>
      </c>
      <c r="J2448" s="2">
        <f>ABS(Data[[#This Row],[Betrag]])</f>
        <v>60</v>
      </c>
      <c r="K2448" s="66" t="str">
        <f>IF(Data[[#This Row],[Betrag]]&lt;0,"A","E")</f>
        <v>A</v>
      </c>
    </row>
    <row r="2449" spans="1:11" x14ac:dyDescent="0.25">
      <c r="A2449" s="1">
        <v>44452</v>
      </c>
      <c r="B2449" s="66" t="s">
        <v>54</v>
      </c>
      <c r="C2449" s="66" t="s">
        <v>55</v>
      </c>
      <c r="D2449" t="s">
        <v>66</v>
      </c>
      <c r="E2449">
        <v>-80</v>
      </c>
      <c r="F2449" s="66" t="s">
        <v>7</v>
      </c>
      <c r="G2449" s="66" t="s">
        <v>57</v>
      </c>
      <c r="H2449" s="66" t="str">
        <f>TEXT(Data[[#This Row],[Buchung]],"MMM")</f>
        <v>Sep</v>
      </c>
      <c r="I2449" s="67">
        <f>YEAR(Data[[#This Row],[Buchung]])</f>
        <v>2021</v>
      </c>
      <c r="J2449" s="2">
        <f>ABS(Data[[#This Row],[Betrag]])</f>
        <v>80</v>
      </c>
      <c r="K2449" s="66" t="str">
        <f>IF(Data[[#This Row],[Betrag]]&lt;0,"A","E")</f>
        <v>A</v>
      </c>
    </row>
    <row r="2450" spans="1:11" x14ac:dyDescent="0.25">
      <c r="A2450" s="1">
        <v>44453</v>
      </c>
      <c r="B2450" s="66" t="s">
        <v>67</v>
      </c>
      <c r="C2450" s="66" t="s">
        <v>59</v>
      </c>
      <c r="D2450" t="s">
        <v>68</v>
      </c>
      <c r="E2450">
        <v>-30</v>
      </c>
      <c r="F2450" s="66" t="s">
        <v>7</v>
      </c>
      <c r="G2450" s="66" t="s">
        <v>10</v>
      </c>
      <c r="H2450" s="66" t="str">
        <f>TEXT(Data[[#This Row],[Buchung]],"MMM")</f>
        <v>Sep</v>
      </c>
      <c r="I2450" s="67">
        <f>YEAR(Data[[#This Row],[Buchung]])</f>
        <v>2021</v>
      </c>
      <c r="J2450" s="2">
        <f>ABS(Data[[#This Row],[Betrag]])</f>
        <v>30</v>
      </c>
      <c r="K2450" s="66" t="str">
        <f>IF(Data[[#This Row],[Betrag]]&lt;0,"A","E")</f>
        <v>A</v>
      </c>
    </row>
    <row r="2451" spans="1:11" x14ac:dyDescent="0.25">
      <c r="A2451" s="1">
        <v>44454</v>
      </c>
      <c r="B2451" s="66" t="s">
        <v>45</v>
      </c>
      <c r="C2451" s="66" t="s">
        <v>46</v>
      </c>
      <c r="D2451" t="s">
        <v>47</v>
      </c>
      <c r="E2451">
        <v>1000</v>
      </c>
      <c r="F2451" s="66" t="s">
        <v>7</v>
      </c>
      <c r="G2451" s="66" t="s">
        <v>9</v>
      </c>
      <c r="H2451" s="66" t="str">
        <f>TEXT(Data[[#This Row],[Buchung]],"MMM")</f>
        <v>Sep</v>
      </c>
      <c r="I2451" s="67">
        <f>YEAR(Data[[#This Row],[Buchung]])</f>
        <v>2021</v>
      </c>
      <c r="J2451" s="2">
        <f>ABS(Data[[#This Row],[Betrag]])</f>
        <v>1000</v>
      </c>
      <c r="K2451" s="66" t="str">
        <f>IF(Data[[#This Row],[Betrag]]&lt;0,"A","E")</f>
        <v>E</v>
      </c>
    </row>
    <row r="2452" spans="1:11" x14ac:dyDescent="0.25">
      <c r="A2452" s="1">
        <v>44455</v>
      </c>
      <c r="B2452" s="66" t="s">
        <v>48</v>
      </c>
      <c r="C2452" s="66" t="s">
        <v>49</v>
      </c>
      <c r="D2452" t="s">
        <v>50</v>
      </c>
      <c r="E2452">
        <v>-15</v>
      </c>
      <c r="F2452" s="66" t="s">
        <v>7</v>
      </c>
      <c r="G2452" s="66" t="s">
        <v>8</v>
      </c>
      <c r="H2452" s="66" t="str">
        <f>TEXT(Data[[#This Row],[Buchung]],"MMM")</f>
        <v>Sep</v>
      </c>
      <c r="I2452" s="67">
        <f>YEAR(Data[[#This Row],[Buchung]])</f>
        <v>2021</v>
      </c>
      <c r="J2452" s="2">
        <f>ABS(Data[[#This Row],[Betrag]])</f>
        <v>15</v>
      </c>
      <c r="K2452" s="66" t="str">
        <f>IF(Data[[#This Row],[Betrag]]&lt;0,"A","E")</f>
        <v>A</v>
      </c>
    </row>
    <row r="2453" spans="1:11" x14ac:dyDescent="0.25">
      <c r="A2453" s="1">
        <v>44456</v>
      </c>
      <c r="B2453" s="66" t="s">
        <v>51</v>
      </c>
      <c r="C2453" s="66" t="s">
        <v>52</v>
      </c>
      <c r="D2453" t="s">
        <v>53</v>
      </c>
      <c r="E2453">
        <v>-350</v>
      </c>
      <c r="F2453" s="66" t="s">
        <v>7</v>
      </c>
      <c r="G2453" s="66" t="s">
        <v>11</v>
      </c>
      <c r="H2453" s="66" t="str">
        <f>TEXT(Data[[#This Row],[Buchung]],"MMM")</f>
        <v>Sep</v>
      </c>
      <c r="I2453" s="67">
        <f>YEAR(Data[[#This Row],[Buchung]])</f>
        <v>2021</v>
      </c>
      <c r="J2453" s="2">
        <f>ABS(Data[[#This Row],[Betrag]])</f>
        <v>350</v>
      </c>
      <c r="K2453" s="66" t="str">
        <f>IF(Data[[#This Row],[Betrag]]&lt;0,"A","E")</f>
        <v>A</v>
      </c>
    </row>
    <row r="2454" spans="1:11" x14ac:dyDescent="0.25">
      <c r="A2454" s="1">
        <v>44457</v>
      </c>
      <c r="B2454" s="66" t="s">
        <v>54</v>
      </c>
      <c r="C2454" s="66" t="s">
        <v>55</v>
      </c>
      <c r="D2454" t="s">
        <v>56</v>
      </c>
      <c r="E2454">
        <v>-120</v>
      </c>
      <c r="F2454" s="66" t="s">
        <v>7</v>
      </c>
      <c r="G2454" s="66" t="s">
        <v>57</v>
      </c>
      <c r="H2454" s="66" t="str">
        <f>TEXT(Data[[#This Row],[Buchung]],"MMM")</f>
        <v>Sep</v>
      </c>
      <c r="I2454" s="67">
        <f>YEAR(Data[[#This Row],[Buchung]])</f>
        <v>2021</v>
      </c>
      <c r="J2454" s="2">
        <f>ABS(Data[[#This Row],[Betrag]])</f>
        <v>120</v>
      </c>
      <c r="K2454" s="66" t="str">
        <f>IF(Data[[#This Row],[Betrag]]&lt;0,"A","E")</f>
        <v>A</v>
      </c>
    </row>
    <row r="2455" spans="1:11" x14ac:dyDescent="0.25">
      <c r="A2455" s="1">
        <v>44458</v>
      </c>
      <c r="B2455" s="66" t="s">
        <v>58</v>
      </c>
      <c r="C2455" s="66" t="s">
        <v>59</v>
      </c>
      <c r="D2455" t="s">
        <v>60</v>
      </c>
      <c r="E2455">
        <v>-80</v>
      </c>
      <c r="F2455" s="66" t="s">
        <v>7</v>
      </c>
      <c r="G2455" s="66" t="s">
        <v>10</v>
      </c>
      <c r="H2455" s="66" t="str">
        <f>TEXT(Data[[#This Row],[Buchung]],"MMM")</f>
        <v>Sep</v>
      </c>
      <c r="I2455" s="67">
        <f>YEAR(Data[[#This Row],[Buchung]])</f>
        <v>2021</v>
      </c>
      <c r="J2455" s="2">
        <f>ABS(Data[[#This Row],[Betrag]])</f>
        <v>80</v>
      </c>
      <c r="K2455" s="66" t="str">
        <f>IF(Data[[#This Row],[Betrag]]&lt;0,"A","E")</f>
        <v>A</v>
      </c>
    </row>
    <row r="2456" spans="1:11" x14ac:dyDescent="0.25">
      <c r="A2456" s="1">
        <v>44459</v>
      </c>
      <c r="B2456" s="66" t="s">
        <v>45</v>
      </c>
      <c r="C2456" s="66" t="s">
        <v>46</v>
      </c>
      <c r="D2456" t="s">
        <v>47</v>
      </c>
      <c r="E2456">
        <v>1000</v>
      </c>
      <c r="F2456" s="66" t="s">
        <v>7</v>
      </c>
      <c r="G2456" s="66" t="s">
        <v>9</v>
      </c>
      <c r="H2456" s="66" t="str">
        <f>TEXT(Data[[#This Row],[Buchung]],"MMM")</f>
        <v>Sep</v>
      </c>
      <c r="I2456" s="67">
        <f>YEAR(Data[[#This Row],[Buchung]])</f>
        <v>2021</v>
      </c>
      <c r="J2456" s="2">
        <f>ABS(Data[[#This Row],[Betrag]])</f>
        <v>1000</v>
      </c>
      <c r="K2456" s="66" t="str">
        <f>IF(Data[[#This Row],[Betrag]]&lt;0,"A","E")</f>
        <v>E</v>
      </c>
    </row>
    <row r="2457" spans="1:11" x14ac:dyDescent="0.25">
      <c r="A2457" s="1">
        <v>44460</v>
      </c>
      <c r="B2457" s="66" t="s">
        <v>61</v>
      </c>
      <c r="C2457" s="66" t="s">
        <v>49</v>
      </c>
      <c r="D2457" t="s">
        <v>62</v>
      </c>
      <c r="E2457">
        <v>-10</v>
      </c>
      <c r="F2457" s="66" t="s">
        <v>7</v>
      </c>
      <c r="G2457" s="66" t="s">
        <v>8</v>
      </c>
      <c r="H2457" s="66" t="str">
        <f>TEXT(Data[[#This Row],[Buchung]],"MMM")</f>
        <v>Sep</v>
      </c>
      <c r="I2457" s="67">
        <f>YEAR(Data[[#This Row],[Buchung]])</f>
        <v>2021</v>
      </c>
      <c r="J2457" s="2">
        <f>ABS(Data[[#This Row],[Betrag]])</f>
        <v>10</v>
      </c>
      <c r="K2457" s="66" t="str">
        <f>IF(Data[[#This Row],[Betrag]]&lt;0,"A","E")</f>
        <v>A</v>
      </c>
    </row>
    <row r="2458" spans="1:11" x14ac:dyDescent="0.25">
      <c r="A2458" s="1">
        <v>44461</v>
      </c>
      <c r="B2458" s="66" t="s">
        <v>63</v>
      </c>
      <c r="C2458" s="66" t="s">
        <v>64</v>
      </c>
      <c r="D2458" t="s">
        <v>65</v>
      </c>
      <c r="E2458">
        <v>-65</v>
      </c>
      <c r="F2458" s="66" t="s">
        <v>7</v>
      </c>
      <c r="G2458" s="66" t="s">
        <v>11</v>
      </c>
      <c r="H2458" s="66" t="str">
        <f>TEXT(Data[[#This Row],[Buchung]],"MMM")</f>
        <v>Sep</v>
      </c>
      <c r="I2458" s="67">
        <f>YEAR(Data[[#This Row],[Buchung]])</f>
        <v>2021</v>
      </c>
      <c r="J2458" s="2">
        <f>ABS(Data[[#This Row],[Betrag]])</f>
        <v>65</v>
      </c>
      <c r="K2458" s="66" t="str">
        <f>IF(Data[[#This Row],[Betrag]]&lt;0,"A","E")</f>
        <v>A</v>
      </c>
    </row>
    <row r="2459" spans="1:11" x14ac:dyDescent="0.25">
      <c r="A2459" s="1">
        <v>44462</v>
      </c>
      <c r="B2459" s="66" t="s">
        <v>54</v>
      </c>
      <c r="C2459" s="66" t="s">
        <v>55</v>
      </c>
      <c r="D2459" t="s">
        <v>66</v>
      </c>
      <c r="E2459">
        <v>-80</v>
      </c>
      <c r="F2459" s="66" t="s">
        <v>7</v>
      </c>
      <c r="G2459" s="66" t="s">
        <v>57</v>
      </c>
      <c r="H2459" s="66" t="str">
        <f>TEXT(Data[[#This Row],[Buchung]],"MMM")</f>
        <v>Sep</v>
      </c>
      <c r="I2459" s="67">
        <f>YEAR(Data[[#This Row],[Buchung]])</f>
        <v>2021</v>
      </c>
      <c r="J2459" s="2">
        <f>ABS(Data[[#This Row],[Betrag]])</f>
        <v>80</v>
      </c>
      <c r="K2459" s="66" t="str">
        <f>IF(Data[[#This Row],[Betrag]]&lt;0,"A","E")</f>
        <v>A</v>
      </c>
    </row>
    <row r="2460" spans="1:11" x14ac:dyDescent="0.25">
      <c r="A2460" s="1">
        <v>44463</v>
      </c>
      <c r="B2460" s="66" t="s">
        <v>67</v>
      </c>
      <c r="C2460" s="66" t="s">
        <v>59</v>
      </c>
      <c r="D2460" t="s">
        <v>68</v>
      </c>
      <c r="E2460">
        <v>-35</v>
      </c>
      <c r="F2460" s="66" t="s">
        <v>7</v>
      </c>
      <c r="G2460" s="66" t="s">
        <v>10</v>
      </c>
      <c r="H2460" s="66" t="str">
        <f>TEXT(Data[[#This Row],[Buchung]],"MMM")</f>
        <v>Sep</v>
      </c>
      <c r="I2460" s="67">
        <f>YEAR(Data[[#This Row],[Buchung]])</f>
        <v>2021</v>
      </c>
      <c r="J2460" s="2">
        <f>ABS(Data[[#This Row],[Betrag]])</f>
        <v>35</v>
      </c>
      <c r="K2460" s="66" t="str">
        <f>IF(Data[[#This Row],[Betrag]]&lt;0,"A","E")</f>
        <v>A</v>
      </c>
    </row>
    <row r="2461" spans="1:11" x14ac:dyDescent="0.25">
      <c r="A2461" s="1">
        <v>44464</v>
      </c>
      <c r="B2461" s="66" t="s">
        <v>45</v>
      </c>
      <c r="C2461" s="66" t="s">
        <v>46</v>
      </c>
      <c r="D2461" t="s">
        <v>47</v>
      </c>
      <c r="E2461">
        <v>1000</v>
      </c>
      <c r="F2461" s="66" t="s">
        <v>7</v>
      </c>
      <c r="G2461" s="66" t="s">
        <v>9</v>
      </c>
      <c r="H2461" s="66" t="str">
        <f>TEXT(Data[[#This Row],[Buchung]],"MMM")</f>
        <v>Sep</v>
      </c>
      <c r="I2461" s="67">
        <f>YEAR(Data[[#This Row],[Buchung]])</f>
        <v>2021</v>
      </c>
      <c r="J2461" s="2">
        <f>ABS(Data[[#This Row],[Betrag]])</f>
        <v>1000</v>
      </c>
      <c r="K2461" s="66" t="str">
        <f>IF(Data[[#This Row],[Betrag]]&lt;0,"A","E")</f>
        <v>E</v>
      </c>
    </row>
    <row r="2462" spans="1:11" x14ac:dyDescent="0.25">
      <c r="A2462" s="1">
        <v>44465</v>
      </c>
      <c r="B2462" s="66" t="s">
        <v>45</v>
      </c>
      <c r="C2462" s="66" t="s">
        <v>46</v>
      </c>
      <c r="D2462" t="s">
        <v>47</v>
      </c>
      <c r="E2462">
        <v>1000</v>
      </c>
      <c r="F2462" s="66" t="s">
        <v>7</v>
      </c>
      <c r="G2462" s="66" t="s">
        <v>9</v>
      </c>
      <c r="H2462" s="66" t="str">
        <f>TEXT(Data[[#This Row],[Buchung]],"MMM")</f>
        <v>Sep</v>
      </c>
      <c r="I2462" s="67">
        <f>YEAR(Data[[#This Row],[Buchung]])</f>
        <v>2021</v>
      </c>
      <c r="J2462" s="2">
        <f>ABS(Data[[#This Row],[Betrag]])</f>
        <v>1000</v>
      </c>
      <c r="K2462" s="66" t="str">
        <f>IF(Data[[#This Row],[Betrag]]&lt;0,"A","E")</f>
        <v>E</v>
      </c>
    </row>
    <row r="2463" spans="1:11" x14ac:dyDescent="0.25">
      <c r="A2463" s="1">
        <v>44466</v>
      </c>
      <c r="B2463" s="66" t="s">
        <v>48</v>
      </c>
      <c r="C2463" s="66" t="s">
        <v>49</v>
      </c>
      <c r="D2463" t="s">
        <v>50</v>
      </c>
      <c r="E2463">
        <v>-15</v>
      </c>
      <c r="F2463" s="66" t="s">
        <v>7</v>
      </c>
      <c r="G2463" s="66" t="s">
        <v>8</v>
      </c>
      <c r="H2463" s="66" t="str">
        <f>TEXT(Data[[#This Row],[Buchung]],"MMM")</f>
        <v>Sep</v>
      </c>
      <c r="I2463" s="67">
        <f>YEAR(Data[[#This Row],[Buchung]])</f>
        <v>2021</v>
      </c>
      <c r="J2463" s="2">
        <f>ABS(Data[[#This Row],[Betrag]])</f>
        <v>15</v>
      </c>
      <c r="K2463" s="66" t="str">
        <f>IF(Data[[#This Row],[Betrag]]&lt;0,"A","E")</f>
        <v>A</v>
      </c>
    </row>
    <row r="2464" spans="1:11" x14ac:dyDescent="0.25">
      <c r="A2464" s="1">
        <v>44467</v>
      </c>
      <c r="B2464" s="66" t="s">
        <v>51</v>
      </c>
      <c r="C2464" s="66" t="s">
        <v>52</v>
      </c>
      <c r="D2464" t="s">
        <v>53</v>
      </c>
      <c r="E2464">
        <v>-350</v>
      </c>
      <c r="F2464" s="66" t="s">
        <v>7</v>
      </c>
      <c r="G2464" s="66" t="s">
        <v>11</v>
      </c>
      <c r="H2464" s="66" t="str">
        <f>TEXT(Data[[#This Row],[Buchung]],"MMM")</f>
        <v>Sep</v>
      </c>
      <c r="I2464" s="67">
        <f>YEAR(Data[[#This Row],[Buchung]])</f>
        <v>2021</v>
      </c>
      <c r="J2464" s="2">
        <f>ABS(Data[[#This Row],[Betrag]])</f>
        <v>350</v>
      </c>
      <c r="K2464" s="66" t="str">
        <f>IF(Data[[#This Row],[Betrag]]&lt;0,"A","E")</f>
        <v>A</v>
      </c>
    </row>
    <row r="2465" spans="1:11" x14ac:dyDescent="0.25">
      <c r="A2465" s="1">
        <v>44468</v>
      </c>
      <c r="B2465" s="66" t="s">
        <v>54</v>
      </c>
      <c r="C2465" s="66" t="s">
        <v>55</v>
      </c>
      <c r="D2465" t="s">
        <v>56</v>
      </c>
      <c r="E2465">
        <v>-120</v>
      </c>
      <c r="F2465" s="66" t="s">
        <v>7</v>
      </c>
      <c r="G2465" s="66" t="s">
        <v>57</v>
      </c>
      <c r="H2465" s="66" t="str">
        <f>TEXT(Data[[#This Row],[Buchung]],"MMM")</f>
        <v>Sep</v>
      </c>
      <c r="I2465" s="67">
        <f>YEAR(Data[[#This Row],[Buchung]])</f>
        <v>2021</v>
      </c>
      <c r="J2465" s="2">
        <f>ABS(Data[[#This Row],[Betrag]])</f>
        <v>120</v>
      </c>
      <c r="K2465" s="66" t="str">
        <f>IF(Data[[#This Row],[Betrag]]&lt;0,"A","E")</f>
        <v>A</v>
      </c>
    </row>
    <row r="2466" spans="1:11" x14ac:dyDescent="0.25">
      <c r="A2466" s="1">
        <v>44469</v>
      </c>
      <c r="B2466" s="66" t="s">
        <v>58</v>
      </c>
      <c r="C2466" s="66" t="s">
        <v>59</v>
      </c>
      <c r="D2466" t="s">
        <v>60</v>
      </c>
      <c r="E2466">
        <v>-50</v>
      </c>
      <c r="F2466" s="66" t="s">
        <v>7</v>
      </c>
      <c r="G2466" s="66" t="s">
        <v>10</v>
      </c>
      <c r="H2466" s="66" t="str">
        <f>TEXT(Data[[#This Row],[Buchung]],"MMM")</f>
        <v>Sep</v>
      </c>
      <c r="I2466" s="67">
        <f>YEAR(Data[[#This Row],[Buchung]])</f>
        <v>2021</v>
      </c>
      <c r="J2466" s="2">
        <f>ABS(Data[[#This Row],[Betrag]])</f>
        <v>50</v>
      </c>
      <c r="K2466" s="66" t="str">
        <f>IF(Data[[#This Row],[Betrag]]&lt;0,"A","E")</f>
        <v>A</v>
      </c>
    </row>
    <row r="2467" spans="1:11" x14ac:dyDescent="0.25">
      <c r="A2467" s="1">
        <v>44470</v>
      </c>
      <c r="B2467" s="66" t="s">
        <v>45</v>
      </c>
      <c r="C2467" s="66" t="s">
        <v>46</v>
      </c>
      <c r="D2467" t="s">
        <v>47</v>
      </c>
      <c r="E2467">
        <v>1000</v>
      </c>
      <c r="F2467" s="66" t="s">
        <v>7</v>
      </c>
      <c r="G2467" s="66" t="s">
        <v>9</v>
      </c>
      <c r="H2467" s="66" t="str">
        <f>TEXT(Data[[#This Row],[Buchung]],"MMM")</f>
        <v>Okt</v>
      </c>
      <c r="I2467" s="67">
        <f>YEAR(Data[[#This Row],[Buchung]])</f>
        <v>2021</v>
      </c>
      <c r="J2467" s="2">
        <f>ABS(Data[[#This Row],[Betrag]])</f>
        <v>1000</v>
      </c>
      <c r="K2467" s="66" t="str">
        <f>IF(Data[[#This Row],[Betrag]]&lt;0,"A","E")</f>
        <v>E</v>
      </c>
    </row>
    <row r="2468" spans="1:11" x14ac:dyDescent="0.25">
      <c r="A2468" s="1">
        <v>44471</v>
      </c>
      <c r="B2468" s="66" t="s">
        <v>61</v>
      </c>
      <c r="C2468" s="66" t="s">
        <v>49</v>
      </c>
      <c r="D2468" t="s">
        <v>62</v>
      </c>
      <c r="E2468">
        <v>-10</v>
      </c>
      <c r="F2468" s="66" t="s">
        <v>7</v>
      </c>
      <c r="G2468" s="66" t="s">
        <v>8</v>
      </c>
      <c r="H2468" s="66" t="str">
        <f>TEXT(Data[[#This Row],[Buchung]],"MMM")</f>
        <v>Okt</v>
      </c>
      <c r="I2468" s="67">
        <f>YEAR(Data[[#This Row],[Buchung]])</f>
        <v>2021</v>
      </c>
      <c r="J2468" s="2">
        <f>ABS(Data[[#This Row],[Betrag]])</f>
        <v>10</v>
      </c>
      <c r="K2468" s="66" t="str">
        <f>IF(Data[[#This Row],[Betrag]]&lt;0,"A","E")</f>
        <v>A</v>
      </c>
    </row>
    <row r="2469" spans="1:11" x14ac:dyDescent="0.25">
      <c r="A2469" s="1">
        <v>44472</v>
      </c>
      <c r="B2469" s="66" t="s">
        <v>63</v>
      </c>
      <c r="C2469" s="66" t="s">
        <v>64</v>
      </c>
      <c r="D2469" t="s">
        <v>65</v>
      </c>
      <c r="E2469">
        <v>-60</v>
      </c>
      <c r="F2469" s="66" t="s">
        <v>7</v>
      </c>
      <c r="G2469" s="66" t="s">
        <v>11</v>
      </c>
      <c r="H2469" s="66" t="str">
        <f>TEXT(Data[[#This Row],[Buchung]],"MMM")</f>
        <v>Okt</v>
      </c>
      <c r="I2469" s="67">
        <f>YEAR(Data[[#This Row],[Buchung]])</f>
        <v>2021</v>
      </c>
      <c r="J2469" s="2">
        <f>ABS(Data[[#This Row],[Betrag]])</f>
        <v>60</v>
      </c>
      <c r="K2469" s="66" t="str">
        <f>IF(Data[[#This Row],[Betrag]]&lt;0,"A","E")</f>
        <v>A</v>
      </c>
    </row>
    <row r="2470" spans="1:11" x14ac:dyDescent="0.25">
      <c r="A2470" s="1">
        <v>44473</v>
      </c>
      <c r="B2470" s="66" t="s">
        <v>54</v>
      </c>
      <c r="C2470" s="66" t="s">
        <v>55</v>
      </c>
      <c r="D2470" t="s">
        <v>66</v>
      </c>
      <c r="E2470">
        <v>-80</v>
      </c>
      <c r="F2470" s="66" t="s">
        <v>7</v>
      </c>
      <c r="G2470" s="66" t="s">
        <v>57</v>
      </c>
      <c r="H2470" s="66" t="str">
        <f>TEXT(Data[[#This Row],[Buchung]],"MMM")</f>
        <v>Okt</v>
      </c>
      <c r="I2470" s="67">
        <f>YEAR(Data[[#This Row],[Buchung]])</f>
        <v>2021</v>
      </c>
      <c r="J2470" s="2">
        <f>ABS(Data[[#This Row],[Betrag]])</f>
        <v>80</v>
      </c>
      <c r="K2470" s="66" t="str">
        <f>IF(Data[[#This Row],[Betrag]]&lt;0,"A","E")</f>
        <v>A</v>
      </c>
    </row>
    <row r="2471" spans="1:11" x14ac:dyDescent="0.25">
      <c r="A2471" s="1">
        <v>44474</v>
      </c>
      <c r="B2471" s="66" t="s">
        <v>67</v>
      </c>
      <c r="C2471" s="66" t="s">
        <v>59</v>
      </c>
      <c r="D2471" t="s">
        <v>68</v>
      </c>
      <c r="E2471">
        <v>-20</v>
      </c>
      <c r="F2471" s="66" t="s">
        <v>7</v>
      </c>
      <c r="G2471" s="66" t="s">
        <v>10</v>
      </c>
      <c r="H2471" s="66" t="str">
        <f>TEXT(Data[[#This Row],[Buchung]],"MMM")</f>
        <v>Okt</v>
      </c>
      <c r="I2471" s="67">
        <f>YEAR(Data[[#This Row],[Buchung]])</f>
        <v>2021</v>
      </c>
      <c r="J2471" s="2">
        <f>ABS(Data[[#This Row],[Betrag]])</f>
        <v>20</v>
      </c>
      <c r="K2471" s="66" t="str">
        <f>IF(Data[[#This Row],[Betrag]]&lt;0,"A","E")</f>
        <v>A</v>
      </c>
    </row>
    <row r="2472" spans="1:11" x14ac:dyDescent="0.25">
      <c r="A2472" s="1">
        <v>44475</v>
      </c>
      <c r="B2472" s="66" t="s">
        <v>45</v>
      </c>
      <c r="C2472" s="66" t="s">
        <v>46</v>
      </c>
      <c r="D2472" t="s">
        <v>47</v>
      </c>
      <c r="E2472">
        <v>1000</v>
      </c>
      <c r="F2472" s="66" t="s">
        <v>7</v>
      </c>
      <c r="G2472" s="66" t="s">
        <v>9</v>
      </c>
      <c r="H2472" s="66" t="str">
        <f>TEXT(Data[[#This Row],[Buchung]],"MMM")</f>
        <v>Okt</v>
      </c>
      <c r="I2472" s="67">
        <f>YEAR(Data[[#This Row],[Buchung]])</f>
        <v>2021</v>
      </c>
      <c r="J2472" s="2">
        <f>ABS(Data[[#This Row],[Betrag]])</f>
        <v>1000</v>
      </c>
      <c r="K2472" s="66" t="str">
        <f>IF(Data[[#This Row],[Betrag]]&lt;0,"A","E")</f>
        <v>E</v>
      </c>
    </row>
    <row r="2473" spans="1:11" x14ac:dyDescent="0.25">
      <c r="A2473" s="1">
        <v>44476</v>
      </c>
      <c r="B2473" s="66" t="s">
        <v>48</v>
      </c>
      <c r="C2473" s="66" t="s">
        <v>49</v>
      </c>
      <c r="D2473" t="s">
        <v>50</v>
      </c>
      <c r="E2473">
        <v>-15</v>
      </c>
      <c r="F2473" s="66" t="s">
        <v>7</v>
      </c>
      <c r="G2473" s="66" t="s">
        <v>8</v>
      </c>
      <c r="H2473" s="66" t="str">
        <f>TEXT(Data[[#This Row],[Buchung]],"MMM")</f>
        <v>Okt</v>
      </c>
      <c r="I2473" s="67">
        <f>YEAR(Data[[#This Row],[Buchung]])</f>
        <v>2021</v>
      </c>
      <c r="J2473" s="2">
        <f>ABS(Data[[#This Row],[Betrag]])</f>
        <v>15</v>
      </c>
      <c r="K2473" s="66" t="str">
        <f>IF(Data[[#This Row],[Betrag]]&lt;0,"A","E")</f>
        <v>A</v>
      </c>
    </row>
    <row r="2474" spans="1:11" x14ac:dyDescent="0.25">
      <c r="A2474" s="1">
        <v>44477</v>
      </c>
      <c r="B2474" s="66" t="s">
        <v>51</v>
      </c>
      <c r="C2474" s="66" t="s">
        <v>52</v>
      </c>
      <c r="D2474" t="s">
        <v>53</v>
      </c>
      <c r="E2474">
        <v>-350</v>
      </c>
      <c r="F2474" s="66" t="s">
        <v>7</v>
      </c>
      <c r="G2474" s="66" t="s">
        <v>11</v>
      </c>
      <c r="H2474" s="66" t="str">
        <f>TEXT(Data[[#This Row],[Buchung]],"MMM")</f>
        <v>Okt</v>
      </c>
      <c r="I2474" s="67">
        <f>YEAR(Data[[#This Row],[Buchung]])</f>
        <v>2021</v>
      </c>
      <c r="J2474" s="2">
        <f>ABS(Data[[#This Row],[Betrag]])</f>
        <v>350</v>
      </c>
      <c r="K2474" s="66" t="str">
        <f>IF(Data[[#This Row],[Betrag]]&lt;0,"A","E")</f>
        <v>A</v>
      </c>
    </row>
    <row r="2475" spans="1:11" x14ac:dyDescent="0.25">
      <c r="A2475" s="1">
        <v>44478</v>
      </c>
      <c r="B2475" s="66" t="s">
        <v>54</v>
      </c>
      <c r="C2475" s="66" t="s">
        <v>55</v>
      </c>
      <c r="D2475" t="s">
        <v>56</v>
      </c>
      <c r="E2475">
        <v>-120</v>
      </c>
      <c r="F2475" s="66" t="s">
        <v>7</v>
      </c>
      <c r="G2475" s="66" t="s">
        <v>57</v>
      </c>
      <c r="H2475" s="66" t="str">
        <f>TEXT(Data[[#This Row],[Buchung]],"MMM")</f>
        <v>Okt</v>
      </c>
      <c r="I2475" s="67">
        <f>YEAR(Data[[#This Row],[Buchung]])</f>
        <v>2021</v>
      </c>
      <c r="J2475" s="2">
        <f>ABS(Data[[#This Row],[Betrag]])</f>
        <v>120</v>
      </c>
      <c r="K2475" s="66" t="str">
        <f>IF(Data[[#This Row],[Betrag]]&lt;0,"A","E")</f>
        <v>A</v>
      </c>
    </row>
    <row r="2476" spans="1:11" x14ac:dyDescent="0.25">
      <c r="A2476" s="1">
        <v>44479</v>
      </c>
      <c r="B2476" s="66" t="s">
        <v>58</v>
      </c>
      <c r="C2476" s="66" t="s">
        <v>59</v>
      </c>
      <c r="D2476" t="s">
        <v>60</v>
      </c>
      <c r="E2476">
        <v>-60</v>
      </c>
      <c r="F2476" s="66" t="s">
        <v>7</v>
      </c>
      <c r="G2476" s="66" t="s">
        <v>10</v>
      </c>
      <c r="H2476" s="66" t="str">
        <f>TEXT(Data[[#This Row],[Buchung]],"MMM")</f>
        <v>Okt</v>
      </c>
      <c r="I2476" s="67">
        <f>YEAR(Data[[#This Row],[Buchung]])</f>
        <v>2021</v>
      </c>
      <c r="J2476" s="2">
        <f>ABS(Data[[#This Row],[Betrag]])</f>
        <v>60</v>
      </c>
      <c r="K2476" s="66" t="str">
        <f>IF(Data[[#This Row],[Betrag]]&lt;0,"A","E")</f>
        <v>A</v>
      </c>
    </row>
    <row r="2477" spans="1:11" x14ac:dyDescent="0.25">
      <c r="A2477" s="1">
        <v>44480</v>
      </c>
      <c r="B2477" s="66" t="s">
        <v>45</v>
      </c>
      <c r="C2477" s="66" t="s">
        <v>46</v>
      </c>
      <c r="D2477" t="s">
        <v>47</v>
      </c>
      <c r="E2477">
        <v>1000</v>
      </c>
      <c r="F2477" s="66" t="s">
        <v>7</v>
      </c>
      <c r="G2477" s="66" t="s">
        <v>9</v>
      </c>
      <c r="H2477" s="66" t="str">
        <f>TEXT(Data[[#This Row],[Buchung]],"MMM")</f>
        <v>Okt</v>
      </c>
      <c r="I2477" s="67">
        <f>YEAR(Data[[#This Row],[Buchung]])</f>
        <v>2021</v>
      </c>
      <c r="J2477" s="2">
        <f>ABS(Data[[#This Row],[Betrag]])</f>
        <v>1000</v>
      </c>
      <c r="K2477" s="66" t="str">
        <f>IF(Data[[#This Row],[Betrag]]&lt;0,"A","E")</f>
        <v>E</v>
      </c>
    </row>
    <row r="2478" spans="1:11" x14ac:dyDescent="0.25">
      <c r="A2478" s="1">
        <v>44481</v>
      </c>
      <c r="B2478" s="66" t="s">
        <v>61</v>
      </c>
      <c r="C2478" s="66" t="s">
        <v>49</v>
      </c>
      <c r="D2478" t="s">
        <v>62</v>
      </c>
      <c r="E2478">
        <v>-10</v>
      </c>
      <c r="F2478" s="66" t="s">
        <v>7</v>
      </c>
      <c r="G2478" s="66" t="s">
        <v>8</v>
      </c>
      <c r="H2478" s="66" t="str">
        <f>TEXT(Data[[#This Row],[Buchung]],"MMM")</f>
        <v>Okt</v>
      </c>
      <c r="I2478" s="67">
        <f>YEAR(Data[[#This Row],[Buchung]])</f>
        <v>2021</v>
      </c>
      <c r="J2478" s="2">
        <f>ABS(Data[[#This Row],[Betrag]])</f>
        <v>10</v>
      </c>
      <c r="K2478" s="66" t="str">
        <f>IF(Data[[#This Row],[Betrag]]&lt;0,"A","E")</f>
        <v>A</v>
      </c>
    </row>
    <row r="2479" spans="1:11" x14ac:dyDescent="0.25">
      <c r="A2479" s="1">
        <v>44482</v>
      </c>
      <c r="B2479" s="66" t="s">
        <v>63</v>
      </c>
      <c r="C2479" s="66" t="s">
        <v>64</v>
      </c>
      <c r="D2479" t="s">
        <v>65</v>
      </c>
      <c r="E2479">
        <v>-70</v>
      </c>
      <c r="F2479" s="66" t="s">
        <v>7</v>
      </c>
      <c r="G2479" s="66" t="s">
        <v>11</v>
      </c>
      <c r="H2479" s="66" t="str">
        <f>TEXT(Data[[#This Row],[Buchung]],"MMM")</f>
        <v>Okt</v>
      </c>
      <c r="I2479" s="67">
        <f>YEAR(Data[[#This Row],[Buchung]])</f>
        <v>2021</v>
      </c>
      <c r="J2479" s="2">
        <f>ABS(Data[[#This Row],[Betrag]])</f>
        <v>70</v>
      </c>
      <c r="K2479" s="66" t="str">
        <f>IF(Data[[#This Row],[Betrag]]&lt;0,"A","E")</f>
        <v>A</v>
      </c>
    </row>
    <row r="2480" spans="1:11" x14ac:dyDescent="0.25">
      <c r="A2480" s="1">
        <v>44483</v>
      </c>
      <c r="B2480" s="66" t="s">
        <v>54</v>
      </c>
      <c r="C2480" s="66" t="s">
        <v>55</v>
      </c>
      <c r="D2480" t="s">
        <v>66</v>
      </c>
      <c r="E2480">
        <v>-80</v>
      </c>
      <c r="F2480" s="66" t="s">
        <v>7</v>
      </c>
      <c r="G2480" s="66" t="s">
        <v>57</v>
      </c>
      <c r="H2480" s="66" t="str">
        <f>TEXT(Data[[#This Row],[Buchung]],"MMM")</f>
        <v>Okt</v>
      </c>
      <c r="I2480" s="67">
        <f>YEAR(Data[[#This Row],[Buchung]])</f>
        <v>2021</v>
      </c>
      <c r="J2480" s="2">
        <f>ABS(Data[[#This Row],[Betrag]])</f>
        <v>80</v>
      </c>
      <c r="K2480" s="66" t="str">
        <f>IF(Data[[#This Row],[Betrag]]&lt;0,"A","E")</f>
        <v>A</v>
      </c>
    </row>
    <row r="2481" spans="1:11" x14ac:dyDescent="0.25">
      <c r="A2481" s="1">
        <v>44484</v>
      </c>
      <c r="B2481" s="66" t="s">
        <v>67</v>
      </c>
      <c r="C2481" s="66" t="s">
        <v>59</v>
      </c>
      <c r="D2481" t="s">
        <v>68</v>
      </c>
      <c r="E2481">
        <v>-25</v>
      </c>
      <c r="F2481" s="66" t="s">
        <v>7</v>
      </c>
      <c r="G2481" s="66" t="s">
        <v>10</v>
      </c>
      <c r="H2481" s="66" t="str">
        <f>TEXT(Data[[#This Row],[Buchung]],"MMM")</f>
        <v>Okt</v>
      </c>
      <c r="I2481" s="67">
        <f>YEAR(Data[[#This Row],[Buchung]])</f>
        <v>2021</v>
      </c>
      <c r="J2481" s="2">
        <f>ABS(Data[[#This Row],[Betrag]])</f>
        <v>25</v>
      </c>
      <c r="K2481" s="66" t="str">
        <f>IF(Data[[#This Row],[Betrag]]&lt;0,"A","E")</f>
        <v>A</v>
      </c>
    </row>
    <row r="2482" spans="1:11" x14ac:dyDescent="0.25">
      <c r="A2482" s="1">
        <v>44485</v>
      </c>
      <c r="B2482" s="66" t="s">
        <v>45</v>
      </c>
      <c r="C2482" s="66" t="s">
        <v>46</v>
      </c>
      <c r="D2482" t="s">
        <v>47</v>
      </c>
      <c r="E2482">
        <v>1000</v>
      </c>
      <c r="F2482" s="66" t="s">
        <v>7</v>
      </c>
      <c r="G2482" s="66" t="s">
        <v>9</v>
      </c>
      <c r="H2482" s="66" t="str">
        <f>TEXT(Data[[#This Row],[Buchung]],"MMM")</f>
        <v>Okt</v>
      </c>
      <c r="I2482" s="67">
        <f>YEAR(Data[[#This Row],[Buchung]])</f>
        <v>2021</v>
      </c>
      <c r="J2482" s="2">
        <f>ABS(Data[[#This Row],[Betrag]])</f>
        <v>1000</v>
      </c>
      <c r="K2482" s="66" t="str">
        <f>IF(Data[[#This Row],[Betrag]]&lt;0,"A","E")</f>
        <v>E</v>
      </c>
    </row>
    <row r="2483" spans="1:11" x14ac:dyDescent="0.25">
      <c r="A2483" s="1">
        <v>44486</v>
      </c>
      <c r="B2483" s="66" t="s">
        <v>48</v>
      </c>
      <c r="C2483" s="66" t="s">
        <v>49</v>
      </c>
      <c r="D2483" t="s">
        <v>50</v>
      </c>
      <c r="E2483">
        <v>-15</v>
      </c>
      <c r="F2483" s="66" t="s">
        <v>7</v>
      </c>
      <c r="G2483" s="66" t="s">
        <v>8</v>
      </c>
      <c r="H2483" s="66" t="str">
        <f>TEXT(Data[[#This Row],[Buchung]],"MMM")</f>
        <v>Okt</v>
      </c>
      <c r="I2483" s="67">
        <f>YEAR(Data[[#This Row],[Buchung]])</f>
        <v>2021</v>
      </c>
      <c r="J2483" s="2">
        <f>ABS(Data[[#This Row],[Betrag]])</f>
        <v>15</v>
      </c>
      <c r="K2483" s="66" t="str">
        <f>IF(Data[[#This Row],[Betrag]]&lt;0,"A","E")</f>
        <v>A</v>
      </c>
    </row>
    <row r="2484" spans="1:11" x14ac:dyDescent="0.25">
      <c r="A2484" s="1">
        <v>44487</v>
      </c>
      <c r="B2484" s="66" t="s">
        <v>51</v>
      </c>
      <c r="C2484" s="66" t="s">
        <v>52</v>
      </c>
      <c r="D2484" t="s">
        <v>53</v>
      </c>
      <c r="E2484">
        <v>-350</v>
      </c>
      <c r="F2484" s="66" t="s">
        <v>7</v>
      </c>
      <c r="G2484" s="66" t="s">
        <v>11</v>
      </c>
      <c r="H2484" s="66" t="str">
        <f>TEXT(Data[[#This Row],[Buchung]],"MMM")</f>
        <v>Okt</v>
      </c>
      <c r="I2484" s="67">
        <f>YEAR(Data[[#This Row],[Buchung]])</f>
        <v>2021</v>
      </c>
      <c r="J2484" s="2">
        <f>ABS(Data[[#This Row],[Betrag]])</f>
        <v>350</v>
      </c>
      <c r="K2484" s="66" t="str">
        <f>IF(Data[[#This Row],[Betrag]]&lt;0,"A","E")</f>
        <v>A</v>
      </c>
    </row>
    <row r="2485" spans="1:11" x14ac:dyDescent="0.25">
      <c r="A2485" s="1">
        <v>44488</v>
      </c>
      <c r="B2485" s="66" t="s">
        <v>54</v>
      </c>
      <c r="C2485" s="66" t="s">
        <v>55</v>
      </c>
      <c r="D2485" t="s">
        <v>56</v>
      </c>
      <c r="E2485">
        <v>-120</v>
      </c>
      <c r="F2485" s="66" t="s">
        <v>7</v>
      </c>
      <c r="G2485" s="66" t="s">
        <v>57</v>
      </c>
      <c r="H2485" s="66" t="str">
        <f>TEXT(Data[[#This Row],[Buchung]],"MMM")</f>
        <v>Okt</v>
      </c>
      <c r="I2485" s="67">
        <f>YEAR(Data[[#This Row],[Buchung]])</f>
        <v>2021</v>
      </c>
      <c r="J2485" s="2">
        <f>ABS(Data[[#This Row],[Betrag]])</f>
        <v>120</v>
      </c>
      <c r="K2485" s="66" t="str">
        <f>IF(Data[[#This Row],[Betrag]]&lt;0,"A","E")</f>
        <v>A</v>
      </c>
    </row>
    <row r="2486" spans="1:11" x14ac:dyDescent="0.25">
      <c r="A2486" s="1">
        <v>44489</v>
      </c>
      <c r="B2486" s="66" t="s">
        <v>58</v>
      </c>
      <c r="C2486" s="66" t="s">
        <v>59</v>
      </c>
      <c r="D2486" t="s">
        <v>60</v>
      </c>
      <c r="E2486">
        <v>-70</v>
      </c>
      <c r="F2486" s="66" t="s">
        <v>7</v>
      </c>
      <c r="G2486" s="66" t="s">
        <v>10</v>
      </c>
      <c r="H2486" s="66" t="str">
        <f>TEXT(Data[[#This Row],[Buchung]],"MMM")</f>
        <v>Okt</v>
      </c>
      <c r="I2486" s="67">
        <f>YEAR(Data[[#This Row],[Buchung]])</f>
        <v>2021</v>
      </c>
      <c r="J2486" s="2">
        <f>ABS(Data[[#This Row],[Betrag]])</f>
        <v>70</v>
      </c>
      <c r="K2486" s="66" t="str">
        <f>IF(Data[[#This Row],[Betrag]]&lt;0,"A","E")</f>
        <v>A</v>
      </c>
    </row>
    <row r="2487" spans="1:11" x14ac:dyDescent="0.25">
      <c r="A2487" s="1">
        <v>44490</v>
      </c>
      <c r="B2487" s="66" t="s">
        <v>45</v>
      </c>
      <c r="C2487" s="66" t="s">
        <v>46</v>
      </c>
      <c r="D2487" t="s">
        <v>47</v>
      </c>
      <c r="E2487">
        <v>1000</v>
      </c>
      <c r="F2487" s="66" t="s">
        <v>7</v>
      </c>
      <c r="G2487" s="66" t="s">
        <v>9</v>
      </c>
      <c r="H2487" s="66" t="str">
        <f>TEXT(Data[[#This Row],[Buchung]],"MMM")</f>
        <v>Okt</v>
      </c>
      <c r="I2487" s="67">
        <f>YEAR(Data[[#This Row],[Buchung]])</f>
        <v>2021</v>
      </c>
      <c r="J2487" s="2">
        <f>ABS(Data[[#This Row],[Betrag]])</f>
        <v>1000</v>
      </c>
      <c r="K2487" s="66" t="str">
        <f>IF(Data[[#This Row],[Betrag]]&lt;0,"A","E")</f>
        <v>E</v>
      </c>
    </row>
    <row r="2488" spans="1:11" x14ac:dyDescent="0.25">
      <c r="A2488" s="1">
        <v>44491</v>
      </c>
      <c r="B2488" s="66" t="s">
        <v>61</v>
      </c>
      <c r="C2488" s="66" t="s">
        <v>49</v>
      </c>
      <c r="D2488" t="s">
        <v>62</v>
      </c>
      <c r="E2488">
        <v>-10</v>
      </c>
      <c r="F2488" s="66" t="s">
        <v>7</v>
      </c>
      <c r="G2488" s="66" t="s">
        <v>8</v>
      </c>
      <c r="H2488" s="66" t="str">
        <f>TEXT(Data[[#This Row],[Buchung]],"MMM")</f>
        <v>Okt</v>
      </c>
      <c r="I2488" s="67">
        <f>YEAR(Data[[#This Row],[Buchung]])</f>
        <v>2021</v>
      </c>
      <c r="J2488" s="2">
        <f>ABS(Data[[#This Row],[Betrag]])</f>
        <v>10</v>
      </c>
      <c r="K2488" s="66" t="str">
        <f>IF(Data[[#This Row],[Betrag]]&lt;0,"A","E")</f>
        <v>A</v>
      </c>
    </row>
    <row r="2489" spans="1:11" x14ac:dyDescent="0.25">
      <c r="A2489" s="1">
        <v>44492</v>
      </c>
      <c r="B2489" s="66" t="s">
        <v>63</v>
      </c>
      <c r="C2489" s="66" t="s">
        <v>64</v>
      </c>
      <c r="D2489" t="s">
        <v>65</v>
      </c>
      <c r="E2489">
        <v>-60</v>
      </c>
      <c r="F2489" s="66" t="s">
        <v>7</v>
      </c>
      <c r="G2489" s="66" t="s">
        <v>11</v>
      </c>
      <c r="H2489" s="66" t="str">
        <f>TEXT(Data[[#This Row],[Buchung]],"MMM")</f>
        <v>Okt</v>
      </c>
      <c r="I2489" s="67">
        <f>YEAR(Data[[#This Row],[Buchung]])</f>
        <v>2021</v>
      </c>
      <c r="J2489" s="2">
        <f>ABS(Data[[#This Row],[Betrag]])</f>
        <v>60</v>
      </c>
      <c r="K2489" s="66" t="str">
        <f>IF(Data[[#This Row],[Betrag]]&lt;0,"A","E")</f>
        <v>A</v>
      </c>
    </row>
    <row r="2490" spans="1:11" x14ac:dyDescent="0.25">
      <c r="A2490" s="1">
        <v>44493</v>
      </c>
      <c r="B2490" s="66" t="s">
        <v>54</v>
      </c>
      <c r="C2490" s="66" t="s">
        <v>55</v>
      </c>
      <c r="D2490" t="s">
        <v>66</v>
      </c>
      <c r="E2490">
        <v>-80</v>
      </c>
      <c r="F2490" s="66" t="s">
        <v>7</v>
      </c>
      <c r="G2490" s="66" t="s">
        <v>57</v>
      </c>
      <c r="H2490" s="66" t="str">
        <f>TEXT(Data[[#This Row],[Buchung]],"MMM")</f>
        <v>Okt</v>
      </c>
      <c r="I2490" s="67">
        <f>YEAR(Data[[#This Row],[Buchung]])</f>
        <v>2021</v>
      </c>
      <c r="J2490" s="2">
        <f>ABS(Data[[#This Row],[Betrag]])</f>
        <v>80</v>
      </c>
      <c r="K2490" s="66" t="str">
        <f>IF(Data[[#This Row],[Betrag]]&lt;0,"A","E")</f>
        <v>A</v>
      </c>
    </row>
    <row r="2491" spans="1:11" x14ac:dyDescent="0.25">
      <c r="A2491" s="1">
        <v>44494</v>
      </c>
      <c r="B2491" s="66" t="s">
        <v>67</v>
      </c>
      <c r="C2491" s="66" t="s">
        <v>59</v>
      </c>
      <c r="D2491" t="s">
        <v>68</v>
      </c>
      <c r="E2491">
        <v>-30</v>
      </c>
      <c r="F2491" s="66" t="s">
        <v>7</v>
      </c>
      <c r="G2491" s="66" t="s">
        <v>10</v>
      </c>
      <c r="H2491" s="66" t="str">
        <f>TEXT(Data[[#This Row],[Buchung]],"MMM")</f>
        <v>Okt</v>
      </c>
      <c r="I2491" s="67">
        <f>YEAR(Data[[#This Row],[Buchung]])</f>
        <v>2021</v>
      </c>
      <c r="J2491" s="2">
        <f>ABS(Data[[#This Row],[Betrag]])</f>
        <v>30</v>
      </c>
      <c r="K2491" s="66" t="str">
        <f>IF(Data[[#This Row],[Betrag]]&lt;0,"A","E")</f>
        <v>A</v>
      </c>
    </row>
    <row r="2492" spans="1:11" x14ac:dyDescent="0.25">
      <c r="A2492" s="1">
        <v>44495</v>
      </c>
      <c r="B2492" s="66" t="s">
        <v>45</v>
      </c>
      <c r="C2492" s="66" t="s">
        <v>46</v>
      </c>
      <c r="D2492" t="s">
        <v>47</v>
      </c>
      <c r="E2492">
        <v>1000</v>
      </c>
      <c r="F2492" s="66" t="s">
        <v>7</v>
      </c>
      <c r="G2492" s="66" t="s">
        <v>9</v>
      </c>
      <c r="H2492" s="66" t="str">
        <f>TEXT(Data[[#This Row],[Buchung]],"MMM")</f>
        <v>Okt</v>
      </c>
      <c r="I2492" s="67">
        <f>YEAR(Data[[#This Row],[Buchung]])</f>
        <v>2021</v>
      </c>
      <c r="J2492" s="2">
        <f>ABS(Data[[#This Row],[Betrag]])</f>
        <v>1000</v>
      </c>
      <c r="K2492" s="66" t="str">
        <f>IF(Data[[#This Row],[Betrag]]&lt;0,"A","E")</f>
        <v>E</v>
      </c>
    </row>
    <row r="2493" spans="1:11" x14ac:dyDescent="0.25">
      <c r="A2493" s="1">
        <v>44496</v>
      </c>
      <c r="B2493" s="66" t="s">
        <v>48</v>
      </c>
      <c r="C2493" s="66" t="s">
        <v>49</v>
      </c>
      <c r="D2493" t="s">
        <v>50</v>
      </c>
      <c r="E2493">
        <v>-15</v>
      </c>
      <c r="F2493" s="66" t="s">
        <v>7</v>
      </c>
      <c r="G2493" s="66" t="s">
        <v>8</v>
      </c>
      <c r="H2493" s="66" t="str">
        <f>TEXT(Data[[#This Row],[Buchung]],"MMM")</f>
        <v>Okt</v>
      </c>
      <c r="I2493" s="67">
        <f>YEAR(Data[[#This Row],[Buchung]])</f>
        <v>2021</v>
      </c>
      <c r="J2493" s="2">
        <f>ABS(Data[[#This Row],[Betrag]])</f>
        <v>15</v>
      </c>
      <c r="K2493" s="66" t="str">
        <f>IF(Data[[#This Row],[Betrag]]&lt;0,"A","E")</f>
        <v>A</v>
      </c>
    </row>
    <row r="2494" spans="1:11" x14ac:dyDescent="0.25">
      <c r="A2494" s="1">
        <v>44497</v>
      </c>
      <c r="B2494" s="66" t="s">
        <v>51</v>
      </c>
      <c r="C2494" s="66" t="s">
        <v>52</v>
      </c>
      <c r="D2494" t="s">
        <v>53</v>
      </c>
      <c r="E2494">
        <v>-350</v>
      </c>
      <c r="F2494" s="66" t="s">
        <v>7</v>
      </c>
      <c r="G2494" s="66" t="s">
        <v>11</v>
      </c>
      <c r="H2494" s="66" t="str">
        <f>TEXT(Data[[#This Row],[Buchung]],"MMM")</f>
        <v>Okt</v>
      </c>
      <c r="I2494" s="67">
        <f>YEAR(Data[[#This Row],[Buchung]])</f>
        <v>2021</v>
      </c>
      <c r="J2494" s="2">
        <f>ABS(Data[[#This Row],[Betrag]])</f>
        <v>350</v>
      </c>
      <c r="K2494" s="66" t="str">
        <f>IF(Data[[#This Row],[Betrag]]&lt;0,"A","E")</f>
        <v>A</v>
      </c>
    </row>
    <row r="2495" spans="1:11" x14ac:dyDescent="0.25">
      <c r="A2495" s="1">
        <v>44498</v>
      </c>
      <c r="B2495" s="66" t="s">
        <v>54</v>
      </c>
      <c r="C2495" s="66" t="s">
        <v>55</v>
      </c>
      <c r="D2495" t="s">
        <v>56</v>
      </c>
      <c r="E2495">
        <v>-120</v>
      </c>
      <c r="F2495" s="66" t="s">
        <v>7</v>
      </c>
      <c r="G2495" s="66" t="s">
        <v>57</v>
      </c>
      <c r="H2495" s="66" t="str">
        <f>TEXT(Data[[#This Row],[Buchung]],"MMM")</f>
        <v>Okt</v>
      </c>
      <c r="I2495" s="67">
        <f>YEAR(Data[[#This Row],[Buchung]])</f>
        <v>2021</v>
      </c>
      <c r="J2495" s="2">
        <f>ABS(Data[[#This Row],[Betrag]])</f>
        <v>120</v>
      </c>
      <c r="K2495" s="66" t="str">
        <f>IF(Data[[#This Row],[Betrag]]&lt;0,"A","E")</f>
        <v>A</v>
      </c>
    </row>
    <row r="2496" spans="1:11" x14ac:dyDescent="0.25">
      <c r="A2496" s="1">
        <v>44499</v>
      </c>
      <c r="B2496" s="66" t="s">
        <v>58</v>
      </c>
      <c r="C2496" s="66" t="s">
        <v>59</v>
      </c>
      <c r="D2496" t="s">
        <v>60</v>
      </c>
      <c r="E2496">
        <v>-80</v>
      </c>
      <c r="F2496" s="66" t="s">
        <v>7</v>
      </c>
      <c r="G2496" s="66" t="s">
        <v>10</v>
      </c>
      <c r="H2496" s="66" t="str">
        <f>TEXT(Data[[#This Row],[Buchung]],"MMM")</f>
        <v>Okt</v>
      </c>
      <c r="I2496" s="67">
        <f>YEAR(Data[[#This Row],[Buchung]])</f>
        <v>2021</v>
      </c>
      <c r="J2496" s="2">
        <f>ABS(Data[[#This Row],[Betrag]])</f>
        <v>80</v>
      </c>
      <c r="K2496" s="66" t="str">
        <f>IF(Data[[#This Row],[Betrag]]&lt;0,"A","E")</f>
        <v>A</v>
      </c>
    </row>
    <row r="2497" spans="1:11" x14ac:dyDescent="0.25">
      <c r="A2497" s="1">
        <v>44500</v>
      </c>
      <c r="B2497" s="66" t="s">
        <v>45</v>
      </c>
      <c r="C2497" s="66" t="s">
        <v>46</v>
      </c>
      <c r="D2497" t="s">
        <v>47</v>
      </c>
      <c r="E2497">
        <v>1000</v>
      </c>
      <c r="F2497" s="66" t="s">
        <v>7</v>
      </c>
      <c r="G2497" s="66" t="s">
        <v>9</v>
      </c>
      <c r="H2497" s="66" t="str">
        <f>TEXT(Data[[#This Row],[Buchung]],"MMM")</f>
        <v>Okt</v>
      </c>
      <c r="I2497" s="67">
        <f>YEAR(Data[[#This Row],[Buchung]])</f>
        <v>2021</v>
      </c>
      <c r="J2497" s="2">
        <f>ABS(Data[[#This Row],[Betrag]])</f>
        <v>1000</v>
      </c>
      <c r="K2497" s="66" t="str">
        <f>IF(Data[[#This Row],[Betrag]]&lt;0,"A","E")</f>
        <v>E</v>
      </c>
    </row>
    <row r="2498" spans="1:11" x14ac:dyDescent="0.25">
      <c r="A2498" s="1">
        <v>44501</v>
      </c>
      <c r="B2498" s="66" t="s">
        <v>61</v>
      </c>
      <c r="C2498" s="66" t="s">
        <v>49</v>
      </c>
      <c r="D2498" t="s">
        <v>62</v>
      </c>
      <c r="E2498">
        <v>-10</v>
      </c>
      <c r="F2498" s="66" t="s">
        <v>7</v>
      </c>
      <c r="G2498" s="66" t="s">
        <v>8</v>
      </c>
      <c r="H2498" s="66" t="str">
        <f>TEXT(Data[[#This Row],[Buchung]],"MMM")</f>
        <v>Nov</v>
      </c>
      <c r="I2498" s="67">
        <f>YEAR(Data[[#This Row],[Buchung]])</f>
        <v>2021</v>
      </c>
      <c r="J2498" s="2">
        <f>ABS(Data[[#This Row],[Betrag]])</f>
        <v>10</v>
      </c>
      <c r="K2498" s="66" t="str">
        <f>IF(Data[[#This Row],[Betrag]]&lt;0,"A","E")</f>
        <v>A</v>
      </c>
    </row>
    <row r="2499" spans="1:11" x14ac:dyDescent="0.25">
      <c r="A2499" s="1">
        <v>44502</v>
      </c>
      <c r="B2499" s="66" t="s">
        <v>63</v>
      </c>
      <c r="C2499" s="66" t="s">
        <v>64</v>
      </c>
      <c r="D2499" t="s">
        <v>65</v>
      </c>
      <c r="E2499">
        <v>-65</v>
      </c>
      <c r="F2499" s="66" t="s">
        <v>7</v>
      </c>
      <c r="G2499" s="66" t="s">
        <v>11</v>
      </c>
      <c r="H2499" s="66" t="str">
        <f>TEXT(Data[[#This Row],[Buchung]],"MMM")</f>
        <v>Nov</v>
      </c>
      <c r="I2499" s="67">
        <f>YEAR(Data[[#This Row],[Buchung]])</f>
        <v>2021</v>
      </c>
      <c r="J2499" s="2">
        <f>ABS(Data[[#This Row],[Betrag]])</f>
        <v>65</v>
      </c>
      <c r="K2499" s="66" t="str">
        <f>IF(Data[[#This Row],[Betrag]]&lt;0,"A","E")</f>
        <v>A</v>
      </c>
    </row>
    <row r="2500" spans="1:11" x14ac:dyDescent="0.25">
      <c r="A2500" s="1">
        <v>44503</v>
      </c>
      <c r="B2500" s="66" t="s">
        <v>54</v>
      </c>
      <c r="C2500" s="66" t="s">
        <v>55</v>
      </c>
      <c r="D2500" t="s">
        <v>66</v>
      </c>
      <c r="E2500">
        <v>-80</v>
      </c>
      <c r="F2500" s="66" t="s">
        <v>7</v>
      </c>
      <c r="G2500" s="66" t="s">
        <v>57</v>
      </c>
      <c r="H2500" s="66" t="str">
        <f>TEXT(Data[[#This Row],[Buchung]],"MMM")</f>
        <v>Nov</v>
      </c>
      <c r="I2500" s="67">
        <f>YEAR(Data[[#This Row],[Buchung]])</f>
        <v>2021</v>
      </c>
      <c r="J2500" s="2">
        <f>ABS(Data[[#This Row],[Betrag]])</f>
        <v>80</v>
      </c>
      <c r="K2500" s="66" t="str">
        <f>IF(Data[[#This Row],[Betrag]]&lt;0,"A","E")</f>
        <v>A</v>
      </c>
    </row>
    <row r="2501" spans="1:11" x14ac:dyDescent="0.25">
      <c r="A2501" s="1">
        <v>44504</v>
      </c>
      <c r="B2501" s="66" t="s">
        <v>67</v>
      </c>
      <c r="C2501" s="66" t="s">
        <v>59</v>
      </c>
      <c r="D2501" t="s">
        <v>68</v>
      </c>
      <c r="E2501">
        <v>-35</v>
      </c>
      <c r="F2501" s="66" t="s">
        <v>7</v>
      </c>
      <c r="G2501" s="66" t="s">
        <v>10</v>
      </c>
      <c r="H2501" s="66" t="str">
        <f>TEXT(Data[[#This Row],[Buchung]],"MMM")</f>
        <v>Nov</v>
      </c>
      <c r="I2501" s="67">
        <f>YEAR(Data[[#This Row],[Buchung]])</f>
        <v>2021</v>
      </c>
      <c r="J2501" s="2">
        <f>ABS(Data[[#This Row],[Betrag]])</f>
        <v>35</v>
      </c>
      <c r="K2501" s="66" t="str">
        <f>IF(Data[[#This Row],[Betrag]]&lt;0,"A","E")</f>
        <v>A</v>
      </c>
    </row>
    <row r="2502" spans="1:11" x14ac:dyDescent="0.25">
      <c r="A2502" s="1">
        <v>44505</v>
      </c>
      <c r="B2502" s="66" t="s">
        <v>45</v>
      </c>
      <c r="C2502" s="66" t="s">
        <v>46</v>
      </c>
      <c r="D2502" t="s">
        <v>47</v>
      </c>
      <c r="E2502">
        <v>1000</v>
      </c>
      <c r="F2502" s="66" t="s">
        <v>7</v>
      </c>
      <c r="G2502" s="66" t="s">
        <v>9</v>
      </c>
      <c r="H2502" s="66" t="str">
        <f>TEXT(Data[[#This Row],[Buchung]],"MMM")</f>
        <v>Nov</v>
      </c>
      <c r="I2502" s="67">
        <f>YEAR(Data[[#This Row],[Buchung]])</f>
        <v>2021</v>
      </c>
      <c r="J2502" s="2">
        <f>ABS(Data[[#This Row],[Betrag]])</f>
        <v>1000</v>
      </c>
      <c r="K2502" s="66" t="str">
        <f>IF(Data[[#This Row],[Betrag]]&lt;0,"A","E")</f>
        <v>E</v>
      </c>
    </row>
    <row r="2503" spans="1:11" x14ac:dyDescent="0.25">
      <c r="A2503" s="1">
        <v>44506</v>
      </c>
      <c r="B2503" s="66" t="s">
        <v>45</v>
      </c>
      <c r="C2503" s="66" t="s">
        <v>46</v>
      </c>
      <c r="D2503" t="s">
        <v>47</v>
      </c>
      <c r="E2503">
        <v>1000</v>
      </c>
      <c r="F2503" s="66" t="s">
        <v>7</v>
      </c>
      <c r="G2503" s="66" t="s">
        <v>9</v>
      </c>
      <c r="H2503" s="66" t="str">
        <f>TEXT(Data[[#This Row],[Buchung]],"MMM")</f>
        <v>Nov</v>
      </c>
      <c r="I2503" s="67">
        <f>YEAR(Data[[#This Row],[Buchung]])</f>
        <v>2021</v>
      </c>
      <c r="J2503" s="2">
        <f>ABS(Data[[#This Row],[Betrag]])</f>
        <v>1000</v>
      </c>
      <c r="K2503" s="66" t="str">
        <f>IF(Data[[#This Row],[Betrag]]&lt;0,"A","E")</f>
        <v>E</v>
      </c>
    </row>
    <row r="2504" spans="1:11" x14ac:dyDescent="0.25">
      <c r="A2504" s="1">
        <v>44507</v>
      </c>
      <c r="B2504" s="66" t="s">
        <v>48</v>
      </c>
      <c r="C2504" s="66" t="s">
        <v>49</v>
      </c>
      <c r="D2504" t="s">
        <v>50</v>
      </c>
      <c r="E2504">
        <v>-15</v>
      </c>
      <c r="F2504" s="66" t="s">
        <v>7</v>
      </c>
      <c r="G2504" s="66" t="s">
        <v>8</v>
      </c>
      <c r="H2504" s="66" t="str">
        <f>TEXT(Data[[#This Row],[Buchung]],"MMM")</f>
        <v>Nov</v>
      </c>
      <c r="I2504" s="67">
        <f>YEAR(Data[[#This Row],[Buchung]])</f>
        <v>2021</v>
      </c>
      <c r="J2504" s="2">
        <f>ABS(Data[[#This Row],[Betrag]])</f>
        <v>15</v>
      </c>
      <c r="K2504" s="66" t="str">
        <f>IF(Data[[#This Row],[Betrag]]&lt;0,"A","E")</f>
        <v>A</v>
      </c>
    </row>
    <row r="2505" spans="1:11" x14ac:dyDescent="0.25">
      <c r="A2505" s="1">
        <v>44508</v>
      </c>
      <c r="B2505" s="66" t="s">
        <v>51</v>
      </c>
      <c r="C2505" s="66" t="s">
        <v>52</v>
      </c>
      <c r="D2505" t="s">
        <v>53</v>
      </c>
      <c r="E2505">
        <v>-350</v>
      </c>
      <c r="F2505" s="66" t="s">
        <v>7</v>
      </c>
      <c r="G2505" s="66" t="s">
        <v>11</v>
      </c>
      <c r="H2505" s="66" t="str">
        <f>TEXT(Data[[#This Row],[Buchung]],"MMM")</f>
        <v>Nov</v>
      </c>
      <c r="I2505" s="67">
        <f>YEAR(Data[[#This Row],[Buchung]])</f>
        <v>2021</v>
      </c>
      <c r="J2505" s="2">
        <f>ABS(Data[[#This Row],[Betrag]])</f>
        <v>350</v>
      </c>
      <c r="K2505" s="66" t="str">
        <f>IF(Data[[#This Row],[Betrag]]&lt;0,"A","E")</f>
        <v>A</v>
      </c>
    </row>
    <row r="2506" spans="1:11" x14ac:dyDescent="0.25">
      <c r="A2506" s="1">
        <v>44509</v>
      </c>
      <c r="B2506" s="66" t="s">
        <v>54</v>
      </c>
      <c r="C2506" s="66" t="s">
        <v>55</v>
      </c>
      <c r="D2506" t="s">
        <v>56</v>
      </c>
      <c r="E2506">
        <v>-120</v>
      </c>
      <c r="F2506" s="66" t="s">
        <v>7</v>
      </c>
      <c r="G2506" s="66" t="s">
        <v>57</v>
      </c>
      <c r="H2506" s="66" t="str">
        <f>TEXT(Data[[#This Row],[Buchung]],"MMM")</f>
        <v>Nov</v>
      </c>
      <c r="I2506" s="67">
        <f>YEAR(Data[[#This Row],[Buchung]])</f>
        <v>2021</v>
      </c>
      <c r="J2506" s="2">
        <f>ABS(Data[[#This Row],[Betrag]])</f>
        <v>120</v>
      </c>
      <c r="K2506" s="66" t="str">
        <f>IF(Data[[#This Row],[Betrag]]&lt;0,"A","E")</f>
        <v>A</v>
      </c>
    </row>
    <row r="2507" spans="1:11" x14ac:dyDescent="0.25">
      <c r="A2507" s="1">
        <v>44510</v>
      </c>
      <c r="B2507" s="66" t="s">
        <v>58</v>
      </c>
      <c r="C2507" s="66" t="s">
        <v>59</v>
      </c>
      <c r="D2507" t="s">
        <v>60</v>
      </c>
      <c r="E2507">
        <v>-50</v>
      </c>
      <c r="F2507" s="66" t="s">
        <v>7</v>
      </c>
      <c r="G2507" s="66" t="s">
        <v>10</v>
      </c>
      <c r="H2507" s="66" t="str">
        <f>TEXT(Data[[#This Row],[Buchung]],"MMM")</f>
        <v>Nov</v>
      </c>
      <c r="I2507" s="67">
        <f>YEAR(Data[[#This Row],[Buchung]])</f>
        <v>2021</v>
      </c>
      <c r="J2507" s="2">
        <f>ABS(Data[[#This Row],[Betrag]])</f>
        <v>50</v>
      </c>
      <c r="K2507" s="66" t="str">
        <f>IF(Data[[#This Row],[Betrag]]&lt;0,"A","E")</f>
        <v>A</v>
      </c>
    </row>
    <row r="2508" spans="1:11" x14ac:dyDescent="0.25">
      <c r="A2508" s="1">
        <v>44511</v>
      </c>
      <c r="B2508" s="66" t="s">
        <v>45</v>
      </c>
      <c r="C2508" s="66" t="s">
        <v>46</v>
      </c>
      <c r="D2508" t="s">
        <v>47</v>
      </c>
      <c r="E2508">
        <v>1000</v>
      </c>
      <c r="F2508" s="66" t="s">
        <v>7</v>
      </c>
      <c r="G2508" s="66" t="s">
        <v>9</v>
      </c>
      <c r="H2508" s="66" t="str">
        <f>TEXT(Data[[#This Row],[Buchung]],"MMM")</f>
        <v>Nov</v>
      </c>
      <c r="I2508" s="67">
        <f>YEAR(Data[[#This Row],[Buchung]])</f>
        <v>2021</v>
      </c>
      <c r="J2508" s="2">
        <f>ABS(Data[[#This Row],[Betrag]])</f>
        <v>1000</v>
      </c>
      <c r="K2508" s="66" t="str">
        <f>IF(Data[[#This Row],[Betrag]]&lt;0,"A","E")</f>
        <v>E</v>
      </c>
    </row>
    <row r="2509" spans="1:11" x14ac:dyDescent="0.25">
      <c r="A2509" s="1">
        <v>44512</v>
      </c>
      <c r="B2509" s="66" t="s">
        <v>61</v>
      </c>
      <c r="C2509" s="66" t="s">
        <v>49</v>
      </c>
      <c r="D2509" t="s">
        <v>62</v>
      </c>
      <c r="E2509">
        <v>-10</v>
      </c>
      <c r="F2509" s="66" t="s">
        <v>7</v>
      </c>
      <c r="G2509" s="66" t="s">
        <v>8</v>
      </c>
      <c r="H2509" s="66" t="str">
        <f>TEXT(Data[[#This Row],[Buchung]],"MMM")</f>
        <v>Nov</v>
      </c>
      <c r="I2509" s="67">
        <f>YEAR(Data[[#This Row],[Buchung]])</f>
        <v>2021</v>
      </c>
      <c r="J2509" s="2">
        <f>ABS(Data[[#This Row],[Betrag]])</f>
        <v>10</v>
      </c>
      <c r="K2509" s="66" t="str">
        <f>IF(Data[[#This Row],[Betrag]]&lt;0,"A","E")</f>
        <v>A</v>
      </c>
    </row>
    <row r="2510" spans="1:11" x14ac:dyDescent="0.25">
      <c r="A2510" s="1">
        <v>44513</v>
      </c>
      <c r="B2510" s="66" t="s">
        <v>63</v>
      </c>
      <c r="C2510" s="66" t="s">
        <v>64</v>
      </c>
      <c r="D2510" t="s">
        <v>65</v>
      </c>
      <c r="E2510">
        <v>-60</v>
      </c>
      <c r="F2510" s="66" t="s">
        <v>7</v>
      </c>
      <c r="G2510" s="66" t="s">
        <v>11</v>
      </c>
      <c r="H2510" s="66" t="str">
        <f>TEXT(Data[[#This Row],[Buchung]],"MMM")</f>
        <v>Nov</v>
      </c>
      <c r="I2510" s="67">
        <f>YEAR(Data[[#This Row],[Buchung]])</f>
        <v>2021</v>
      </c>
      <c r="J2510" s="2">
        <f>ABS(Data[[#This Row],[Betrag]])</f>
        <v>60</v>
      </c>
      <c r="K2510" s="66" t="str">
        <f>IF(Data[[#This Row],[Betrag]]&lt;0,"A","E")</f>
        <v>A</v>
      </c>
    </row>
    <row r="2511" spans="1:11" x14ac:dyDescent="0.25">
      <c r="A2511" s="1">
        <v>44514</v>
      </c>
      <c r="B2511" s="66" t="s">
        <v>54</v>
      </c>
      <c r="C2511" s="66" t="s">
        <v>55</v>
      </c>
      <c r="D2511" t="s">
        <v>66</v>
      </c>
      <c r="E2511">
        <v>-80</v>
      </c>
      <c r="F2511" s="66" t="s">
        <v>7</v>
      </c>
      <c r="G2511" s="66" t="s">
        <v>57</v>
      </c>
      <c r="H2511" s="66" t="str">
        <f>TEXT(Data[[#This Row],[Buchung]],"MMM")</f>
        <v>Nov</v>
      </c>
      <c r="I2511" s="67">
        <f>YEAR(Data[[#This Row],[Buchung]])</f>
        <v>2021</v>
      </c>
      <c r="J2511" s="2">
        <f>ABS(Data[[#This Row],[Betrag]])</f>
        <v>80</v>
      </c>
      <c r="K2511" s="66" t="str">
        <f>IF(Data[[#This Row],[Betrag]]&lt;0,"A","E")</f>
        <v>A</v>
      </c>
    </row>
    <row r="2512" spans="1:11" x14ac:dyDescent="0.25">
      <c r="A2512" s="1">
        <v>44515</v>
      </c>
      <c r="B2512" s="66" t="s">
        <v>67</v>
      </c>
      <c r="C2512" s="66" t="s">
        <v>59</v>
      </c>
      <c r="D2512" t="s">
        <v>68</v>
      </c>
      <c r="E2512">
        <v>-20</v>
      </c>
      <c r="F2512" s="66" t="s">
        <v>7</v>
      </c>
      <c r="G2512" s="66" t="s">
        <v>10</v>
      </c>
      <c r="H2512" s="66" t="str">
        <f>TEXT(Data[[#This Row],[Buchung]],"MMM")</f>
        <v>Nov</v>
      </c>
      <c r="I2512" s="67">
        <f>YEAR(Data[[#This Row],[Buchung]])</f>
        <v>2021</v>
      </c>
      <c r="J2512" s="2">
        <f>ABS(Data[[#This Row],[Betrag]])</f>
        <v>20</v>
      </c>
      <c r="K2512" s="66" t="str">
        <f>IF(Data[[#This Row],[Betrag]]&lt;0,"A","E")</f>
        <v>A</v>
      </c>
    </row>
    <row r="2513" spans="1:11" x14ac:dyDescent="0.25">
      <c r="A2513" s="1">
        <v>44516</v>
      </c>
      <c r="B2513" s="66" t="s">
        <v>45</v>
      </c>
      <c r="C2513" s="66" t="s">
        <v>46</v>
      </c>
      <c r="D2513" t="s">
        <v>47</v>
      </c>
      <c r="E2513">
        <v>1000</v>
      </c>
      <c r="F2513" s="66" t="s">
        <v>7</v>
      </c>
      <c r="G2513" s="66" t="s">
        <v>9</v>
      </c>
      <c r="H2513" s="66" t="str">
        <f>TEXT(Data[[#This Row],[Buchung]],"MMM")</f>
        <v>Nov</v>
      </c>
      <c r="I2513" s="67">
        <f>YEAR(Data[[#This Row],[Buchung]])</f>
        <v>2021</v>
      </c>
      <c r="J2513" s="2">
        <f>ABS(Data[[#This Row],[Betrag]])</f>
        <v>1000</v>
      </c>
      <c r="K2513" s="66" t="str">
        <f>IF(Data[[#This Row],[Betrag]]&lt;0,"A","E")</f>
        <v>E</v>
      </c>
    </row>
    <row r="2514" spans="1:11" x14ac:dyDescent="0.25">
      <c r="A2514" s="1">
        <v>44517</v>
      </c>
      <c r="B2514" s="66" t="s">
        <v>48</v>
      </c>
      <c r="C2514" s="66" t="s">
        <v>49</v>
      </c>
      <c r="D2514" t="s">
        <v>50</v>
      </c>
      <c r="E2514">
        <v>-15</v>
      </c>
      <c r="F2514" s="66" t="s">
        <v>7</v>
      </c>
      <c r="G2514" s="66" t="s">
        <v>8</v>
      </c>
      <c r="H2514" s="66" t="str">
        <f>TEXT(Data[[#This Row],[Buchung]],"MMM")</f>
        <v>Nov</v>
      </c>
      <c r="I2514" s="67">
        <f>YEAR(Data[[#This Row],[Buchung]])</f>
        <v>2021</v>
      </c>
      <c r="J2514" s="2">
        <f>ABS(Data[[#This Row],[Betrag]])</f>
        <v>15</v>
      </c>
      <c r="K2514" s="66" t="str">
        <f>IF(Data[[#This Row],[Betrag]]&lt;0,"A","E")</f>
        <v>A</v>
      </c>
    </row>
    <row r="2515" spans="1:11" x14ac:dyDescent="0.25">
      <c r="A2515" s="1">
        <v>44518</v>
      </c>
      <c r="B2515" s="66" t="s">
        <v>51</v>
      </c>
      <c r="C2515" s="66" t="s">
        <v>52</v>
      </c>
      <c r="D2515" t="s">
        <v>53</v>
      </c>
      <c r="E2515">
        <v>-350</v>
      </c>
      <c r="F2515" s="66" t="s">
        <v>7</v>
      </c>
      <c r="G2515" s="66" t="s">
        <v>11</v>
      </c>
      <c r="H2515" s="66" t="str">
        <f>TEXT(Data[[#This Row],[Buchung]],"MMM")</f>
        <v>Nov</v>
      </c>
      <c r="I2515" s="67">
        <f>YEAR(Data[[#This Row],[Buchung]])</f>
        <v>2021</v>
      </c>
      <c r="J2515" s="2">
        <f>ABS(Data[[#This Row],[Betrag]])</f>
        <v>350</v>
      </c>
      <c r="K2515" s="66" t="str">
        <f>IF(Data[[#This Row],[Betrag]]&lt;0,"A","E")</f>
        <v>A</v>
      </c>
    </row>
    <row r="2516" spans="1:11" x14ac:dyDescent="0.25">
      <c r="A2516" s="1">
        <v>44519</v>
      </c>
      <c r="B2516" s="66" t="s">
        <v>54</v>
      </c>
      <c r="C2516" s="66" t="s">
        <v>55</v>
      </c>
      <c r="D2516" t="s">
        <v>56</v>
      </c>
      <c r="E2516">
        <v>-120</v>
      </c>
      <c r="F2516" s="66" t="s">
        <v>7</v>
      </c>
      <c r="G2516" s="66" t="s">
        <v>57</v>
      </c>
      <c r="H2516" s="66" t="str">
        <f>TEXT(Data[[#This Row],[Buchung]],"MMM")</f>
        <v>Nov</v>
      </c>
      <c r="I2516" s="67">
        <f>YEAR(Data[[#This Row],[Buchung]])</f>
        <v>2021</v>
      </c>
      <c r="J2516" s="2">
        <f>ABS(Data[[#This Row],[Betrag]])</f>
        <v>120</v>
      </c>
      <c r="K2516" s="66" t="str">
        <f>IF(Data[[#This Row],[Betrag]]&lt;0,"A","E")</f>
        <v>A</v>
      </c>
    </row>
    <row r="2517" spans="1:11" x14ac:dyDescent="0.25">
      <c r="A2517" s="1">
        <v>44520</v>
      </c>
      <c r="B2517" s="66" t="s">
        <v>58</v>
      </c>
      <c r="C2517" s="66" t="s">
        <v>59</v>
      </c>
      <c r="D2517" t="s">
        <v>60</v>
      </c>
      <c r="E2517">
        <v>-60</v>
      </c>
      <c r="F2517" s="66" t="s">
        <v>7</v>
      </c>
      <c r="G2517" s="66" t="s">
        <v>10</v>
      </c>
      <c r="H2517" s="66" t="str">
        <f>TEXT(Data[[#This Row],[Buchung]],"MMM")</f>
        <v>Nov</v>
      </c>
      <c r="I2517" s="67">
        <f>YEAR(Data[[#This Row],[Buchung]])</f>
        <v>2021</v>
      </c>
      <c r="J2517" s="2">
        <f>ABS(Data[[#This Row],[Betrag]])</f>
        <v>60</v>
      </c>
      <c r="K2517" s="66" t="str">
        <f>IF(Data[[#This Row],[Betrag]]&lt;0,"A","E")</f>
        <v>A</v>
      </c>
    </row>
    <row r="2518" spans="1:11" x14ac:dyDescent="0.25">
      <c r="A2518" s="1">
        <v>44521</v>
      </c>
      <c r="B2518" s="66" t="s">
        <v>45</v>
      </c>
      <c r="C2518" s="66" t="s">
        <v>46</v>
      </c>
      <c r="D2518" t="s">
        <v>47</v>
      </c>
      <c r="E2518">
        <v>1000</v>
      </c>
      <c r="F2518" s="66" t="s">
        <v>7</v>
      </c>
      <c r="G2518" s="66" t="s">
        <v>9</v>
      </c>
      <c r="H2518" s="66" t="str">
        <f>TEXT(Data[[#This Row],[Buchung]],"MMM")</f>
        <v>Nov</v>
      </c>
      <c r="I2518" s="67">
        <f>YEAR(Data[[#This Row],[Buchung]])</f>
        <v>2021</v>
      </c>
      <c r="J2518" s="2">
        <f>ABS(Data[[#This Row],[Betrag]])</f>
        <v>1000</v>
      </c>
      <c r="K2518" s="66" t="str">
        <f>IF(Data[[#This Row],[Betrag]]&lt;0,"A","E")</f>
        <v>E</v>
      </c>
    </row>
    <row r="2519" spans="1:11" x14ac:dyDescent="0.25">
      <c r="A2519" s="1">
        <v>44522</v>
      </c>
      <c r="B2519" s="66" t="s">
        <v>61</v>
      </c>
      <c r="C2519" s="66" t="s">
        <v>49</v>
      </c>
      <c r="D2519" t="s">
        <v>62</v>
      </c>
      <c r="E2519">
        <v>-10</v>
      </c>
      <c r="F2519" s="66" t="s">
        <v>7</v>
      </c>
      <c r="G2519" s="66" t="s">
        <v>8</v>
      </c>
      <c r="H2519" s="66" t="str">
        <f>TEXT(Data[[#This Row],[Buchung]],"MMM")</f>
        <v>Nov</v>
      </c>
      <c r="I2519" s="67">
        <f>YEAR(Data[[#This Row],[Buchung]])</f>
        <v>2021</v>
      </c>
      <c r="J2519" s="2">
        <f>ABS(Data[[#This Row],[Betrag]])</f>
        <v>10</v>
      </c>
      <c r="K2519" s="66" t="str">
        <f>IF(Data[[#This Row],[Betrag]]&lt;0,"A","E")</f>
        <v>A</v>
      </c>
    </row>
    <row r="2520" spans="1:11" x14ac:dyDescent="0.25">
      <c r="A2520" s="1">
        <v>44523</v>
      </c>
      <c r="B2520" s="66" t="s">
        <v>63</v>
      </c>
      <c r="C2520" s="66" t="s">
        <v>64</v>
      </c>
      <c r="D2520" t="s">
        <v>65</v>
      </c>
      <c r="E2520">
        <v>-70</v>
      </c>
      <c r="F2520" s="66" t="s">
        <v>7</v>
      </c>
      <c r="G2520" s="66" t="s">
        <v>11</v>
      </c>
      <c r="H2520" s="66" t="str">
        <f>TEXT(Data[[#This Row],[Buchung]],"MMM")</f>
        <v>Nov</v>
      </c>
      <c r="I2520" s="67">
        <f>YEAR(Data[[#This Row],[Buchung]])</f>
        <v>2021</v>
      </c>
      <c r="J2520" s="2">
        <f>ABS(Data[[#This Row],[Betrag]])</f>
        <v>70</v>
      </c>
      <c r="K2520" s="66" t="str">
        <f>IF(Data[[#This Row],[Betrag]]&lt;0,"A","E")</f>
        <v>A</v>
      </c>
    </row>
    <row r="2521" spans="1:11" x14ac:dyDescent="0.25">
      <c r="A2521" s="1">
        <v>44524</v>
      </c>
      <c r="B2521" s="66" t="s">
        <v>54</v>
      </c>
      <c r="C2521" s="66" t="s">
        <v>55</v>
      </c>
      <c r="D2521" t="s">
        <v>66</v>
      </c>
      <c r="E2521">
        <v>-80</v>
      </c>
      <c r="F2521" s="66" t="s">
        <v>7</v>
      </c>
      <c r="G2521" s="66" t="s">
        <v>57</v>
      </c>
      <c r="H2521" s="66" t="str">
        <f>TEXT(Data[[#This Row],[Buchung]],"MMM")</f>
        <v>Nov</v>
      </c>
      <c r="I2521" s="67">
        <f>YEAR(Data[[#This Row],[Buchung]])</f>
        <v>2021</v>
      </c>
      <c r="J2521" s="2">
        <f>ABS(Data[[#This Row],[Betrag]])</f>
        <v>80</v>
      </c>
      <c r="K2521" s="66" t="str">
        <f>IF(Data[[#This Row],[Betrag]]&lt;0,"A","E")</f>
        <v>A</v>
      </c>
    </row>
    <row r="2522" spans="1:11" x14ac:dyDescent="0.25">
      <c r="A2522" s="1">
        <v>44525</v>
      </c>
      <c r="B2522" s="66" t="s">
        <v>67</v>
      </c>
      <c r="C2522" s="66" t="s">
        <v>59</v>
      </c>
      <c r="D2522" t="s">
        <v>68</v>
      </c>
      <c r="E2522">
        <v>-25</v>
      </c>
      <c r="F2522" s="66" t="s">
        <v>7</v>
      </c>
      <c r="G2522" s="66" t="s">
        <v>10</v>
      </c>
      <c r="H2522" s="66" t="str">
        <f>TEXT(Data[[#This Row],[Buchung]],"MMM")</f>
        <v>Nov</v>
      </c>
      <c r="I2522" s="67">
        <f>YEAR(Data[[#This Row],[Buchung]])</f>
        <v>2021</v>
      </c>
      <c r="J2522" s="2">
        <f>ABS(Data[[#This Row],[Betrag]])</f>
        <v>25</v>
      </c>
      <c r="K2522" s="66" t="str">
        <f>IF(Data[[#This Row],[Betrag]]&lt;0,"A","E")</f>
        <v>A</v>
      </c>
    </row>
    <row r="2523" spans="1:11" x14ac:dyDescent="0.25">
      <c r="A2523" s="1">
        <v>44526</v>
      </c>
      <c r="B2523" s="66" t="s">
        <v>45</v>
      </c>
      <c r="C2523" s="66" t="s">
        <v>46</v>
      </c>
      <c r="D2523" t="s">
        <v>47</v>
      </c>
      <c r="E2523">
        <v>1000</v>
      </c>
      <c r="F2523" s="66" t="s">
        <v>7</v>
      </c>
      <c r="G2523" s="66" t="s">
        <v>9</v>
      </c>
      <c r="H2523" s="66" t="str">
        <f>TEXT(Data[[#This Row],[Buchung]],"MMM")</f>
        <v>Nov</v>
      </c>
      <c r="I2523" s="67">
        <f>YEAR(Data[[#This Row],[Buchung]])</f>
        <v>2021</v>
      </c>
      <c r="J2523" s="2">
        <f>ABS(Data[[#This Row],[Betrag]])</f>
        <v>1000</v>
      </c>
      <c r="K2523" s="66" t="str">
        <f>IF(Data[[#This Row],[Betrag]]&lt;0,"A","E")</f>
        <v>E</v>
      </c>
    </row>
    <row r="2524" spans="1:11" x14ac:dyDescent="0.25">
      <c r="A2524" s="1">
        <v>44527</v>
      </c>
      <c r="B2524" s="66" t="s">
        <v>48</v>
      </c>
      <c r="C2524" s="66" t="s">
        <v>49</v>
      </c>
      <c r="D2524" t="s">
        <v>50</v>
      </c>
      <c r="E2524">
        <v>-15</v>
      </c>
      <c r="F2524" s="66" t="s">
        <v>7</v>
      </c>
      <c r="G2524" s="66" t="s">
        <v>8</v>
      </c>
      <c r="H2524" s="66" t="str">
        <f>TEXT(Data[[#This Row],[Buchung]],"MMM")</f>
        <v>Nov</v>
      </c>
      <c r="I2524" s="67">
        <f>YEAR(Data[[#This Row],[Buchung]])</f>
        <v>2021</v>
      </c>
      <c r="J2524" s="2">
        <f>ABS(Data[[#This Row],[Betrag]])</f>
        <v>15</v>
      </c>
      <c r="K2524" s="66" t="str">
        <f>IF(Data[[#This Row],[Betrag]]&lt;0,"A","E")</f>
        <v>A</v>
      </c>
    </row>
    <row r="2525" spans="1:11" x14ac:dyDescent="0.25">
      <c r="A2525" s="1">
        <v>44528</v>
      </c>
      <c r="B2525" s="66" t="s">
        <v>51</v>
      </c>
      <c r="C2525" s="66" t="s">
        <v>52</v>
      </c>
      <c r="D2525" t="s">
        <v>53</v>
      </c>
      <c r="E2525">
        <v>-350</v>
      </c>
      <c r="F2525" s="66" t="s">
        <v>7</v>
      </c>
      <c r="G2525" s="66" t="s">
        <v>11</v>
      </c>
      <c r="H2525" s="66" t="str">
        <f>TEXT(Data[[#This Row],[Buchung]],"MMM")</f>
        <v>Nov</v>
      </c>
      <c r="I2525" s="67">
        <f>YEAR(Data[[#This Row],[Buchung]])</f>
        <v>2021</v>
      </c>
      <c r="J2525" s="2">
        <f>ABS(Data[[#This Row],[Betrag]])</f>
        <v>350</v>
      </c>
      <c r="K2525" s="66" t="str">
        <f>IF(Data[[#This Row],[Betrag]]&lt;0,"A","E")</f>
        <v>A</v>
      </c>
    </row>
    <row r="2526" spans="1:11" x14ac:dyDescent="0.25">
      <c r="A2526" s="1">
        <v>44529</v>
      </c>
      <c r="B2526" s="66" t="s">
        <v>54</v>
      </c>
      <c r="C2526" s="66" t="s">
        <v>55</v>
      </c>
      <c r="D2526" t="s">
        <v>56</v>
      </c>
      <c r="E2526">
        <v>-120</v>
      </c>
      <c r="F2526" s="66" t="s">
        <v>7</v>
      </c>
      <c r="G2526" s="66" t="s">
        <v>57</v>
      </c>
      <c r="H2526" s="66" t="str">
        <f>TEXT(Data[[#This Row],[Buchung]],"MMM")</f>
        <v>Nov</v>
      </c>
      <c r="I2526" s="67">
        <f>YEAR(Data[[#This Row],[Buchung]])</f>
        <v>2021</v>
      </c>
      <c r="J2526" s="2">
        <f>ABS(Data[[#This Row],[Betrag]])</f>
        <v>120</v>
      </c>
      <c r="K2526" s="66" t="str">
        <f>IF(Data[[#This Row],[Betrag]]&lt;0,"A","E")</f>
        <v>A</v>
      </c>
    </row>
    <row r="2527" spans="1:11" x14ac:dyDescent="0.25">
      <c r="A2527" s="1">
        <v>44530</v>
      </c>
      <c r="B2527" s="66" t="s">
        <v>58</v>
      </c>
      <c r="C2527" s="66" t="s">
        <v>59</v>
      </c>
      <c r="D2527" t="s">
        <v>60</v>
      </c>
      <c r="E2527">
        <v>-70</v>
      </c>
      <c r="F2527" s="66" t="s">
        <v>7</v>
      </c>
      <c r="G2527" s="66" t="s">
        <v>10</v>
      </c>
      <c r="H2527" s="66" t="str">
        <f>TEXT(Data[[#This Row],[Buchung]],"MMM")</f>
        <v>Nov</v>
      </c>
      <c r="I2527" s="67">
        <f>YEAR(Data[[#This Row],[Buchung]])</f>
        <v>2021</v>
      </c>
      <c r="J2527" s="2">
        <f>ABS(Data[[#This Row],[Betrag]])</f>
        <v>70</v>
      </c>
      <c r="K2527" s="66" t="str">
        <f>IF(Data[[#This Row],[Betrag]]&lt;0,"A","E")</f>
        <v>A</v>
      </c>
    </row>
    <row r="2528" spans="1:11" x14ac:dyDescent="0.25">
      <c r="A2528" s="1">
        <v>44531</v>
      </c>
      <c r="B2528" s="66" t="s">
        <v>45</v>
      </c>
      <c r="C2528" s="66" t="s">
        <v>46</v>
      </c>
      <c r="D2528" t="s">
        <v>47</v>
      </c>
      <c r="E2528">
        <v>1000</v>
      </c>
      <c r="F2528" s="66" t="s">
        <v>7</v>
      </c>
      <c r="G2528" s="66" t="s">
        <v>9</v>
      </c>
      <c r="H2528" s="66" t="str">
        <f>TEXT(Data[[#This Row],[Buchung]],"MMM")</f>
        <v>Dez</v>
      </c>
      <c r="I2528" s="67">
        <f>YEAR(Data[[#This Row],[Buchung]])</f>
        <v>2021</v>
      </c>
      <c r="J2528" s="2">
        <f>ABS(Data[[#This Row],[Betrag]])</f>
        <v>1000</v>
      </c>
      <c r="K2528" s="66" t="str">
        <f>IF(Data[[#This Row],[Betrag]]&lt;0,"A","E")</f>
        <v>E</v>
      </c>
    </row>
    <row r="2529" spans="1:11" x14ac:dyDescent="0.25">
      <c r="A2529" s="1">
        <v>44532</v>
      </c>
      <c r="B2529" s="66" t="s">
        <v>61</v>
      </c>
      <c r="C2529" s="66" t="s">
        <v>49</v>
      </c>
      <c r="D2529" t="s">
        <v>62</v>
      </c>
      <c r="E2529">
        <v>-10</v>
      </c>
      <c r="F2529" s="66" t="s">
        <v>7</v>
      </c>
      <c r="G2529" s="66" t="s">
        <v>8</v>
      </c>
      <c r="H2529" s="66" t="str">
        <f>TEXT(Data[[#This Row],[Buchung]],"MMM")</f>
        <v>Dez</v>
      </c>
      <c r="I2529" s="67">
        <f>YEAR(Data[[#This Row],[Buchung]])</f>
        <v>2021</v>
      </c>
      <c r="J2529" s="2">
        <f>ABS(Data[[#This Row],[Betrag]])</f>
        <v>10</v>
      </c>
      <c r="K2529" s="66" t="str">
        <f>IF(Data[[#This Row],[Betrag]]&lt;0,"A","E")</f>
        <v>A</v>
      </c>
    </row>
    <row r="2530" spans="1:11" x14ac:dyDescent="0.25">
      <c r="A2530" s="1">
        <v>44533</v>
      </c>
      <c r="B2530" s="66" t="s">
        <v>63</v>
      </c>
      <c r="C2530" s="66" t="s">
        <v>64</v>
      </c>
      <c r="D2530" t="s">
        <v>65</v>
      </c>
      <c r="E2530">
        <v>-60</v>
      </c>
      <c r="F2530" s="66" t="s">
        <v>7</v>
      </c>
      <c r="G2530" s="66" t="s">
        <v>11</v>
      </c>
      <c r="H2530" s="66" t="str">
        <f>TEXT(Data[[#This Row],[Buchung]],"MMM")</f>
        <v>Dez</v>
      </c>
      <c r="I2530" s="67">
        <f>YEAR(Data[[#This Row],[Buchung]])</f>
        <v>2021</v>
      </c>
      <c r="J2530" s="2">
        <f>ABS(Data[[#This Row],[Betrag]])</f>
        <v>60</v>
      </c>
      <c r="K2530" s="66" t="str">
        <f>IF(Data[[#This Row],[Betrag]]&lt;0,"A","E")</f>
        <v>A</v>
      </c>
    </row>
    <row r="2531" spans="1:11" x14ac:dyDescent="0.25">
      <c r="A2531" s="1">
        <v>44534</v>
      </c>
      <c r="B2531" s="66" t="s">
        <v>54</v>
      </c>
      <c r="C2531" s="66" t="s">
        <v>55</v>
      </c>
      <c r="D2531" t="s">
        <v>66</v>
      </c>
      <c r="E2531">
        <v>-80</v>
      </c>
      <c r="F2531" s="66" t="s">
        <v>7</v>
      </c>
      <c r="G2531" s="66" t="s">
        <v>57</v>
      </c>
      <c r="H2531" s="66" t="str">
        <f>TEXT(Data[[#This Row],[Buchung]],"MMM")</f>
        <v>Dez</v>
      </c>
      <c r="I2531" s="67">
        <f>YEAR(Data[[#This Row],[Buchung]])</f>
        <v>2021</v>
      </c>
      <c r="J2531" s="2">
        <f>ABS(Data[[#This Row],[Betrag]])</f>
        <v>80</v>
      </c>
      <c r="K2531" s="66" t="str">
        <f>IF(Data[[#This Row],[Betrag]]&lt;0,"A","E")</f>
        <v>A</v>
      </c>
    </row>
    <row r="2532" spans="1:11" x14ac:dyDescent="0.25">
      <c r="A2532" s="1">
        <v>44535</v>
      </c>
      <c r="B2532" s="66" t="s">
        <v>67</v>
      </c>
      <c r="C2532" s="66" t="s">
        <v>59</v>
      </c>
      <c r="D2532" t="s">
        <v>68</v>
      </c>
      <c r="E2532">
        <v>-30</v>
      </c>
      <c r="F2532" s="66" t="s">
        <v>7</v>
      </c>
      <c r="G2532" s="66" t="s">
        <v>10</v>
      </c>
      <c r="H2532" s="66" t="str">
        <f>TEXT(Data[[#This Row],[Buchung]],"MMM")</f>
        <v>Dez</v>
      </c>
      <c r="I2532" s="67">
        <f>YEAR(Data[[#This Row],[Buchung]])</f>
        <v>2021</v>
      </c>
      <c r="J2532" s="2">
        <f>ABS(Data[[#This Row],[Betrag]])</f>
        <v>30</v>
      </c>
      <c r="K2532" s="66" t="str">
        <f>IF(Data[[#This Row],[Betrag]]&lt;0,"A","E")</f>
        <v>A</v>
      </c>
    </row>
    <row r="2533" spans="1:11" x14ac:dyDescent="0.25">
      <c r="A2533" s="1">
        <v>44536</v>
      </c>
      <c r="B2533" s="66" t="s">
        <v>45</v>
      </c>
      <c r="C2533" s="66" t="s">
        <v>46</v>
      </c>
      <c r="D2533" t="s">
        <v>47</v>
      </c>
      <c r="E2533">
        <v>1000</v>
      </c>
      <c r="F2533" s="66" t="s">
        <v>7</v>
      </c>
      <c r="G2533" s="66" t="s">
        <v>9</v>
      </c>
      <c r="H2533" s="66" t="str">
        <f>TEXT(Data[[#This Row],[Buchung]],"MMM")</f>
        <v>Dez</v>
      </c>
      <c r="I2533" s="67">
        <f>YEAR(Data[[#This Row],[Buchung]])</f>
        <v>2021</v>
      </c>
      <c r="J2533" s="2">
        <f>ABS(Data[[#This Row],[Betrag]])</f>
        <v>1000</v>
      </c>
      <c r="K2533" s="66" t="str">
        <f>IF(Data[[#This Row],[Betrag]]&lt;0,"A","E")</f>
        <v>E</v>
      </c>
    </row>
    <row r="2534" spans="1:11" x14ac:dyDescent="0.25">
      <c r="A2534" s="1">
        <v>44537</v>
      </c>
      <c r="B2534" s="66" t="s">
        <v>48</v>
      </c>
      <c r="C2534" s="66" t="s">
        <v>49</v>
      </c>
      <c r="D2534" t="s">
        <v>50</v>
      </c>
      <c r="E2534">
        <v>-15</v>
      </c>
      <c r="F2534" s="66" t="s">
        <v>7</v>
      </c>
      <c r="G2534" s="66" t="s">
        <v>8</v>
      </c>
      <c r="H2534" s="66" t="str">
        <f>TEXT(Data[[#This Row],[Buchung]],"MMM")</f>
        <v>Dez</v>
      </c>
      <c r="I2534" s="67">
        <f>YEAR(Data[[#This Row],[Buchung]])</f>
        <v>2021</v>
      </c>
      <c r="J2534" s="2">
        <f>ABS(Data[[#This Row],[Betrag]])</f>
        <v>15</v>
      </c>
      <c r="K2534" s="66" t="str">
        <f>IF(Data[[#This Row],[Betrag]]&lt;0,"A","E")</f>
        <v>A</v>
      </c>
    </row>
    <row r="2535" spans="1:11" x14ac:dyDescent="0.25">
      <c r="A2535" s="1">
        <v>44538</v>
      </c>
      <c r="B2535" s="66" t="s">
        <v>51</v>
      </c>
      <c r="C2535" s="66" t="s">
        <v>52</v>
      </c>
      <c r="D2535" t="s">
        <v>53</v>
      </c>
      <c r="E2535">
        <v>-350</v>
      </c>
      <c r="F2535" s="66" t="s">
        <v>7</v>
      </c>
      <c r="G2535" s="66" t="s">
        <v>11</v>
      </c>
      <c r="H2535" s="66" t="str">
        <f>TEXT(Data[[#This Row],[Buchung]],"MMM")</f>
        <v>Dez</v>
      </c>
      <c r="I2535" s="67">
        <f>YEAR(Data[[#This Row],[Buchung]])</f>
        <v>2021</v>
      </c>
      <c r="J2535" s="2">
        <f>ABS(Data[[#This Row],[Betrag]])</f>
        <v>350</v>
      </c>
      <c r="K2535" s="66" t="str">
        <f>IF(Data[[#This Row],[Betrag]]&lt;0,"A","E")</f>
        <v>A</v>
      </c>
    </row>
    <row r="2536" spans="1:11" x14ac:dyDescent="0.25">
      <c r="A2536" s="1">
        <v>44539</v>
      </c>
      <c r="B2536" s="66" t="s">
        <v>54</v>
      </c>
      <c r="C2536" s="66" t="s">
        <v>55</v>
      </c>
      <c r="D2536" t="s">
        <v>56</v>
      </c>
      <c r="E2536">
        <v>-120</v>
      </c>
      <c r="F2536" s="66" t="s">
        <v>7</v>
      </c>
      <c r="G2536" s="66" t="s">
        <v>57</v>
      </c>
      <c r="H2536" s="66" t="str">
        <f>TEXT(Data[[#This Row],[Buchung]],"MMM")</f>
        <v>Dez</v>
      </c>
      <c r="I2536" s="67">
        <f>YEAR(Data[[#This Row],[Buchung]])</f>
        <v>2021</v>
      </c>
      <c r="J2536" s="2">
        <f>ABS(Data[[#This Row],[Betrag]])</f>
        <v>120</v>
      </c>
      <c r="K2536" s="66" t="str">
        <f>IF(Data[[#This Row],[Betrag]]&lt;0,"A","E")</f>
        <v>A</v>
      </c>
    </row>
    <row r="2537" spans="1:11" x14ac:dyDescent="0.25">
      <c r="A2537" s="1">
        <v>44540</v>
      </c>
      <c r="B2537" s="66" t="s">
        <v>58</v>
      </c>
      <c r="C2537" s="66" t="s">
        <v>59</v>
      </c>
      <c r="D2537" t="s">
        <v>60</v>
      </c>
      <c r="E2537">
        <v>-80</v>
      </c>
      <c r="F2537" s="66" t="s">
        <v>7</v>
      </c>
      <c r="G2537" s="66" t="s">
        <v>10</v>
      </c>
      <c r="H2537" s="66" t="str">
        <f>TEXT(Data[[#This Row],[Buchung]],"MMM")</f>
        <v>Dez</v>
      </c>
      <c r="I2537" s="67">
        <f>YEAR(Data[[#This Row],[Buchung]])</f>
        <v>2021</v>
      </c>
      <c r="J2537" s="2">
        <f>ABS(Data[[#This Row],[Betrag]])</f>
        <v>80</v>
      </c>
      <c r="K2537" s="66" t="str">
        <f>IF(Data[[#This Row],[Betrag]]&lt;0,"A","E")</f>
        <v>A</v>
      </c>
    </row>
    <row r="2538" spans="1:11" x14ac:dyDescent="0.25">
      <c r="A2538" s="1">
        <v>44541</v>
      </c>
      <c r="B2538" s="66" t="s">
        <v>45</v>
      </c>
      <c r="C2538" s="66" t="s">
        <v>46</v>
      </c>
      <c r="D2538" t="s">
        <v>47</v>
      </c>
      <c r="E2538">
        <v>1000</v>
      </c>
      <c r="F2538" s="66" t="s">
        <v>7</v>
      </c>
      <c r="G2538" s="66" t="s">
        <v>9</v>
      </c>
      <c r="H2538" s="66" t="str">
        <f>TEXT(Data[[#This Row],[Buchung]],"MMM")</f>
        <v>Dez</v>
      </c>
      <c r="I2538" s="67">
        <f>YEAR(Data[[#This Row],[Buchung]])</f>
        <v>2021</v>
      </c>
      <c r="J2538" s="2">
        <f>ABS(Data[[#This Row],[Betrag]])</f>
        <v>1000</v>
      </c>
      <c r="K2538" s="66" t="str">
        <f>IF(Data[[#This Row],[Betrag]]&lt;0,"A","E")</f>
        <v>E</v>
      </c>
    </row>
    <row r="2539" spans="1:11" x14ac:dyDescent="0.25">
      <c r="A2539" s="1">
        <v>44542</v>
      </c>
      <c r="B2539" s="66" t="s">
        <v>61</v>
      </c>
      <c r="C2539" s="66" t="s">
        <v>49</v>
      </c>
      <c r="D2539" t="s">
        <v>62</v>
      </c>
      <c r="E2539">
        <v>-10</v>
      </c>
      <c r="F2539" s="66" t="s">
        <v>7</v>
      </c>
      <c r="G2539" s="66" t="s">
        <v>8</v>
      </c>
      <c r="H2539" s="66" t="str">
        <f>TEXT(Data[[#This Row],[Buchung]],"MMM")</f>
        <v>Dez</v>
      </c>
      <c r="I2539" s="67">
        <f>YEAR(Data[[#This Row],[Buchung]])</f>
        <v>2021</v>
      </c>
      <c r="J2539" s="2">
        <f>ABS(Data[[#This Row],[Betrag]])</f>
        <v>10</v>
      </c>
      <c r="K2539" s="66" t="str">
        <f>IF(Data[[#This Row],[Betrag]]&lt;0,"A","E")</f>
        <v>A</v>
      </c>
    </row>
    <row r="2540" spans="1:11" x14ac:dyDescent="0.25">
      <c r="A2540" s="1">
        <v>44543</v>
      </c>
      <c r="B2540" s="66" t="s">
        <v>63</v>
      </c>
      <c r="C2540" s="66" t="s">
        <v>64</v>
      </c>
      <c r="D2540" t="s">
        <v>65</v>
      </c>
      <c r="E2540">
        <v>-65</v>
      </c>
      <c r="F2540" s="66" t="s">
        <v>7</v>
      </c>
      <c r="G2540" s="66" t="s">
        <v>11</v>
      </c>
      <c r="H2540" s="66" t="str">
        <f>TEXT(Data[[#This Row],[Buchung]],"MMM")</f>
        <v>Dez</v>
      </c>
      <c r="I2540" s="67">
        <f>YEAR(Data[[#This Row],[Buchung]])</f>
        <v>2021</v>
      </c>
      <c r="J2540" s="2">
        <f>ABS(Data[[#This Row],[Betrag]])</f>
        <v>65</v>
      </c>
      <c r="K2540" s="66" t="str">
        <f>IF(Data[[#This Row],[Betrag]]&lt;0,"A","E")</f>
        <v>A</v>
      </c>
    </row>
    <row r="2541" spans="1:11" x14ac:dyDescent="0.25">
      <c r="A2541" s="1">
        <v>44544</v>
      </c>
      <c r="B2541" s="66" t="s">
        <v>54</v>
      </c>
      <c r="C2541" s="66" t="s">
        <v>55</v>
      </c>
      <c r="D2541" t="s">
        <v>66</v>
      </c>
      <c r="E2541">
        <v>-80</v>
      </c>
      <c r="F2541" s="66" t="s">
        <v>7</v>
      </c>
      <c r="G2541" s="66" t="s">
        <v>57</v>
      </c>
      <c r="H2541" s="66" t="str">
        <f>TEXT(Data[[#This Row],[Buchung]],"MMM")</f>
        <v>Dez</v>
      </c>
      <c r="I2541" s="67">
        <f>YEAR(Data[[#This Row],[Buchung]])</f>
        <v>2021</v>
      </c>
      <c r="J2541" s="2">
        <f>ABS(Data[[#This Row],[Betrag]])</f>
        <v>80</v>
      </c>
      <c r="K2541" s="66" t="str">
        <f>IF(Data[[#This Row],[Betrag]]&lt;0,"A","E")</f>
        <v>A</v>
      </c>
    </row>
    <row r="2542" spans="1:11" x14ac:dyDescent="0.25">
      <c r="A2542" s="1">
        <v>44545</v>
      </c>
      <c r="B2542" s="66" t="s">
        <v>67</v>
      </c>
      <c r="C2542" s="66" t="s">
        <v>59</v>
      </c>
      <c r="D2542" t="s">
        <v>68</v>
      </c>
      <c r="E2542">
        <v>-35</v>
      </c>
      <c r="F2542" s="66" t="s">
        <v>7</v>
      </c>
      <c r="G2542" s="66" t="s">
        <v>10</v>
      </c>
      <c r="H2542" s="66" t="str">
        <f>TEXT(Data[[#This Row],[Buchung]],"MMM")</f>
        <v>Dez</v>
      </c>
      <c r="I2542" s="67">
        <f>YEAR(Data[[#This Row],[Buchung]])</f>
        <v>2021</v>
      </c>
      <c r="J2542" s="2">
        <f>ABS(Data[[#This Row],[Betrag]])</f>
        <v>35</v>
      </c>
      <c r="K2542" s="66" t="str">
        <f>IF(Data[[#This Row],[Betrag]]&lt;0,"A","E")</f>
        <v>A</v>
      </c>
    </row>
    <row r="2543" spans="1:11" x14ac:dyDescent="0.25">
      <c r="A2543" s="1">
        <v>44546</v>
      </c>
      <c r="B2543" s="66" t="s">
        <v>45</v>
      </c>
      <c r="C2543" s="66" t="s">
        <v>46</v>
      </c>
      <c r="D2543" t="s">
        <v>47</v>
      </c>
      <c r="E2543">
        <v>1000</v>
      </c>
      <c r="F2543" s="66" t="s">
        <v>7</v>
      </c>
      <c r="G2543" s="66" t="s">
        <v>9</v>
      </c>
      <c r="H2543" s="66" t="str">
        <f>TEXT(Data[[#This Row],[Buchung]],"MMM")</f>
        <v>Dez</v>
      </c>
      <c r="I2543" s="67">
        <f>YEAR(Data[[#This Row],[Buchung]])</f>
        <v>2021</v>
      </c>
      <c r="J2543" s="2">
        <f>ABS(Data[[#This Row],[Betrag]])</f>
        <v>1000</v>
      </c>
      <c r="K2543" s="66" t="str">
        <f>IF(Data[[#This Row],[Betrag]]&lt;0,"A","E")</f>
        <v>E</v>
      </c>
    </row>
    <row r="2544" spans="1:11" x14ac:dyDescent="0.25">
      <c r="A2544" s="1">
        <v>44547</v>
      </c>
      <c r="B2544" s="66" t="s">
        <v>45</v>
      </c>
      <c r="C2544" s="66" t="s">
        <v>46</v>
      </c>
      <c r="D2544" t="s">
        <v>47</v>
      </c>
      <c r="E2544">
        <v>1000</v>
      </c>
      <c r="F2544" s="66" t="s">
        <v>7</v>
      </c>
      <c r="G2544" s="66" t="s">
        <v>9</v>
      </c>
      <c r="H2544" s="66" t="str">
        <f>TEXT(Data[[#This Row],[Buchung]],"MMM")</f>
        <v>Dez</v>
      </c>
      <c r="I2544" s="67">
        <f>YEAR(Data[[#This Row],[Buchung]])</f>
        <v>2021</v>
      </c>
      <c r="J2544" s="2">
        <f>ABS(Data[[#This Row],[Betrag]])</f>
        <v>1000</v>
      </c>
      <c r="K2544" s="66" t="str">
        <f>IF(Data[[#This Row],[Betrag]]&lt;0,"A","E")</f>
        <v>E</v>
      </c>
    </row>
    <row r="2545" spans="1:11" x14ac:dyDescent="0.25">
      <c r="A2545" s="1">
        <v>44548</v>
      </c>
      <c r="B2545" s="66" t="s">
        <v>48</v>
      </c>
      <c r="C2545" s="66" t="s">
        <v>49</v>
      </c>
      <c r="D2545" t="s">
        <v>50</v>
      </c>
      <c r="E2545">
        <v>-15</v>
      </c>
      <c r="F2545" s="66" t="s">
        <v>7</v>
      </c>
      <c r="G2545" s="66" t="s">
        <v>8</v>
      </c>
      <c r="H2545" s="66" t="str">
        <f>TEXT(Data[[#This Row],[Buchung]],"MMM")</f>
        <v>Dez</v>
      </c>
      <c r="I2545" s="67">
        <f>YEAR(Data[[#This Row],[Buchung]])</f>
        <v>2021</v>
      </c>
      <c r="J2545" s="2">
        <f>ABS(Data[[#This Row],[Betrag]])</f>
        <v>15</v>
      </c>
      <c r="K2545" s="66" t="str">
        <f>IF(Data[[#This Row],[Betrag]]&lt;0,"A","E")</f>
        <v>A</v>
      </c>
    </row>
    <row r="2546" spans="1:11" x14ac:dyDescent="0.25">
      <c r="A2546" s="1">
        <v>44549</v>
      </c>
      <c r="B2546" s="66" t="s">
        <v>51</v>
      </c>
      <c r="C2546" s="66" t="s">
        <v>52</v>
      </c>
      <c r="D2546" t="s">
        <v>53</v>
      </c>
      <c r="E2546">
        <v>-350</v>
      </c>
      <c r="F2546" s="66" t="s">
        <v>7</v>
      </c>
      <c r="G2546" s="66" t="s">
        <v>11</v>
      </c>
      <c r="H2546" s="66" t="str">
        <f>TEXT(Data[[#This Row],[Buchung]],"MMM")</f>
        <v>Dez</v>
      </c>
      <c r="I2546" s="67">
        <f>YEAR(Data[[#This Row],[Buchung]])</f>
        <v>2021</v>
      </c>
      <c r="J2546" s="2">
        <f>ABS(Data[[#This Row],[Betrag]])</f>
        <v>350</v>
      </c>
      <c r="K2546" s="66" t="str">
        <f>IF(Data[[#This Row],[Betrag]]&lt;0,"A","E")</f>
        <v>A</v>
      </c>
    </row>
    <row r="2547" spans="1:11" x14ac:dyDescent="0.25">
      <c r="A2547" s="1">
        <v>44550</v>
      </c>
      <c r="B2547" s="66" t="s">
        <v>54</v>
      </c>
      <c r="C2547" s="66" t="s">
        <v>55</v>
      </c>
      <c r="D2547" t="s">
        <v>56</v>
      </c>
      <c r="E2547">
        <v>-120</v>
      </c>
      <c r="F2547" s="66" t="s">
        <v>7</v>
      </c>
      <c r="G2547" s="66" t="s">
        <v>57</v>
      </c>
      <c r="H2547" s="66" t="str">
        <f>TEXT(Data[[#This Row],[Buchung]],"MMM")</f>
        <v>Dez</v>
      </c>
      <c r="I2547" s="67">
        <f>YEAR(Data[[#This Row],[Buchung]])</f>
        <v>2021</v>
      </c>
      <c r="J2547" s="2">
        <f>ABS(Data[[#This Row],[Betrag]])</f>
        <v>120</v>
      </c>
      <c r="K2547" s="66" t="str">
        <f>IF(Data[[#This Row],[Betrag]]&lt;0,"A","E")</f>
        <v>A</v>
      </c>
    </row>
    <row r="2548" spans="1:11" x14ac:dyDescent="0.25">
      <c r="A2548" s="1">
        <v>44551</v>
      </c>
      <c r="B2548" s="66" t="s">
        <v>58</v>
      </c>
      <c r="C2548" s="66" t="s">
        <v>59</v>
      </c>
      <c r="D2548" t="s">
        <v>60</v>
      </c>
      <c r="E2548">
        <v>-50</v>
      </c>
      <c r="F2548" s="66" t="s">
        <v>7</v>
      </c>
      <c r="G2548" s="66" t="s">
        <v>10</v>
      </c>
      <c r="H2548" s="66" t="str">
        <f>TEXT(Data[[#This Row],[Buchung]],"MMM")</f>
        <v>Dez</v>
      </c>
      <c r="I2548" s="67">
        <f>YEAR(Data[[#This Row],[Buchung]])</f>
        <v>2021</v>
      </c>
      <c r="J2548" s="2">
        <f>ABS(Data[[#This Row],[Betrag]])</f>
        <v>50</v>
      </c>
      <c r="K2548" s="66" t="str">
        <f>IF(Data[[#This Row],[Betrag]]&lt;0,"A","E")</f>
        <v>A</v>
      </c>
    </row>
    <row r="2549" spans="1:11" x14ac:dyDescent="0.25">
      <c r="A2549" s="1">
        <v>44552</v>
      </c>
      <c r="B2549" s="66" t="s">
        <v>45</v>
      </c>
      <c r="C2549" s="66" t="s">
        <v>46</v>
      </c>
      <c r="D2549" t="s">
        <v>47</v>
      </c>
      <c r="E2549">
        <v>1000</v>
      </c>
      <c r="F2549" s="66" t="s">
        <v>7</v>
      </c>
      <c r="G2549" s="66" t="s">
        <v>9</v>
      </c>
      <c r="H2549" s="66" t="str">
        <f>TEXT(Data[[#This Row],[Buchung]],"MMM")</f>
        <v>Dez</v>
      </c>
      <c r="I2549" s="67">
        <f>YEAR(Data[[#This Row],[Buchung]])</f>
        <v>2021</v>
      </c>
      <c r="J2549" s="2">
        <f>ABS(Data[[#This Row],[Betrag]])</f>
        <v>1000</v>
      </c>
      <c r="K2549" s="66" t="str">
        <f>IF(Data[[#This Row],[Betrag]]&lt;0,"A","E")</f>
        <v>E</v>
      </c>
    </row>
    <row r="2550" spans="1:11" x14ac:dyDescent="0.25">
      <c r="A2550" s="1">
        <v>44553</v>
      </c>
      <c r="B2550" s="66" t="s">
        <v>61</v>
      </c>
      <c r="C2550" s="66" t="s">
        <v>49</v>
      </c>
      <c r="D2550" t="s">
        <v>62</v>
      </c>
      <c r="E2550">
        <v>-10</v>
      </c>
      <c r="F2550" s="66" t="s">
        <v>7</v>
      </c>
      <c r="G2550" s="66" t="s">
        <v>8</v>
      </c>
      <c r="H2550" s="66" t="str">
        <f>TEXT(Data[[#This Row],[Buchung]],"MMM")</f>
        <v>Dez</v>
      </c>
      <c r="I2550" s="67">
        <f>YEAR(Data[[#This Row],[Buchung]])</f>
        <v>2021</v>
      </c>
      <c r="J2550" s="2">
        <f>ABS(Data[[#This Row],[Betrag]])</f>
        <v>10</v>
      </c>
      <c r="K2550" s="66" t="str">
        <f>IF(Data[[#This Row],[Betrag]]&lt;0,"A","E")</f>
        <v>A</v>
      </c>
    </row>
    <row r="2551" spans="1:11" x14ac:dyDescent="0.25">
      <c r="A2551" s="1">
        <v>44554</v>
      </c>
      <c r="B2551" s="66" t="s">
        <v>63</v>
      </c>
      <c r="C2551" s="66" t="s">
        <v>64</v>
      </c>
      <c r="D2551" t="s">
        <v>65</v>
      </c>
      <c r="E2551">
        <v>-60</v>
      </c>
      <c r="F2551" s="66" t="s">
        <v>7</v>
      </c>
      <c r="G2551" s="66" t="s">
        <v>11</v>
      </c>
      <c r="H2551" s="66" t="str">
        <f>TEXT(Data[[#This Row],[Buchung]],"MMM")</f>
        <v>Dez</v>
      </c>
      <c r="I2551" s="67">
        <f>YEAR(Data[[#This Row],[Buchung]])</f>
        <v>2021</v>
      </c>
      <c r="J2551" s="2">
        <f>ABS(Data[[#This Row],[Betrag]])</f>
        <v>60</v>
      </c>
      <c r="K2551" s="66" t="str">
        <f>IF(Data[[#This Row],[Betrag]]&lt;0,"A","E")</f>
        <v>A</v>
      </c>
    </row>
    <row r="2552" spans="1:11" x14ac:dyDescent="0.25">
      <c r="A2552" s="1">
        <v>44555</v>
      </c>
      <c r="B2552" s="66" t="s">
        <v>54</v>
      </c>
      <c r="C2552" s="66" t="s">
        <v>55</v>
      </c>
      <c r="D2552" t="s">
        <v>66</v>
      </c>
      <c r="E2552">
        <v>-80</v>
      </c>
      <c r="F2552" s="66" t="s">
        <v>7</v>
      </c>
      <c r="G2552" s="66" t="s">
        <v>57</v>
      </c>
      <c r="H2552" s="66" t="str">
        <f>TEXT(Data[[#This Row],[Buchung]],"MMM")</f>
        <v>Dez</v>
      </c>
      <c r="I2552" s="67">
        <f>YEAR(Data[[#This Row],[Buchung]])</f>
        <v>2021</v>
      </c>
      <c r="J2552" s="2">
        <f>ABS(Data[[#This Row],[Betrag]])</f>
        <v>80</v>
      </c>
      <c r="K2552" s="66" t="str">
        <f>IF(Data[[#This Row],[Betrag]]&lt;0,"A","E")</f>
        <v>A</v>
      </c>
    </row>
    <row r="2553" spans="1:11" x14ac:dyDescent="0.25">
      <c r="A2553" s="1">
        <v>44556</v>
      </c>
      <c r="B2553" s="66" t="s">
        <v>67</v>
      </c>
      <c r="C2553" s="66" t="s">
        <v>59</v>
      </c>
      <c r="D2553" t="s">
        <v>68</v>
      </c>
      <c r="E2553">
        <v>-20</v>
      </c>
      <c r="F2553" s="66" t="s">
        <v>7</v>
      </c>
      <c r="G2553" s="66" t="s">
        <v>10</v>
      </c>
      <c r="H2553" s="66" t="str">
        <f>TEXT(Data[[#This Row],[Buchung]],"MMM")</f>
        <v>Dez</v>
      </c>
      <c r="I2553" s="67">
        <f>YEAR(Data[[#This Row],[Buchung]])</f>
        <v>2021</v>
      </c>
      <c r="J2553" s="2">
        <f>ABS(Data[[#This Row],[Betrag]])</f>
        <v>20</v>
      </c>
      <c r="K2553" s="66" t="str">
        <f>IF(Data[[#This Row],[Betrag]]&lt;0,"A","E")</f>
        <v>A</v>
      </c>
    </row>
    <row r="2554" spans="1:11" x14ac:dyDescent="0.25">
      <c r="A2554" s="1">
        <v>44557</v>
      </c>
      <c r="B2554" s="66" t="s">
        <v>45</v>
      </c>
      <c r="C2554" s="66" t="s">
        <v>46</v>
      </c>
      <c r="D2554" t="s">
        <v>47</v>
      </c>
      <c r="E2554">
        <v>1000</v>
      </c>
      <c r="F2554" s="66" t="s">
        <v>7</v>
      </c>
      <c r="G2554" s="66" t="s">
        <v>9</v>
      </c>
      <c r="H2554" s="66" t="str">
        <f>TEXT(Data[[#This Row],[Buchung]],"MMM")</f>
        <v>Dez</v>
      </c>
      <c r="I2554" s="67">
        <f>YEAR(Data[[#This Row],[Buchung]])</f>
        <v>2021</v>
      </c>
      <c r="J2554" s="2">
        <f>ABS(Data[[#This Row],[Betrag]])</f>
        <v>1000</v>
      </c>
      <c r="K2554" s="66" t="str">
        <f>IF(Data[[#This Row],[Betrag]]&lt;0,"A","E")</f>
        <v>E</v>
      </c>
    </row>
    <row r="2555" spans="1:11" x14ac:dyDescent="0.25">
      <c r="A2555" s="1">
        <v>44558</v>
      </c>
      <c r="B2555" s="66" t="s">
        <v>48</v>
      </c>
      <c r="C2555" s="66" t="s">
        <v>49</v>
      </c>
      <c r="D2555" t="s">
        <v>50</v>
      </c>
      <c r="E2555">
        <v>-15</v>
      </c>
      <c r="F2555" s="66" t="s">
        <v>7</v>
      </c>
      <c r="G2555" s="66" t="s">
        <v>8</v>
      </c>
      <c r="H2555" s="66" t="str">
        <f>TEXT(Data[[#This Row],[Buchung]],"MMM")</f>
        <v>Dez</v>
      </c>
      <c r="I2555" s="67">
        <f>YEAR(Data[[#This Row],[Buchung]])</f>
        <v>2021</v>
      </c>
      <c r="J2555" s="2">
        <f>ABS(Data[[#This Row],[Betrag]])</f>
        <v>15</v>
      </c>
      <c r="K2555" s="66" t="str">
        <f>IF(Data[[#This Row],[Betrag]]&lt;0,"A","E")</f>
        <v>A</v>
      </c>
    </row>
    <row r="2556" spans="1:11" x14ac:dyDescent="0.25">
      <c r="A2556" s="1">
        <v>44559</v>
      </c>
      <c r="B2556" s="66" t="s">
        <v>51</v>
      </c>
      <c r="C2556" s="66" t="s">
        <v>52</v>
      </c>
      <c r="D2556" t="s">
        <v>53</v>
      </c>
      <c r="E2556">
        <v>-350</v>
      </c>
      <c r="F2556" s="66" t="s">
        <v>7</v>
      </c>
      <c r="G2556" s="66" t="s">
        <v>11</v>
      </c>
      <c r="H2556" s="66" t="str">
        <f>TEXT(Data[[#This Row],[Buchung]],"MMM")</f>
        <v>Dez</v>
      </c>
      <c r="I2556" s="67">
        <f>YEAR(Data[[#This Row],[Buchung]])</f>
        <v>2021</v>
      </c>
      <c r="J2556" s="2">
        <f>ABS(Data[[#This Row],[Betrag]])</f>
        <v>350</v>
      </c>
      <c r="K2556" s="66" t="str">
        <f>IF(Data[[#This Row],[Betrag]]&lt;0,"A","E")</f>
        <v>A</v>
      </c>
    </row>
    <row r="2557" spans="1:11" x14ac:dyDescent="0.25">
      <c r="A2557" s="1">
        <v>44560</v>
      </c>
      <c r="B2557" s="66" t="s">
        <v>54</v>
      </c>
      <c r="C2557" s="66" t="s">
        <v>55</v>
      </c>
      <c r="D2557" t="s">
        <v>56</v>
      </c>
      <c r="E2557">
        <v>-120</v>
      </c>
      <c r="F2557" s="66" t="s">
        <v>7</v>
      </c>
      <c r="G2557" s="66" t="s">
        <v>57</v>
      </c>
      <c r="H2557" s="66" t="str">
        <f>TEXT(Data[[#This Row],[Buchung]],"MMM")</f>
        <v>Dez</v>
      </c>
      <c r="I2557" s="67">
        <f>YEAR(Data[[#This Row],[Buchung]])</f>
        <v>2021</v>
      </c>
      <c r="J2557" s="2">
        <f>ABS(Data[[#This Row],[Betrag]])</f>
        <v>120</v>
      </c>
      <c r="K2557" s="66" t="str">
        <f>IF(Data[[#This Row],[Betrag]]&lt;0,"A","E")</f>
        <v>A</v>
      </c>
    </row>
    <row r="2558" spans="1:11" x14ac:dyDescent="0.25">
      <c r="A2558" s="1">
        <v>44561</v>
      </c>
      <c r="B2558" s="66" t="s">
        <v>58</v>
      </c>
      <c r="C2558" s="66" t="s">
        <v>59</v>
      </c>
      <c r="D2558" t="s">
        <v>60</v>
      </c>
      <c r="E2558">
        <v>-60</v>
      </c>
      <c r="F2558" s="66" t="s">
        <v>7</v>
      </c>
      <c r="G2558" s="66" t="s">
        <v>10</v>
      </c>
      <c r="H2558" s="66" t="str">
        <f>TEXT(Data[[#This Row],[Buchung]],"MMM")</f>
        <v>Dez</v>
      </c>
      <c r="I2558" s="67">
        <f>YEAR(Data[[#This Row],[Buchung]])</f>
        <v>2021</v>
      </c>
      <c r="J2558" s="2">
        <f>ABS(Data[[#This Row],[Betrag]])</f>
        <v>60</v>
      </c>
      <c r="K2558" s="66" t="str">
        <f>IF(Data[[#This Row],[Betrag]]&lt;0,"A","E")</f>
        <v>A</v>
      </c>
    </row>
    <row r="2559" spans="1:11" x14ac:dyDescent="0.25">
      <c r="A2559" s="1">
        <v>44562</v>
      </c>
      <c r="B2559" s="66" t="s">
        <v>45</v>
      </c>
      <c r="C2559" s="66" t="s">
        <v>46</v>
      </c>
      <c r="D2559" t="s">
        <v>47</v>
      </c>
      <c r="E2559">
        <v>1000</v>
      </c>
      <c r="F2559" s="66" t="s">
        <v>7</v>
      </c>
      <c r="G2559" s="66" t="s">
        <v>9</v>
      </c>
      <c r="H2559" s="66" t="str">
        <f>TEXT(Data[[#This Row],[Buchung]],"MMM")</f>
        <v>Jan</v>
      </c>
      <c r="I2559" s="67">
        <f>YEAR(Data[[#This Row],[Buchung]])</f>
        <v>2022</v>
      </c>
      <c r="J2559" s="2">
        <f>ABS(Data[[#This Row],[Betrag]])</f>
        <v>1000</v>
      </c>
      <c r="K2559" s="66" t="str">
        <f>IF(Data[[#This Row],[Betrag]]&lt;0,"A","E")</f>
        <v>E</v>
      </c>
    </row>
    <row r="2560" spans="1:11" x14ac:dyDescent="0.25">
      <c r="A2560" s="1">
        <v>44563</v>
      </c>
      <c r="B2560" s="66" t="s">
        <v>61</v>
      </c>
      <c r="C2560" s="66" t="s">
        <v>49</v>
      </c>
      <c r="D2560" t="s">
        <v>62</v>
      </c>
      <c r="E2560">
        <v>-10</v>
      </c>
      <c r="F2560" s="66" t="s">
        <v>7</v>
      </c>
      <c r="G2560" s="66" t="s">
        <v>8</v>
      </c>
      <c r="H2560" s="66" t="str">
        <f>TEXT(Data[[#This Row],[Buchung]],"MMM")</f>
        <v>Jan</v>
      </c>
      <c r="I2560" s="67">
        <f>YEAR(Data[[#This Row],[Buchung]])</f>
        <v>2022</v>
      </c>
      <c r="J2560" s="2">
        <f>ABS(Data[[#This Row],[Betrag]])</f>
        <v>10</v>
      </c>
      <c r="K2560" s="66" t="str">
        <f>IF(Data[[#This Row],[Betrag]]&lt;0,"A","E")</f>
        <v>A</v>
      </c>
    </row>
    <row r="2561" spans="1:11" x14ac:dyDescent="0.25">
      <c r="A2561" s="1">
        <v>44564</v>
      </c>
      <c r="B2561" s="66" t="s">
        <v>63</v>
      </c>
      <c r="C2561" s="66" t="s">
        <v>64</v>
      </c>
      <c r="D2561" t="s">
        <v>65</v>
      </c>
      <c r="E2561">
        <v>-70</v>
      </c>
      <c r="F2561" s="66" t="s">
        <v>7</v>
      </c>
      <c r="G2561" s="66" t="s">
        <v>11</v>
      </c>
      <c r="H2561" s="66" t="str">
        <f>TEXT(Data[[#This Row],[Buchung]],"MMM")</f>
        <v>Jan</v>
      </c>
      <c r="I2561" s="67">
        <f>YEAR(Data[[#This Row],[Buchung]])</f>
        <v>2022</v>
      </c>
      <c r="J2561" s="2">
        <f>ABS(Data[[#This Row],[Betrag]])</f>
        <v>70</v>
      </c>
      <c r="K2561" s="66" t="str">
        <f>IF(Data[[#This Row],[Betrag]]&lt;0,"A","E")</f>
        <v>A</v>
      </c>
    </row>
    <row r="2562" spans="1:11" x14ac:dyDescent="0.25">
      <c r="A2562" s="1">
        <v>44565</v>
      </c>
      <c r="B2562" s="66" t="s">
        <v>54</v>
      </c>
      <c r="C2562" s="66" t="s">
        <v>55</v>
      </c>
      <c r="D2562" t="s">
        <v>66</v>
      </c>
      <c r="E2562">
        <v>-80</v>
      </c>
      <c r="F2562" s="66" t="s">
        <v>7</v>
      </c>
      <c r="G2562" s="66" t="s">
        <v>57</v>
      </c>
      <c r="H2562" s="66" t="str">
        <f>TEXT(Data[[#This Row],[Buchung]],"MMM")</f>
        <v>Jan</v>
      </c>
      <c r="I2562" s="67">
        <f>YEAR(Data[[#This Row],[Buchung]])</f>
        <v>2022</v>
      </c>
      <c r="J2562" s="2">
        <f>ABS(Data[[#This Row],[Betrag]])</f>
        <v>80</v>
      </c>
      <c r="K2562" s="66" t="str">
        <f>IF(Data[[#This Row],[Betrag]]&lt;0,"A","E")</f>
        <v>A</v>
      </c>
    </row>
    <row r="2563" spans="1:11" x14ac:dyDescent="0.25">
      <c r="A2563" s="1">
        <v>44566</v>
      </c>
      <c r="B2563" s="66" t="s">
        <v>67</v>
      </c>
      <c r="C2563" s="66" t="s">
        <v>59</v>
      </c>
      <c r="D2563" t="s">
        <v>68</v>
      </c>
      <c r="E2563">
        <v>-25</v>
      </c>
      <c r="F2563" s="66" t="s">
        <v>7</v>
      </c>
      <c r="G2563" s="66" t="s">
        <v>10</v>
      </c>
      <c r="H2563" s="66" t="str">
        <f>TEXT(Data[[#This Row],[Buchung]],"MMM")</f>
        <v>Jan</v>
      </c>
      <c r="I2563" s="67">
        <f>YEAR(Data[[#This Row],[Buchung]])</f>
        <v>2022</v>
      </c>
      <c r="J2563" s="2">
        <f>ABS(Data[[#This Row],[Betrag]])</f>
        <v>25</v>
      </c>
      <c r="K2563" s="66" t="str">
        <f>IF(Data[[#This Row],[Betrag]]&lt;0,"A","E")</f>
        <v>A</v>
      </c>
    </row>
    <row r="2564" spans="1:11" x14ac:dyDescent="0.25">
      <c r="A2564" s="1">
        <v>44567</v>
      </c>
      <c r="B2564" s="66" t="s">
        <v>45</v>
      </c>
      <c r="C2564" s="66" t="s">
        <v>46</v>
      </c>
      <c r="D2564" t="s">
        <v>47</v>
      </c>
      <c r="E2564">
        <v>1000</v>
      </c>
      <c r="F2564" s="66" t="s">
        <v>7</v>
      </c>
      <c r="G2564" s="66" t="s">
        <v>9</v>
      </c>
      <c r="H2564" s="66" t="str">
        <f>TEXT(Data[[#This Row],[Buchung]],"MMM")</f>
        <v>Jan</v>
      </c>
      <c r="I2564" s="67">
        <f>YEAR(Data[[#This Row],[Buchung]])</f>
        <v>2022</v>
      </c>
      <c r="J2564" s="2">
        <f>ABS(Data[[#This Row],[Betrag]])</f>
        <v>1000</v>
      </c>
      <c r="K2564" s="66" t="str">
        <f>IF(Data[[#This Row],[Betrag]]&lt;0,"A","E")</f>
        <v>E</v>
      </c>
    </row>
    <row r="2565" spans="1:11" x14ac:dyDescent="0.25">
      <c r="A2565" s="1">
        <v>44568</v>
      </c>
      <c r="B2565" s="66" t="s">
        <v>48</v>
      </c>
      <c r="C2565" s="66" t="s">
        <v>49</v>
      </c>
      <c r="D2565" t="s">
        <v>50</v>
      </c>
      <c r="E2565">
        <v>-15</v>
      </c>
      <c r="F2565" s="66" t="s">
        <v>7</v>
      </c>
      <c r="G2565" s="66" t="s">
        <v>8</v>
      </c>
      <c r="H2565" s="66" t="str">
        <f>TEXT(Data[[#This Row],[Buchung]],"MMM")</f>
        <v>Jan</v>
      </c>
      <c r="I2565" s="67">
        <f>YEAR(Data[[#This Row],[Buchung]])</f>
        <v>2022</v>
      </c>
      <c r="J2565" s="2">
        <f>ABS(Data[[#This Row],[Betrag]])</f>
        <v>15</v>
      </c>
      <c r="K2565" s="66" t="str">
        <f>IF(Data[[#This Row],[Betrag]]&lt;0,"A","E")</f>
        <v>A</v>
      </c>
    </row>
    <row r="2566" spans="1:11" x14ac:dyDescent="0.25">
      <c r="A2566" s="1">
        <v>44569</v>
      </c>
      <c r="B2566" s="66" t="s">
        <v>51</v>
      </c>
      <c r="C2566" s="66" t="s">
        <v>52</v>
      </c>
      <c r="D2566" t="s">
        <v>53</v>
      </c>
      <c r="E2566">
        <v>-350</v>
      </c>
      <c r="F2566" s="66" t="s">
        <v>7</v>
      </c>
      <c r="G2566" s="66" t="s">
        <v>11</v>
      </c>
      <c r="H2566" s="66" t="str">
        <f>TEXT(Data[[#This Row],[Buchung]],"MMM")</f>
        <v>Jan</v>
      </c>
      <c r="I2566" s="67">
        <f>YEAR(Data[[#This Row],[Buchung]])</f>
        <v>2022</v>
      </c>
      <c r="J2566" s="2">
        <f>ABS(Data[[#This Row],[Betrag]])</f>
        <v>350</v>
      </c>
      <c r="K2566" s="66" t="str">
        <f>IF(Data[[#This Row],[Betrag]]&lt;0,"A","E")</f>
        <v>A</v>
      </c>
    </row>
    <row r="2567" spans="1:11" x14ac:dyDescent="0.25">
      <c r="A2567" s="1">
        <v>44570</v>
      </c>
      <c r="B2567" s="66" t="s">
        <v>54</v>
      </c>
      <c r="C2567" s="66" t="s">
        <v>55</v>
      </c>
      <c r="D2567" t="s">
        <v>56</v>
      </c>
      <c r="E2567">
        <v>-120</v>
      </c>
      <c r="F2567" s="66" t="s">
        <v>7</v>
      </c>
      <c r="G2567" s="66" t="s">
        <v>57</v>
      </c>
      <c r="H2567" s="66" t="str">
        <f>TEXT(Data[[#This Row],[Buchung]],"MMM")</f>
        <v>Jan</v>
      </c>
      <c r="I2567" s="67">
        <f>YEAR(Data[[#This Row],[Buchung]])</f>
        <v>2022</v>
      </c>
      <c r="J2567" s="2">
        <f>ABS(Data[[#This Row],[Betrag]])</f>
        <v>120</v>
      </c>
      <c r="K2567" s="66" t="str">
        <f>IF(Data[[#This Row],[Betrag]]&lt;0,"A","E")</f>
        <v>A</v>
      </c>
    </row>
    <row r="2568" spans="1:11" x14ac:dyDescent="0.25">
      <c r="A2568" s="1">
        <v>44571</v>
      </c>
      <c r="B2568" s="66" t="s">
        <v>58</v>
      </c>
      <c r="C2568" s="66" t="s">
        <v>59</v>
      </c>
      <c r="D2568" t="s">
        <v>60</v>
      </c>
      <c r="E2568">
        <v>-70</v>
      </c>
      <c r="F2568" s="66" t="s">
        <v>7</v>
      </c>
      <c r="G2568" s="66" t="s">
        <v>10</v>
      </c>
      <c r="H2568" s="66" t="str">
        <f>TEXT(Data[[#This Row],[Buchung]],"MMM")</f>
        <v>Jan</v>
      </c>
      <c r="I2568" s="67">
        <f>YEAR(Data[[#This Row],[Buchung]])</f>
        <v>2022</v>
      </c>
      <c r="J2568" s="2">
        <f>ABS(Data[[#This Row],[Betrag]])</f>
        <v>70</v>
      </c>
      <c r="K2568" s="66" t="str">
        <f>IF(Data[[#This Row],[Betrag]]&lt;0,"A","E")</f>
        <v>A</v>
      </c>
    </row>
    <row r="2569" spans="1:11" x14ac:dyDescent="0.25">
      <c r="A2569" s="1">
        <v>44572</v>
      </c>
      <c r="B2569" s="66" t="s">
        <v>45</v>
      </c>
      <c r="C2569" s="66" t="s">
        <v>46</v>
      </c>
      <c r="D2569" t="s">
        <v>47</v>
      </c>
      <c r="E2569">
        <v>1000</v>
      </c>
      <c r="F2569" s="66" t="s">
        <v>7</v>
      </c>
      <c r="G2569" s="66" t="s">
        <v>9</v>
      </c>
      <c r="H2569" s="66" t="str">
        <f>TEXT(Data[[#This Row],[Buchung]],"MMM")</f>
        <v>Jan</v>
      </c>
      <c r="I2569" s="67">
        <f>YEAR(Data[[#This Row],[Buchung]])</f>
        <v>2022</v>
      </c>
      <c r="J2569" s="2">
        <f>ABS(Data[[#This Row],[Betrag]])</f>
        <v>1000</v>
      </c>
      <c r="K2569" s="66" t="str">
        <f>IF(Data[[#This Row],[Betrag]]&lt;0,"A","E")</f>
        <v>E</v>
      </c>
    </row>
    <row r="2570" spans="1:11" x14ac:dyDescent="0.25">
      <c r="A2570" s="1">
        <v>44573</v>
      </c>
      <c r="B2570" s="66" t="s">
        <v>61</v>
      </c>
      <c r="C2570" s="66" t="s">
        <v>49</v>
      </c>
      <c r="D2570" t="s">
        <v>62</v>
      </c>
      <c r="E2570">
        <v>-10</v>
      </c>
      <c r="F2570" s="66" t="s">
        <v>7</v>
      </c>
      <c r="G2570" s="66" t="s">
        <v>8</v>
      </c>
      <c r="H2570" s="66" t="str">
        <f>TEXT(Data[[#This Row],[Buchung]],"MMM")</f>
        <v>Jan</v>
      </c>
      <c r="I2570" s="67">
        <f>YEAR(Data[[#This Row],[Buchung]])</f>
        <v>2022</v>
      </c>
      <c r="J2570" s="2">
        <f>ABS(Data[[#This Row],[Betrag]])</f>
        <v>10</v>
      </c>
      <c r="K2570" s="66" t="str">
        <f>IF(Data[[#This Row],[Betrag]]&lt;0,"A","E")</f>
        <v>A</v>
      </c>
    </row>
    <row r="2571" spans="1:11" x14ac:dyDescent="0.25">
      <c r="A2571" s="1">
        <v>44574</v>
      </c>
      <c r="B2571" s="66" t="s">
        <v>63</v>
      </c>
      <c r="C2571" s="66" t="s">
        <v>64</v>
      </c>
      <c r="D2571" t="s">
        <v>65</v>
      </c>
      <c r="E2571">
        <v>-60</v>
      </c>
      <c r="F2571" s="66" t="s">
        <v>7</v>
      </c>
      <c r="G2571" s="66" t="s">
        <v>11</v>
      </c>
      <c r="H2571" s="66" t="str">
        <f>TEXT(Data[[#This Row],[Buchung]],"MMM")</f>
        <v>Jan</v>
      </c>
      <c r="I2571" s="67">
        <f>YEAR(Data[[#This Row],[Buchung]])</f>
        <v>2022</v>
      </c>
      <c r="J2571" s="2">
        <f>ABS(Data[[#This Row],[Betrag]])</f>
        <v>60</v>
      </c>
      <c r="K2571" s="66" t="str">
        <f>IF(Data[[#This Row],[Betrag]]&lt;0,"A","E")</f>
        <v>A</v>
      </c>
    </row>
    <row r="2572" spans="1:11" x14ac:dyDescent="0.25">
      <c r="A2572" s="1">
        <v>44575</v>
      </c>
      <c r="B2572" s="66" t="s">
        <v>54</v>
      </c>
      <c r="C2572" s="66" t="s">
        <v>55</v>
      </c>
      <c r="D2572" t="s">
        <v>66</v>
      </c>
      <c r="E2572">
        <v>-80</v>
      </c>
      <c r="F2572" s="66" t="s">
        <v>7</v>
      </c>
      <c r="G2572" s="66" t="s">
        <v>57</v>
      </c>
      <c r="H2572" s="66" t="str">
        <f>TEXT(Data[[#This Row],[Buchung]],"MMM")</f>
        <v>Jan</v>
      </c>
      <c r="I2572" s="67">
        <f>YEAR(Data[[#This Row],[Buchung]])</f>
        <v>2022</v>
      </c>
      <c r="J2572" s="2">
        <f>ABS(Data[[#This Row],[Betrag]])</f>
        <v>80</v>
      </c>
      <c r="K2572" s="66" t="str">
        <f>IF(Data[[#This Row],[Betrag]]&lt;0,"A","E")</f>
        <v>A</v>
      </c>
    </row>
    <row r="2573" spans="1:11" x14ac:dyDescent="0.25">
      <c r="A2573" s="1">
        <v>44576</v>
      </c>
      <c r="B2573" s="66" t="s">
        <v>67</v>
      </c>
      <c r="C2573" s="66" t="s">
        <v>59</v>
      </c>
      <c r="D2573" t="s">
        <v>68</v>
      </c>
      <c r="E2573">
        <v>-30</v>
      </c>
      <c r="F2573" s="66" t="s">
        <v>7</v>
      </c>
      <c r="G2573" s="66" t="s">
        <v>10</v>
      </c>
      <c r="H2573" s="66" t="str">
        <f>TEXT(Data[[#This Row],[Buchung]],"MMM")</f>
        <v>Jan</v>
      </c>
      <c r="I2573" s="67">
        <f>YEAR(Data[[#This Row],[Buchung]])</f>
        <v>2022</v>
      </c>
      <c r="J2573" s="2">
        <f>ABS(Data[[#This Row],[Betrag]])</f>
        <v>30</v>
      </c>
      <c r="K2573" s="66" t="str">
        <f>IF(Data[[#This Row],[Betrag]]&lt;0,"A","E")</f>
        <v>A</v>
      </c>
    </row>
    <row r="2574" spans="1:11" x14ac:dyDescent="0.25">
      <c r="A2574" s="1">
        <v>44577</v>
      </c>
      <c r="B2574" s="66" t="s">
        <v>45</v>
      </c>
      <c r="C2574" s="66" t="s">
        <v>46</v>
      </c>
      <c r="D2574" t="s">
        <v>47</v>
      </c>
      <c r="E2574">
        <v>1000</v>
      </c>
      <c r="F2574" s="66" t="s">
        <v>7</v>
      </c>
      <c r="G2574" s="66" t="s">
        <v>9</v>
      </c>
      <c r="H2574" s="66" t="str">
        <f>TEXT(Data[[#This Row],[Buchung]],"MMM")</f>
        <v>Jan</v>
      </c>
      <c r="I2574" s="67">
        <f>YEAR(Data[[#This Row],[Buchung]])</f>
        <v>2022</v>
      </c>
      <c r="J2574" s="2">
        <f>ABS(Data[[#This Row],[Betrag]])</f>
        <v>1000</v>
      </c>
      <c r="K2574" s="66" t="str">
        <f>IF(Data[[#This Row],[Betrag]]&lt;0,"A","E")</f>
        <v>E</v>
      </c>
    </row>
    <row r="2575" spans="1:11" x14ac:dyDescent="0.25">
      <c r="A2575" s="1">
        <v>44578</v>
      </c>
      <c r="B2575" s="66" t="s">
        <v>48</v>
      </c>
      <c r="C2575" s="66" t="s">
        <v>49</v>
      </c>
      <c r="D2575" t="s">
        <v>50</v>
      </c>
      <c r="E2575">
        <v>-15</v>
      </c>
      <c r="F2575" s="66" t="s">
        <v>7</v>
      </c>
      <c r="G2575" s="66" t="s">
        <v>8</v>
      </c>
      <c r="H2575" s="66" t="str">
        <f>TEXT(Data[[#This Row],[Buchung]],"MMM")</f>
        <v>Jan</v>
      </c>
      <c r="I2575" s="67">
        <f>YEAR(Data[[#This Row],[Buchung]])</f>
        <v>2022</v>
      </c>
      <c r="J2575" s="2">
        <f>ABS(Data[[#This Row],[Betrag]])</f>
        <v>15</v>
      </c>
      <c r="K2575" s="66" t="str">
        <f>IF(Data[[#This Row],[Betrag]]&lt;0,"A","E")</f>
        <v>A</v>
      </c>
    </row>
    <row r="2576" spans="1:11" x14ac:dyDescent="0.25">
      <c r="A2576" s="1">
        <v>44579</v>
      </c>
      <c r="B2576" s="66" t="s">
        <v>51</v>
      </c>
      <c r="C2576" s="66" t="s">
        <v>52</v>
      </c>
      <c r="D2576" t="s">
        <v>53</v>
      </c>
      <c r="E2576">
        <v>-350</v>
      </c>
      <c r="F2576" s="66" t="s">
        <v>7</v>
      </c>
      <c r="G2576" s="66" t="s">
        <v>11</v>
      </c>
      <c r="H2576" s="66" t="str">
        <f>TEXT(Data[[#This Row],[Buchung]],"MMM")</f>
        <v>Jan</v>
      </c>
      <c r="I2576" s="67">
        <f>YEAR(Data[[#This Row],[Buchung]])</f>
        <v>2022</v>
      </c>
      <c r="J2576" s="2">
        <f>ABS(Data[[#This Row],[Betrag]])</f>
        <v>350</v>
      </c>
      <c r="K2576" s="66" t="str">
        <f>IF(Data[[#This Row],[Betrag]]&lt;0,"A","E")</f>
        <v>A</v>
      </c>
    </row>
    <row r="2577" spans="1:11" x14ac:dyDescent="0.25">
      <c r="A2577" s="1">
        <v>44580</v>
      </c>
      <c r="B2577" s="66" t="s">
        <v>54</v>
      </c>
      <c r="C2577" s="66" t="s">
        <v>55</v>
      </c>
      <c r="D2577" t="s">
        <v>56</v>
      </c>
      <c r="E2577">
        <v>-120</v>
      </c>
      <c r="F2577" s="66" t="s">
        <v>7</v>
      </c>
      <c r="G2577" s="66" t="s">
        <v>57</v>
      </c>
      <c r="H2577" s="66" t="str">
        <f>TEXT(Data[[#This Row],[Buchung]],"MMM")</f>
        <v>Jan</v>
      </c>
      <c r="I2577" s="67">
        <f>YEAR(Data[[#This Row],[Buchung]])</f>
        <v>2022</v>
      </c>
      <c r="J2577" s="2">
        <f>ABS(Data[[#This Row],[Betrag]])</f>
        <v>120</v>
      </c>
      <c r="K2577" s="66" t="str">
        <f>IF(Data[[#This Row],[Betrag]]&lt;0,"A","E")</f>
        <v>A</v>
      </c>
    </row>
    <row r="2578" spans="1:11" x14ac:dyDescent="0.25">
      <c r="A2578" s="1">
        <v>44581</v>
      </c>
      <c r="B2578" s="66" t="s">
        <v>58</v>
      </c>
      <c r="C2578" s="66" t="s">
        <v>59</v>
      </c>
      <c r="D2578" t="s">
        <v>60</v>
      </c>
      <c r="E2578">
        <v>-80</v>
      </c>
      <c r="F2578" s="66" t="s">
        <v>7</v>
      </c>
      <c r="G2578" s="66" t="s">
        <v>10</v>
      </c>
      <c r="H2578" s="66" t="str">
        <f>TEXT(Data[[#This Row],[Buchung]],"MMM")</f>
        <v>Jan</v>
      </c>
      <c r="I2578" s="67">
        <f>YEAR(Data[[#This Row],[Buchung]])</f>
        <v>2022</v>
      </c>
      <c r="J2578" s="2">
        <f>ABS(Data[[#This Row],[Betrag]])</f>
        <v>80</v>
      </c>
      <c r="K2578" s="66" t="str">
        <f>IF(Data[[#This Row],[Betrag]]&lt;0,"A","E")</f>
        <v>A</v>
      </c>
    </row>
    <row r="2579" spans="1:11" x14ac:dyDescent="0.25">
      <c r="A2579" s="1">
        <v>44582</v>
      </c>
      <c r="B2579" s="66" t="s">
        <v>45</v>
      </c>
      <c r="C2579" s="66" t="s">
        <v>46</v>
      </c>
      <c r="D2579" t="s">
        <v>47</v>
      </c>
      <c r="E2579">
        <v>1000</v>
      </c>
      <c r="F2579" s="66" t="s">
        <v>7</v>
      </c>
      <c r="G2579" s="66" t="s">
        <v>9</v>
      </c>
      <c r="H2579" s="66" t="str">
        <f>TEXT(Data[[#This Row],[Buchung]],"MMM")</f>
        <v>Jan</v>
      </c>
      <c r="I2579" s="67">
        <f>YEAR(Data[[#This Row],[Buchung]])</f>
        <v>2022</v>
      </c>
      <c r="J2579" s="2">
        <f>ABS(Data[[#This Row],[Betrag]])</f>
        <v>1000</v>
      </c>
      <c r="K2579" s="66" t="str">
        <f>IF(Data[[#This Row],[Betrag]]&lt;0,"A","E")</f>
        <v>E</v>
      </c>
    </row>
    <row r="2580" spans="1:11" x14ac:dyDescent="0.25">
      <c r="A2580" s="1">
        <v>44583</v>
      </c>
      <c r="B2580" s="66" t="s">
        <v>61</v>
      </c>
      <c r="C2580" s="66" t="s">
        <v>49</v>
      </c>
      <c r="D2580" t="s">
        <v>62</v>
      </c>
      <c r="E2580">
        <v>-10</v>
      </c>
      <c r="F2580" s="66" t="s">
        <v>7</v>
      </c>
      <c r="G2580" s="66" t="s">
        <v>8</v>
      </c>
      <c r="H2580" s="66" t="str">
        <f>TEXT(Data[[#This Row],[Buchung]],"MMM")</f>
        <v>Jan</v>
      </c>
      <c r="I2580" s="67">
        <f>YEAR(Data[[#This Row],[Buchung]])</f>
        <v>2022</v>
      </c>
      <c r="J2580" s="2">
        <f>ABS(Data[[#This Row],[Betrag]])</f>
        <v>10</v>
      </c>
      <c r="K2580" s="66" t="str">
        <f>IF(Data[[#This Row],[Betrag]]&lt;0,"A","E")</f>
        <v>A</v>
      </c>
    </row>
    <row r="2581" spans="1:11" x14ac:dyDescent="0.25">
      <c r="A2581" s="1">
        <v>44584</v>
      </c>
      <c r="B2581" s="66" t="s">
        <v>63</v>
      </c>
      <c r="C2581" s="66" t="s">
        <v>64</v>
      </c>
      <c r="D2581" t="s">
        <v>65</v>
      </c>
      <c r="E2581">
        <v>-65</v>
      </c>
      <c r="F2581" s="66" t="s">
        <v>7</v>
      </c>
      <c r="G2581" s="66" t="s">
        <v>11</v>
      </c>
      <c r="H2581" s="66" t="str">
        <f>TEXT(Data[[#This Row],[Buchung]],"MMM")</f>
        <v>Jan</v>
      </c>
      <c r="I2581" s="67">
        <f>YEAR(Data[[#This Row],[Buchung]])</f>
        <v>2022</v>
      </c>
      <c r="J2581" s="2">
        <f>ABS(Data[[#This Row],[Betrag]])</f>
        <v>65</v>
      </c>
      <c r="K2581" s="66" t="str">
        <f>IF(Data[[#This Row],[Betrag]]&lt;0,"A","E")</f>
        <v>A</v>
      </c>
    </row>
    <row r="2582" spans="1:11" x14ac:dyDescent="0.25">
      <c r="A2582" s="1">
        <v>44585</v>
      </c>
      <c r="B2582" s="66" t="s">
        <v>54</v>
      </c>
      <c r="C2582" s="66" t="s">
        <v>55</v>
      </c>
      <c r="D2582" t="s">
        <v>66</v>
      </c>
      <c r="E2582">
        <v>-80</v>
      </c>
      <c r="F2582" s="66" t="s">
        <v>7</v>
      </c>
      <c r="G2582" s="66" t="s">
        <v>57</v>
      </c>
      <c r="H2582" s="66" t="str">
        <f>TEXT(Data[[#This Row],[Buchung]],"MMM")</f>
        <v>Jan</v>
      </c>
      <c r="I2582" s="67">
        <f>YEAR(Data[[#This Row],[Buchung]])</f>
        <v>2022</v>
      </c>
      <c r="J2582" s="2">
        <f>ABS(Data[[#This Row],[Betrag]])</f>
        <v>80</v>
      </c>
      <c r="K2582" s="66" t="str">
        <f>IF(Data[[#This Row],[Betrag]]&lt;0,"A","E")</f>
        <v>A</v>
      </c>
    </row>
    <row r="2583" spans="1:11" x14ac:dyDescent="0.25">
      <c r="A2583" s="1">
        <v>44586</v>
      </c>
      <c r="B2583" s="66" t="s">
        <v>67</v>
      </c>
      <c r="C2583" s="66" t="s">
        <v>59</v>
      </c>
      <c r="D2583" t="s">
        <v>68</v>
      </c>
      <c r="E2583">
        <v>-35</v>
      </c>
      <c r="F2583" s="66" t="s">
        <v>7</v>
      </c>
      <c r="G2583" s="66" t="s">
        <v>10</v>
      </c>
      <c r="H2583" s="66" t="str">
        <f>TEXT(Data[[#This Row],[Buchung]],"MMM")</f>
        <v>Jan</v>
      </c>
      <c r="I2583" s="67">
        <f>YEAR(Data[[#This Row],[Buchung]])</f>
        <v>2022</v>
      </c>
      <c r="J2583" s="2">
        <f>ABS(Data[[#This Row],[Betrag]])</f>
        <v>35</v>
      </c>
      <c r="K2583" s="66" t="str">
        <f>IF(Data[[#This Row],[Betrag]]&lt;0,"A","E")</f>
        <v>A</v>
      </c>
    </row>
    <row r="2584" spans="1:11" x14ac:dyDescent="0.25">
      <c r="A2584" s="1">
        <v>44587</v>
      </c>
      <c r="B2584" s="66" t="s">
        <v>45</v>
      </c>
      <c r="C2584" s="66" t="s">
        <v>46</v>
      </c>
      <c r="D2584" t="s">
        <v>47</v>
      </c>
      <c r="E2584">
        <v>1000</v>
      </c>
      <c r="F2584" s="66" t="s">
        <v>7</v>
      </c>
      <c r="G2584" s="66" t="s">
        <v>9</v>
      </c>
      <c r="H2584" s="66" t="str">
        <f>TEXT(Data[[#This Row],[Buchung]],"MMM")</f>
        <v>Jan</v>
      </c>
      <c r="I2584" s="67">
        <f>YEAR(Data[[#This Row],[Buchung]])</f>
        <v>2022</v>
      </c>
      <c r="J2584" s="2">
        <f>ABS(Data[[#This Row],[Betrag]])</f>
        <v>1000</v>
      </c>
      <c r="K2584" s="66" t="str">
        <f>IF(Data[[#This Row],[Betrag]]&lt;0,"A","E")</f>
        <v>E</v>
      </c>
    </row>
    <row r="2585" spans="1:11" x14ac:dyDescent="0.25">
      <c r="A2585" s="1">
        <v>44588</v>
      </c>
      <c r="B2585" s="66" t="s">
        <v>45</v>
      </c>
      <c r="C2585" s="66" t="s">
        <v>46</v>
      </c>
      <c r="D2585" t="s">
        <v>47</v>
      </c>
      <c r="E2585">
        <v>1000</v>
      </c>
      <c r="F2585" s="66" t="s">
        <v>7</v>
      </c>
      <c r="G2585" s="66" t="s">
        <v>9</v>
      </c>
      <c r="H2585" s="66" t="str">
        <f>TEXT(Data[[#This Row],[Buchung]],"MMM")</f>
        <v>Jan</v>
      </c>
      <c r="I2585" s="67">
        <f>YEAR(Data[[#This Row],[Buchung]])</f>
        <v>2022</v>
      </c>
      <c r="J2585" s="2">
        <f>ABS(Data[[#This Row],[Betrag]])</f>
        <v>1000</v>
      </c>
      <c r="K2585" s="66" t="str">
        <f>IF(Data[[#This Row],[Betrag]]&lt;0,"A","E")</f>
        <v>E</v>
      </c>
    </row>
    <row r="2586" spans="1:11" x14ac:dyDescent="0.25">
      <c r="A2586" s="1">
        <v>44589</v>
      </c>
      <c r="B2586" s="66" t="s">
        <v>48</v>
      </c>
      <c r="C2586" s="66" t="s">
        <v>49</v>
      </c>
      <c r="D2586" t="s">
        <v>50</v>
      </c>
      <c r="E2586">
        <v>-15</v>
      </c>
      <c r="F2586" s="66" t="s">
        <v>7</v>
      </c>
      <c r="G2586" s="66" t="s">
        <v>8</v>
      </c>
      <c r="H2586" s="66" t="str">
        <f>TEXT(Data[[#This Row],[Buchung]],"MMM")</f>
        <v>Jan</v>
      </c>
      <c r="I2586" s="67">
        <f>YEAR(Data[[#This Row],[Buchung]])</f>
        <v>2022</v>
      </c>
      <c r="J2586" s="2">
        <f>ABS(Data[[#This Row],[Betrag]])</f>
        <v>15</v>
      </c>
      <c r="K2586" s="66" t="str">
        <f>IF(Data[[#This Row],[Betrag]]&lt;0,"A","E")</f>
        <v>A</v>
      </c>
    </row>
    <row r="2587" spans="1:11" x14ac:dyDescent="0.25">
      <c r="A2587" s="1">
        <v>44590</v>
      </c>
      <c r="B2587" s="66" t="s">
        <v>51</v>
      </c>
      <c r="C2587" s="66" t="s">
        <v>52</v>
      </c>
      <c r="D2587" t="s">
        <v>53</v>
      </c>
      <c r="E2587">
        <v>-350</v>
      </c>
      <c r="F2587" s="66" t="s">
        <v>7</v>
      </c>
      <c r="G2587" s="66" t="s">
        <v>11</v>
      </c>
      <c r="H2587" s="66" t="str">
        <f>TEXT(Data[[#This Row],[Buchung]],"MMM")</f>
        <v>Jan</v>
      </c>
      <c r="I2587" s="67">
        <f>YEAR(Data[[#This Row],[Buchung]])</f>
        <v>2022</v>
      </c>
      <c r="J2587" s="2">
        <f>ABS(Data[[#This Row],[Betrag]])</f>
        <v>350</v>
      </c>
      <c r="K2587" s="66" t="str">
        <f>IF(Data[[#This Row],[Betrag]]&lt;0,"A","E")</f>
        <v>A</v>
      </c>
    </row>
    <row r="2588" spans="1:11" x14ac:dyDescent="0.25">
      <c r="A2588" s="1">
        <v>44591</v>
      </c>
      <c r="B2588" s="66" t="s">
        <v>54</v>
      </c>
      <c r="C2588" s="66" t="s">
        <v>55</v>
      </c>
      <c r="D2588" t="s">
        <v>56</v>
      </c>
      <c r="E2588">
        <v>-120</v>
      </c>
      <c r="F2588" s="66" t="s">
        <v>7</v>
      </c>
      <c r="G2588" s="66" t="s">
        <v>57</v>
      </c>
      <c r="H2588" s="66" t="str">
        <f>TEXT(Data[[#This Row],[Buchung]],"MMM")</f>
        <v>Jan</v>
      </c>
      <c r="I2588" s="67">
        <f>YEAR(Data[[#This Row],[Buchung]])</f>
        <v>2022</v>
      </c>
      <c r="J2588" s="2">
        <f>ABS(Data[[#This Row],[Betrag]])</f>
        <v>120</v>
      </c>
      <c r="K2588" s="66" t="str">
        <f>IF(Data[[#This Row],[Betrag]]&lt;0,"A","E")</f>
        <v>A</v>
      </c>
    </row>
    <row r="2589" spans="1:11" x14ac:dyDescent="0.25">
      <c r="A2589" s="1">
        <v>44592</v>
      </c>
      <c r="B2589" s="66" t="s">
        <v>58</v>
      </c>
      <c r="C2589" s="66" t="s">
        <v>59</v>
      </c>
      <c r="D2589" t="s">
        <v>60</v>
      </c>
      <c r="E2589">
        <v>-50</v>
      </c>
      <c r="F2589" s="66" t="s">
        <v>7</v>
      </c>
      <c r="G2589" s="66" t="s">
        <v>10</v>
      </c>
      <c r="H2589" s="66" t="str">
        <f>TEXT(Data[[#This Row],[Buchung]],"MMM")</f>
        <v>Jan</v>
      </c>
      <c r="I2589" s="67">
        <f>YEAR(Data[[#This Row],[Buchung]])</f>
        <v>2022</v>
      </c>
      <c r="J2589" s="2">
        <f>ABS(Data[[#This Row],[Betrag]])</f>
        <v>50</v>
      </c>
      <c r="K2589" s="66" t="str">
        <f>IF(Data[[#This Row],[Betrag]]&lt;0,"A","E")</f>
        <v>A</v>
      </c>
    </row>
    <row r="2590" spans="1:11" x14ac:dyDescent="0.25">
      <c r="A2590" s="1">
        <v>44593</v>
      </c>
      <c r="B2590" s="66" t="s">
        <v>45</v>
      </c>
      <c r="C2590" s="66" t="s">
        <v>46</v>
      </c>
      <c r="D2590" t="s">
        <v>47</v>
      </c>
      <c r="E2590">
        <v>1000</v>
      </c>
      <c r="F2590" s="66" t="s">
        <v>7</v>
      </c>
      <c r="G2590" s="66" t="s">
        <v>9</v>
      </c>
      <c r="H2590" s="66" t="str">
        <f>TEXT(Data[[#This Row],[Buchung]],"MMM")</f>
        <v>Feb</v>
      </c>
      <c r="I2590" s="67">
        <f>YEAR(Data[[#This Row],[Buchung]])</f>
        <v>2022</v>
      </c>
      <c r="J2590" s="2">
        <f>ABS(Data[[#This Row],[Betrag]])</f>
        <v>1000</v>
      </c>
      <c r="K2590" s="66" t="str">
        <f>IF(Data[[#This Row],[Betrag]]&lt;0,"A","E")</f>
        <v>E</v>
      </c>
    </row>
    <row r="2591" spans="1:11" x14ac:dyDescent="0.25">
      <c r="A2591" s="1">
        <v>44594</v>
      </c>
      <c r="B2591" s="66" t="s">
        <v>61</v>
      </c>
      <c r="C2591" s="66" t="s">
        <v>49</v>
      </c>
      <c r="D2591" t="s">
        <v>62</v>
      </c>
      <c r="E2591">
        <v>-10</v>
      </c>
      <c r="F2591" s="66" t="s">
        <v>7</v>
      </c>
      <c r="G2591" s="66" t="s">
        <v>8</v>
      </c>
      <c r="H2591" s="66" t="str">
        <f>TEXT(Data[[#This Row],[Buchung]],"MMM")</f>
        <v>Feb</v>
      </c>
      <c r="I2591" s="67">
        <f>YEAR(Data[[#This Row],[Buchung]])</f>
        <v>2022</v>
      </c>
      <c r="J2591" s="2">
        <f>ABS(Data[[#This Row],[Betrag]])</f>
        <v>10</v>
      </c>
      <c r="K2591" s="66" t="str">
        <f>IF(Data[[#This Row],[Betrag]]&lt;0,"A","E")</f>
        <v>A</v>
      </c>
    </row>
    <row r="2592" spans="1:11" x14ac:dyDescent="0.25">
      <c r="A2592" s="1">
        <v>44595</v>
      </c>
      <c r="B2592" s="66" t="s">
        <v>63</v>
      </c>
      <c r="C2592" s="66" t="s">
        <v>64</v>
      </c>
      <c r="D2592" t="s">
        <v>65</v>
      </c>
      <c r="E2592">
        <v>-60</v>
      </c>
      <c r="F2592" s="66" t="s">
        <v>7</v>
      </c>
      <c r="G2592" s="66" t="s">
        <v>11</v>
      </c>
      <c r="H2592" s="66" t="str">
        <f>TEXT(Data[[#This Row],[Buchung]],"MMM")</f>
        <v>Feb</v>
      </c>
      <c r="I2592" s="67">
        <f>YEAR(Data[[#This Row],[Buchung]])</f>
        <v>2022</v>
      </c>
      <c r="J2592" s="2">
        <f>ABS(Data[[#This Row],[Betrag]])</f>
        <v>60</v>
      </c>
      <c r="K2592" s="66" t="str">
        <f>IF(Data[[#This Row],[Betrag]]&lt;0,"A","E")</f>
        <v>A</v>
      </c>
    </row>
    <row r="2593" spans="1:11" x14ac:dyDescent="0.25">
      <c r="A2593" s="1">
        <v>44596</v>
      </c>
      <c r="B2593" s="66" t="s">
        <v>54</v>
      </c>
      <c r="C2593" s="66" t="s">
        <v>55</v>
      </c>
      <c r="D2593" t="s">
        <v>66</v>
      </c>
      <c r="E2593">
        <v>-80</v>
      </c>
      <c r="F2593" s="66" t="s">
        <v>7</v>
      </c>
      <c r="G2593" s="66" t="s">
        <v>57</v>
      </c>
      <c r="H2593" s="66" t="str">
        <f>TEXT(Data[[#This Row],[Buchung]],"MMM")</f>
        <v>Feb</v>
      </c>
      <c r="I2593" s="67">
        <f>YEAR(Data[[#This Row],[Buchung]])</f>
        <v>2022</v>
      </c>
      <c r="J2593" s="2">
        <f>ABS(Data[[#This Row],[Betrag]])</f>
        <v>80</v>
      </c>
      <c r="K2593" s="66" t="str">
        <f>IF(Data[[#This Row],[Betrag]]&lt;0,"A","E")</f>
        <v>A</v>
      </c>
    </row>
    <row r="2594" spans="1:11" x14ac:dyDescent="0.25">
      <c r="A2594" s="1">
        <v>44597</v>
      </c>
      <c r="B2594" s="66" t="s">
        <v>67</v>
      </c>
      <c r="C2594" s="66" t="s">
        <v>59</v>
      </c>
      <c r="D2594" t="s">
        <v>68</v>
      </c>
      <c r="E2594">
        <v>-20</v>
      </c>
      <c r="F2594" s="66" t="s">
        <v>7</v>
      </c>
      <c r="G2594" s="66" t="s">
        <v>10</v>
      </c>
      <c r="H2594" s="66" t="str">
        <f>TEXT(Data[[#This Row],[Buchung]],"MMM")</f>
        <v>Feb</v>
      </c>
      <c r="I2594" s="67">
        <f>YEAR(Data[[#This Row],[Buchung]])</f>
        <v>2022</v>
      </c>
      <c r="J2594" s="2">
        <f>ABS(Data[[#This Row],[Betrag]])</f>
        <v>20</v>
      </c>
      <c r="K2594" s="66" t="str">
        <f>IF(Data[[#This Row],[Betrag]]&lt;0,"A","E")</f>
        <v>A</v>
      </c>
    </row>
    <row r="2595" spans="1:11" x14ac:dyDescent="0.25">
      <c r="A2595" s="1">
        <v>44598</v>
      </c>
      <c r="B2595" s="66" t="s">
        <v>45</v>
      </c>
      <c r="C2595" s="66" t="s">
        <v>46</v>
      </c>
      <c r="D2595" t="s">
        <v>47</v>
      </c>
      <c r="E2595">
        <v>1000</v>
      </c>
      <c r="F2595" s="66" t="s">
        <v>7</v>
      </c>
      <c r="G2595" s="66" t="s">
        <v>9</v>
      </c>
      <c r="H2595" s="66" t="str">
        <f>TEXT(Data[[#This Row],[Buchung]],"MMM")</f>
        <v>Feb</v>
      </c>
      <c r="I2595" s="67">
        <f>YEAR(Data[[#This Row],[Buchung]])</f>
        <v>2022</v>
      </c>
      <c r="J2595" s="2">
        <f>ABS(Data[[#This Row],[Betrag]])</f>
        <v>1000</v>
      </c>
      <c r="K2595" s="66" t="str">
        <f>IF(Data[[#This Row],[Betrag]]&lt;0,"A","E")</f>
        <v>E</v>
      </c>
    </row>
    <row r="2596" spans="1:11" x14ac:dyDescent="0.25">
      <c r="A2596" s="1">
        <v>44599</v>
      </c>
      <c r="B2596" s="66" t="s">
        <v>48</v>
      </c>
      <c r="C2596" s="66" t="s">
        <v>49</v>
      </c>
      <c r="D2596" t="s">
        <v>50</v>
      </c>
      <c r="E2596">
        <v>-15</v>
      </c>
      <c r="F2596" s="66" t="s">
        <v>7</v>
      </c>
      <c r="G2596" s="66" t="s">
        <v>8</v>
      </c>
      <c r="H2596" s="66" t="str">
        <f>TEXT(Data[[#This Row],[Buchung]],"MMM")</f>
        <v>Feb</v>
      </c>
      <c r="I2596" s="67">
        <f>YEAR(Data[[#This Row],[Buchung]])</f>
        <v>2022</v>
      </c>
      <c r="J2596" s="2">
        <f>ABS(Data[[#This Row],[Betrag]])</f>
        <v>15</v>
      </c>
      <c r="K2596" s="66" t="str">
        <f>IF(Data[[#This Row],[Betrag]]&lt;0,"A","E")</f>
        <v>A</v>
      </c>
    </row>
    <row r="2597" spans="1:11" x14ac:dyDescent="0.25">
      <c r="A2597" s="1">
        <v>44600</v>
      </c>
      <c r="B2597" s="66" t="s">
        <v>51</v>
      </c>
      <c r="C2597" s="66" t="s">
        <v>52</v>
      </c>
      <c r="D2597" t="s">
        <v>53</v>
      </c>
      <c r="E2597">
        <v>-350</v>
      </c>
      <c r="F2597" s="66" t="s">
        <v>7</v>
      </c>
      <c r="G2597" s="66" t="s">
        <v>11</v>
      </c>
      <c r="H2597" s="66" t="str">
        <f>TEXT(Data[[#This Row],[Buchung]],"MMM")</f>
        <v>Feb</v>
      </c>
      <c r="I2597" s="67">
        <f>YEAR(Data[[#This Row],[Buchung]])</f>
        <v>2022</v>
      </c>
      <c r="J2597" s="2">
        <f>ABS(Data[[#This Row],[Betrag]])</f>
        <v>350</v>
      </c>
      <c r="K2597" s="66" t="str">
        <f>IF(Data[[#This Row],[Betrag]]&lt;0,"A","E")</f>
        <v>A</v>
      </c>
    </row>
    <row r="2598" spans="1:11" x14ac:dyDescent="0.25">
      <c r="A2598" s="1">
        <v>44601</v>
      </c>
      <c r="B2598" s="66" t="s">
        <v>54</v>
      </c>
      <c r="C2598" s="66" t="s">
        <v>55</v>
      </c>
      <c r="D2598" t="s">
        <v>56</v>
      </c>
      <c r="E2598">
        <v>-120</v>
      </c>
      <c r="F2598" s="66" t="s">
        <v>7</v>
      </c>
      <c r="G2598" s="66" t="s">
        <v>57</v>
      </c>
      <c r="H2598" s="66" t="str">
        <f>TEXT(Data[[#This Row],[Buchung]],"MMM")</f>
        <v>Feb</v>
      </c>
      <c r="I2598" s="67">
        <f>YEAR(Data[[#This Row],[Buchung]])</f>
        <v>2022</v>
      </c>
      <c r="J2598" s="2">
        <f>ABS(Data[[#This Row],[Betrag]])</f>
        <v>120</v>
      </c>
      <c r="K2598" s="66" t="str">
        <f>IF(Data[[#This Row],[Betrag]]&lt;0,"A","E")</f>
        <v>A</v>
      </c>
    </row>
    <row r="2599" spans="1:11" x14ac:dyDescent="0.25">
      <c r="A2599" s="1">
        <v>44602</v>
      </c>
      <c r="B2599" s="66" t="s">
        <v>58</v>
      </c>
      <c r="C2599" s="66" t="s">
        <v>59</v>
      </c>
      <c r="D2599" t="s">
        <v>60</v>
      </c>
      <c r="E2599">
        <v>-60</v>
      </c>
      <c r="F2599" s="66" t="s">
        <v>7</v>
      </c>
      <c r="G2599" s="66" t="s">
        <v>10</v>
      </c>
      <c r="H2599" s="66" t="str">
        <f>TEXT(Data[[#This Row],[Buchung]],"MMM")</f>
        <v>Feb</v>
      </c>
      <c r="I2599" s="67">
        <f>YEAR(Data[[#This Row],[Buchung]])</f>
        <v>2022</v>
      </c>
      <c r="J2599" s="2">
        <f>ABS(Data[[#This Row],[Betrag]])</f>
        <v>60</v>
      </c>
      <c r="K2599" s="66" t="str">
        <f>IF(Data[[#This Row],[Betrag]]&lt;0,"A","E")</f>
        <v>A</v>
      </c>
    </row>
    <row r="2600" spans="1:11" x14ac:dyDescent="0.25">
      <c r="A2600" s="1">
        <v>44603</v>
      </c>
      <c r="B2600" s="66" t="s">
        <v>45</v>
      </c>
      <c r="C2600" s="66" t="s">
        <v>46</v>
      </c>
      <c r="D2600" t="s">
        <v>47</v>
      </c>
      <c r="E2600">
        <v>1000</v>
      </c>
      <c r="F2600" s="66" t="s">
        <v>7</v>
      </c>
      <c r="G2600" s="66" t="s">
        <v>9</v>
      </c>
      <c r="H2600" s="66" t="str">
        <f>TEXT(Data[[#This Row],[Buchung]],"MMM")</f>
        <v>Feb</v>
      </c>
      <c r="I2600" s="67">
        <f>YEAR(Data[[#This Row],[Buchung]])</f>
        <v>2022</v>
      </c>
      <c r="J2600" s="2">
        <f>ABS(Data[[#This Row],[Betrag]])</f>
        <v>1000</v>
      </c>
      <c r="K2600" s="66" t="str">
        <f>IF(Data[[#This Row],[Betrag]]&lt;0,"A","E")</f>
        <v>E</v>
      </c>
    </row>
    <row r="2601" spans="1:11" x14ac:dyDescent="0.25">
      <c r="A2601" s="1">
        <v>44604</v>
      </c>
      <c r="B2601" s="66" t="s">
        <v>61</v>
      </c>
      <c r="C2601" s="66" t="s">
        <v>49</v>
      </c>
      <c r="D2601" t="s">
        <v>62</v>
      </c>
      <c r="E2601">
        <v>-10</v>
      </c>
      <c r="F2601" s="66" t="s">
        <v>7</v>
      </c>
      <c r="G2601" s="66" t="s">
        <v>8</v>
      </c>
      <c r="H2601" s="66" t="str">
        <f>TEXT(Data[[#This Row],[Buchung]],"MMM")</f>
        <v>Feb</v>
      </c>
      <c r="I2601" s="67">
        <f>YEAR(Data[[#This Row],[Buchung]])</f>
        <v>2022</v>
      </c>
      <c r="J2601" s="2">
        <f>ABS(Data[[#This Row],[Betrag]])</f>
        <v>10</v>
      </c>
      <c r="K2601" s="66" t="str">
        <f>IF(Data[[#This Row],[Betrag]]&lt;0,"A","E")</f>
        <v>A</v>
      </c>
    </row>
    <row r="2602" spans="1:11" x14ac:dyDescent="0.25">
      <c r="A2602" s="1">
        <v>44605</v>
      </c>
      <c r="B2602" s="66" t="s">
        <v>63</v>
      </c>
      <c r="C2602" s="66" t="s">
        <v>64</v>
      </c>
      <c r="D2602" t="s">
        <v>65</v>
      </c>
      <c r="E2602">
        <v>-70</v>
      </c>
      <c r="F2602" s="66" t="s">
        <v>7</v>
      </c>
      <c r="G2602" s="66" t="s">
        <v>11</v>
      </c>
      <c r="H2602" s="66" t="str">
        <f>TEXT(Data[[#This Row],[Buchung]],"MMM")</f>
        <v>Feb</v>
      </c>
      <c r="I2602" s="67">
        <f>YEAR(Data[[#This Row],[Buchung]])</f>
        <v>2022</v>
      </c>
      <c r="J2602" s="2">
        <f>ABS(Data[[#This Row],[Betrag]])</f>
        <v>70</v>
      </c>
      <c r="K2602" s="66" t="str">
        <f>IF(Data[[#This Row],[Betrag]]&lt;0,"A","E")</f>
        <v>A</v>
      </c>
    </row>
    <row r="2603" spans="1:11" x14ac:dyDescent="0.25">
      <c r="A2603" s="1">
        <v>44606</v>
      </c>
      <c r="B2603" s="66" t="s">
        <v>54</v>
      </c>
      <c r="C2603" s="66" t="s">
        <v>55</v>
      </c>
      <c r="D2603" t="s">
        <v>66</v>
      </c>
      <c r="E2603">
        <v>-80</v>
      </c>
      <c r="F2603" s="66" t="s">
        <v>7</v>
      </c>
      <c r="G2603" s="66" t="s">
        <v>57</v>
      </c>
      <c r="H2603" s="66" t="str">
        <f>TEXT(Data[[#This Row],[Buchung]],"MMM")</f>
        <v>Feb</v>
      </c>
      <c r="I2603" s="67">
        <f>YEAR(Data[[#This Row],[Buchung]])</f>
        <v>2022</v>
      </c>
      <c r="J2603" s="2">
        <f>ABS(Data[[#This Row],[Betrag]])</f>
        <v>80</v>
      </c>
      <c r="K2603" s="66" t="str">
        <f>IF(Data[[#This Row],[Betrag]]&lt;0,"A","E")</f>
        <v>A</v>
      </c>
    </row>
    <row r="2604" spans="1:11" x14ac:dyDescent="0.25">
      <c r="A2604" s="1">
        <v>44607</v>
      </c>
      <c r="B2604" s="66" t="s">
        <v>67</v>
      </c>
      <c r="C2604" s="66" t="s">
        <v>59</v>
      </c>
      <c r="D2604" t="s">
        <v>68</v>
      </c>
      <c r="E2604">
        <v>-25</v>
      </c>
      <c r="F2604" s="66" t="s">
        <v>7</v>
      </c>
      <c r="G2604" s="66" t="s">
        <v>10</v>
      </c>
      <c r="H2604" s="66" t="str">
        <f>TEXT(Data[[#This Row],[Buchung]],"MMM")</f>
        <v>Feb</v>
      </c>
      <c r="I2604" s="67">
        <f>YEAR(Data[[#This Row],[Buchung]])</f>
        <v>2022</v>
      </c>
      <c r="J2604" s="2">
        <f>ABS(Data[[#This Row],[Betrag]])</f>
        <v>25</v>
      </c>
      <c r="K2604" s="66" t="str">
        <f>IF(Data[[#This Row],[Betrag]]&lt;0,"A","E")</f>
        <v>A</v>
      </c>
    </row>
    <row r="2605" spans="1:11" x14ac:dyDescent="0.25">
      <c r="A2605" s="1">
        <v>44608</v>
      </c>
      <c r="B2605" s="66" t="s">
        <v>45</v>
      </c>
      <c r="C2605" s="66" t="s">
        <v>46</v>
      </c>
      <c r="D2605" t="s">
        <v>47</v>
      </c>
      <c r="E2605">
        <v>1000</v>
      </c>
      <c r="F2605" s="66" t="s">
        <v>7</v>
      </c>
      <c r="G2605" s="66" t="s">
        <v>9</v>
      </c>
      <c r="H2605" s="66" t="str">
        <f>TEXT(Data[[#This Row],[Buchung]],"MMM")</f>
        <v>Feb</v>
      </c>
      <c r="I2605" s="67">
        <f>YEAR(Data[[#This Row],[Buchung]])</f>
        <v>2022</v>
      </c>
      <c r="J2605" s="2">
        <f>ABS(Data[[#This Row],[Betrag]])</f>
        <v>1000</v>
      </c>
      <c r="K2605" s="66" t="str">
        <f>IF(Data[[#This Row],[Betrag]]&lt;0,"A","E")</f>
        <v>E</v>
      </c>
    </row>
    <row r="2606" spans="1:11" x14ac:dyDescent="0.25">
      <c r="A2606" s="1">
        <v>44609</v>
      </c>
      <c r="B2606" s="66" t="s">
        <v>48</v>
      </c>
      <c r="C2606" s="66" t="s">
        <v>49</v>
      </c>
      <c r="D2606" t="s">
        <v>50</v>
      </c>
      <c r="E2606">
        <v>-15</v>
      </c>
      <c r="F2606" s="66" t="s">
        <v>7</v>
      </c>
      <c r="G2606" s="66" t="s">
        <v>8</v>
      </c>
      <c r="H2606" s="66" t="str">
        <f>TEXT(Data[[#This Row],[Buchung]],"MMM")</f>
        <v>Feb</v>
      </c>
      <c r="I2606" s="67">
        <f>YEAR(Data[[#This Row],[Buchung]])</f>
        <v>2022</v>
      </c>
      <c r="J2606" s="2">
        <f>ABS(Data[[#This Row],[Betrag]])</f>
        <v>15</v>
      </c>
      <c r="K2606" s="66" t="str">
        <f>IF(Data[[#This Row],[Betrag]]&lt;0,"A","E")</f>
        <v>A</v>
      </c>
    </row>
    <row r="2607" spans="1:11" x14ac:dyDescent="0.25">
      <c r="A2607" s="1">
        <v>44610</v>
      </c>
      <c r="B2607" s="66" t="s">
        <v>51</v>
      </c>
      <c r="C2607" s="66" t="s">
        <v>52</v>
      </c>
      <c r="D2607" t="s">
        <v>53</v>
      </c>
      <c r="E2607">
        <v>-350</v>
      </c>
      <c r="F2607" s="66" t="s">
        <v>7</v>
      </c>
      <c r="G2607" s="66" t="s">
        <v>11</v>
      </c>
      <c r="H2607" s="66" t="str">
        <f>TEXT(Data[[#This Row],[Buchung]],"MMM")</f>
        <v>Feb</v>
      </c>
      <c r="I2607" s="67">
        <f>YEAR(Data[[#This Row],[Buchung]])</f>
        <v>2022</v>
      </c>
      <c r="J2607" s="2">
        <f>ABS(Data[[#This Row],[Betrag]])</f>
        <v>350</v>
      </c>
      <c r="K2607" s="66" t="str">
        <f>IF(Data[[#This Row],[Betrag]]&lt;0,"A","E")</f>
        <v>A</v>
      </c>
    </row>
    <row r="2608" spans="1:11" x14ac:dyDescent="0.25">
      <c r="A2608" s="1">
        <v>44611</v>
      </c>
      <c r="B2608" s="66" t="s">
        <v>54</v>
      </c>
      <c r="C2608" s="66" t="s">
        <v>55</v>
      </c>
      <c r="D2608" t="s">
        <v>56</v>
      </c>
      <c r="E2608">
        <v>-120</v>
      </c>
      <c r="F2608" s="66" t="s">
        <v>7</v>
      </c>
      <c r="G2608" s="66" t="s">
        <v>57</v>
      </c>
      <c r="H2608" s="66" t="str">
        <f>TEXT(Data[[#This Row],[Buchung]],"MMM")</f>
        <v>Feb</v>
      </c>
      <c r="I2608" s="67">
        <f>YEAR(Data[[#This Row],[Buchung]])</f>
        <v>2022</v>
      </c>
      <c r="J2608" s="2">
        <f>ABS(Data[[#This Row],[Betrag]])</f>
        <v>120</v>
      </c>
      <c r="K2608" s="66" t="str">
        <f>IF(Data[[#This Row],[Betrag]]&lt;0,"A","E")</f>
        <v>A</v>
      </c>
    </row>
    <row r="2609" spans="1:11" x14ac:dyDescent="0.25">
      <c r="A2609" s="1">
        <v>44612</v>
      </c>
      <c r="B2609" s="66" t="s">
        <v>58</v>
      </c>
      <c r="C2609" s="66" t="s">
        <v>59</v>
      </c>
      <c r="D2609" t="s">
        <v>60</v>
      </c>
      <c r="E2609">
        <v>-70</v>
      </c>
      <c r="F2609" s="66" t="s">
        <v>7</v>
      </c>
      <c r="G2609" s="66" t="s">
        <v>10</v>
      </c>
      <c r="H2609" s="66" t="str">
        <f>TEXT(Data[[#This Row],[Buchung]],"MMM")</f>
        <v>Feb</v>
      </c>
      <c r="I2609" s="67">
        <f>YEAR(Data[[#This Row],[Buchung]])</f>
        <v>2022</v>
      </c>
      <c r="J2609" s="2">
        <f>ABS(Data[[#This Row],[Betrag]])</f>
        <v>70</v>
      </c>
      <c r="K2609" s="66" t="str">
        <f>IF(Data[[#This Row],[Betrag]]&lt;0,"A","E")</f>
        <v>A</v>
      </c>
    </row>
    <row r="2610" spans="1:11" x14ac:dyDescent="0.25">
      <c r="A2610" s="1">
        <v>44613</v>
      </c>
      <c r="B2610" s="66" t="s">
        <v>45</v>
      </c>
      <c r="C2610" s="66" t="s">
        <v>46</v>
      </c>
      <c r="D2610" t="s">
        <v>47</v>
      </c>
      <c r="E2610">
        <v>1000</v>
      </c>
      <c r="F2610" s="66" t="s">
        <v>7</v>
      </c>
      <c r="G2610" s="66" t="s">
        <v>9</v>
      </c>
      <c r="H2610" s="66" t="str">
        <f>TEXT(Data[[#This Row],[Buchung]],"MMM")</f>
        <v>Feb</v>
      </c>
      <c r="I2610" s="67">
        <f>YEAR(Data[[#This Row],[Buchung]])</f>
        <v>2022</v>
      </c>
      <c r="J2610" s="2">
        <f>ABS(Data[[#This Row],[Betrag]])</f>
        <v>1000</v>
      </c>
      <c r="K2610" s="66" t="str">
        <f>IF(Data[[#This Row],[Betrag]]&lt;0,"A","E")</f>
        <v>E</v>
      </c>
    </row>
    <row r="2611" spans="1:11" x14ac:dyDescent="0.25">
      <c r="A2611" s="1">
        <v>44614</v>
      </c>
      <c r="B2611" s="66" t="s">
        <v>61</v>
      </c>
      <c r="C2611" s="66" t="s">
        <v>49</v>
      </c>
      <c r="D2611" t="s">
        <v>62</v>
      </c>
      <c r="E2611">
        <v>-10</v>
      </c>
      <c r="F2611" s="66" t="s">
        <v>7</v>
      </c>
      <c r="G2611" s="66" t="s">
        <v>8</v>
      </c>
      <c r="H2611" s="66" t="str">
        <f>TEXT(Data[[#This Row],[Buchung]],"MMM")</f>
        <v>Feb</v>
      </c>
      <c r="I2611" s="67">
        <f>YEAR(Data[[#This Row],[Buchung]])</f>
        <v>2022</v>
      </c>
      <c r="J2611" s="2">
        <f>ABS(Data[[#This Row],[Betrag]])</f>
        <v>10</v>
      </c>
      <c r="K2611" s="66" t="str">
        <f>IF(Data[[#This Row],[Betrag]]&lt;0,"A","E")</f>
        <v>A</v>
      </c>
    </row>
    <row r="2612" spans="1:11" x14ac:dyDescent="0.25">
      <c r="A2612" s="1">
        <v>44615</v>
      </c>
      <c r="B2612" s="66" t="s">
        <v>63</v>
      </c>
      <c r="C2612" s="66" t="s">
        <v>64</v>
      </c>
      <c r="D2612" t="s">
        <v>65</v>
      </c>
      <c r="E2612">
        <v>-60</v>
      </c>
      <c r="F2612" s="66" t="s">
        <v>7</v>
      </c>
      <c r="G2612" s="66" t="s">
        <v>11</v>
      </c>
      <c r="H2612" s="66" t="str">
        <f>TEXT(Data[[#This Row],[Buchung]],"MMM")</f>
        <v>Feb</v>
      </c>
      <c r="I2612" s="67">
        <f>YEAR(Data[[#This Row],[Buchung]])</f>
        <v>2022</v>
      </c>
      <c r="J2612" s="2">
        <f>ABS(Data[[#This Row],[Betrag]])</f>
        <v>60</v>
      </c>
      <c r="K2612" s="66" t="str">
        <f>IF(Data[[#This Row],[Betrag]]&lt;0,"A","E")</f>
        <v>A</v>
      </c>
    </row>
    <row r="2613" spans="1:11" x14ac:dyDescent="0.25">
      <c r="A2613" s="1">
        <v>44616</v>
      </c>
      <c r="B2613" s="66" t="s">
        <v>54</v>
      </c>
      <c r="C2613" s="66" t="s">
        <v>55</v>
      </c>
      <c r="D2613" t="s">
        <v>66</v>
      </c>
      <c r="E2613">
        <v>-80</v>
      </c>
      <c r="F2613" s="66" t="s">
        <v>7</v>
      </c>
      <c r="G2613" s="66" t="s">
        <v>57</v>
      </c>
      <c r="H2613" s="66" t="str">
        <f>TEXT(Data[[#This Row],[Buchung]],"MMM")</f>
        <v>Feb</v>
      </c>
      <c r="I2613" s="67">
        <f>YEAR(Data[[#This Row],[Buchung]])</f>
        <v>2022</v>
      </c>
      <c r="J2613" s="2">
        <f>ABS(Data[[#This Row],[Betrag]])</f>
        <v>80</v>
      </c>
      <c r="K2613" s="66" t="str">
        <f>IF(Data[[#This Row],[Betrag]]&lt;0,"A","E")</f>
        <v>A</v>
      </c>
    </row>
    <row r="2614" spans="1:11" x14ac:dyDescent="0.25">
      <c r="A2614" s="1">
        <v>44617</v>
      </c>
      <c r="B2614" s="66" t="s">
        <v>67</v>
      </c>
      <c r="C2614" s="66" t="s">
        <v>59</v>
      </c>
      <c r="D2614" t="s">
        <v>68</v>
      </c>
      <c r="E2614">
        <v>-30</v>
      </c>
      <c r="F2614" s="66" t="s">
        <v>7</v>
      </c>
      <c r="G2614" s="66" t="s">
        <v>10</v>
      </c>
      <c r="H2614" s="66" t="str">
        <f>TEXT(Data[[#This Row],[Buchung]],"MMM")</f>
        <v>Feb</v>
      </c>
      <c r="I2614" s="67">
        <f>YEAR(Data[[#This Row],[Buchung]])</f>
        <v>2022</v>
      </c>
      <c r="J2614" s="2">
        <f>ABS(Data[[#This Row],[Betrag]])</f>
        <v>30</v>
      </c>
      <c r="K2614" s="66" t="str">
        <f>IF(Data[[#This Row],[Betrag]]&lt;0,"A","E")</f>
        <v>A</v>
      </c>
    </row>
    <row r="2615" spans="1:11" x14ac:dyDescent="0.25">
      <c r="A2615" s="1">
        <v>44618</v>
      </c>
      <c r="B2615" s="66" t="s">
        <v>45</v>
      </c>
      <c r="C2615" s="66" t="s">
        <v>46</v>
      </c>
      <c r="D2615" t="s">
        <v>47</v>
      </c>
      <c r="E2615">
        <v>1000</v>
      </c>
      <c r="F2615" s="66" t="s">
        <v>7</v>
      </c>
      <c r="G2615" s="66" t="s">
        <v>9</v>
      </c>
      <c r="H2615" s="66" t="str">
        <f>TEXT(Data[[#This Row],[Buchung]],"MMM")</f>
        <v>Feb</v>
      </c>
      <c r="I2615" s="67">
        <f>YEAR(Data[[#This Row],[Buchung]])</f>
        <v>2022</v>
      </c>
      <c r="J2615" s="2">
        <f>ABS(Data[[#This Row],[Betrag]])</f>
        <v>1000</v>
      </c>
      <c r="K2615" s="66" t="str">
        <f>IF(Data[[#This Row],[Betrag]]&lt;0,"A","E")</f>
        <v>E</v>
      </c>
    </row>
    <row r="2616" spans="1:11" x14ac:dyDescent="0.25">
      <c r="A2616" s="1">
        <v>44619</v>
      </c>
      <c r="B2616" s="66" t="s">
        <v>48</v>
      </c>
      <c r="C2616" s="66" t="s">
        <v>49</v>
      </c>
      <c r="D2616" t="s">
        <v>50</v>
      </c>
      <c r="E2616">
        <v>-15</v>
      </c>
      <c r="F2616" s="66" t="s">
        <v>7</v>
      </c>
      <c r="G2616" s="66" t="s">
        <v>8</v>
      </c>
      <c r="H2616" s="66" t="str">
        <f>TEXT(Data[[#This Row],[Buchung]],"MMM")</f>
        <v>Feb</v>
      </c>
      <c r="I2616" s="67">
        <f>YEAR(Data[[#This Row],[Buchung]])</f>
        <v>2022</v>
      </c>
      <c r="J2616" s="2">
        <f>ABS(Data[[#This Row],[Betrag]])</f>
        <v>15</v>
      </c>
      <c r="K2616" s="66" t="str">
        <f>IF(Data[[#This Row],[Betrag]]&lt;0,"A","E")</f>
        <v>A</v>
      </c>
    </row>
    <row r="2617" spans="1:11" x14ac:dyDescent="0.25">
      <c r="A2617" s="1">
        <v>44620</v>
      </c>
      <c r="B2617" s="66" t="s">
        <v>51</v>
      </c>
      <c r="C2617" s="66" t="s">
        <v>52</v>
      </c>
      <c r="D2617" t="s">
        <v>53</v>
      </c>
      <c r="E2617">
        <v>-350</v>
      </c>
      <c r="F2617" s="66" t="s">
        <v>7</v>
      </c>
      <c r="G2617" s="66" t="s">
        <v>11</v>
      </c>
      <c r="H2617" s="66" t="str">
        <f>TEXT(Data[[#This Row],[Buchung]],"MMM")</f>
        <v>Feb</v>
      </c>
      <c r="I2617" s="67">
        <f>YEAR(Data[[#This Row],[Buchung]])</f>
        <v>2022</v>
      </c>
      <c r="J2617" s="2">
        <f>ABS(Data[[#This Row],[Betrag]])</f>
        <v>350</v>
      </c>
      <c r="K2617" s="66" t="str">
        <f>IF(Data[[#This Row],[Betrag]]&lt;0,"A","E")</f>
        <v>A</v>
      </c>
    </row>
    <row r="2618" spans="1:11" x14ac:dyDescent="0.25">
      <c r="A2618" s="1">
        <v>44621</v>
      </c>
      <c r="B2618" s="66" t="s">
        <v>54</v>
      </c>
      <c r="C2618" s="66" t="s">
        <v>55</v>
      </c>
      <c r="D2618" t="s">
        <v>56</v>
      </c>
      <c r="E2618">
        <v>-120</v>
      </c>
      <c r="F2618" s="66" t="s">
        <v>7</v>
      </c>
      <c r="G2618" s="66" t="s">
        <v>57</v>
      </c>
      <c r="H2618" s="66" t="str">
        <f>TEXT(Data[[#This Row],[Buchung]],"MMM")</f>
        <v>Mrz</v>
      </c>
      <c r="I2618" s="67">
        <f>YEAR(Data[[#This Row],[Buchung]])</f>
        <v>2022</v>
      </c>
      <c r="J2618" s="2">
        <f>ABS(Data[[#This Row],[Betrag]])</f>
        <v>120</v>
      </c>
      <c r="K2618" s="66" t="str">
        <f>IF(Data[[#This Row],[Betrag]]&lt;0,"A","E")</f>
        <v>A</v>
      </c>
    </row>
    <row r="2619" spans="1:11" x14ac:dyDescent="0.25">
      <c r="A2619" s="1">
        <v>44622</v>
      </c>
      <c r="B2619" s="66" t="s">
        <v>58</v>
      </c>
      <c r="C2619" s="66" t="s">
        <v>59</v>
      </c>
      <c r="D2619" t="s">
        <v>60</v>
      </c>
      <c r="E2619">
        <v>-80</v>
      </c>
      <c r="F2619" s="66" t="s">
        <v>7</v>
      </c>
      <c r="G2619" s="66" t="s">
        <v>10</v>
      </c>
      <c r="H2619" s="66" t="str">
        <f>TEXT(Data[[#This Row],[Buchung]],"MMM")</f>
        <v>Mrz</v>
      </c>
      <c r="I2619" s="67">
        <f>YEAR(Data[[#This Row],[Buchung]])</f>
        <v>2022</v>
      </c>
      <c r="J2619" s="2">
        <f>ABS(Data[[#This Row],[Betrag]])</f>
        <v>80</v>
      </c>
      <c r="K2619" s="66" t="str">
        <f>IF(Data[[#This Row],[Betrag]]&lt;0,"A","E")</f>
        <v>A</v>
      </c>
    </row>
    <row r="2620" spans="1:11" x14ac:dyDescent="0.25">
      <c r="A2620" s="1">
        <v>44623</v>
      </c>
      <c r="B2620" s="66" t="s">
        <v>45</v>
      </c>
      <c r="C2620" s="66" t="s">
        <v>46</v>
      </c>
      <c r="D2620" t="s">
        <v>47</v>
      </c>
      <c r="E2620">
        <v>1000</v>
      </c>
      <c r="F2620" s="66" t="s">
        <v>7</v>
      </c>
      <c r="G2620" s="66" t="s">
        <v>9</v>
      </c>
      <c r="H2620" s="66" t="str">
        <f>TEXT(Data[[#This Row],[Buchung]],"MMM")</f>
        <v>Mrz</v>
      </c>
      <c r="I2620" s="67">
        <f>YEAR(Data[[#This Row],[Buchung]])</f>
        <v>2022</v>
      </c>
      <c r="J2620" s="2">
        <f>ABS(Data[[#This Row],[Betrag]])</f>
        <v>1000</v>
      </c>
      <c r="K2620" s="66" t="str">
        <f>IF(Data[[#This Row],[Betrag]]&lt;0,"A","E")</f>
        <v>E</v>
      </c>
    </row>
    <row r="2621" spans="1:11" x14ac:dyDescent="0.25">
      <c r="A2621" s="1">
        <v>44624</v>
      </c>
      <c r="B2621" s="66" t="s">
        <v>61</v>
      </c>
      <c r="C2621" s="66" t="s">
        <v>49</v>
      </c>
      <c r="D2621" t="s">
        <v>62</v>
      </c>
      <c r="E2621">
        <v>-10</v>
      </c>
      <c r="F2621" s="66" t="s">
        <v>7</v>
      </c>
      <c r="G2621" s="66" t="s">
        <v>8</v>
      </c>
      <c r="H2621" s="66" t="str">
        <f>TEXT(Data[[#This Row],[Buchung]],"MMM")</f>
        <v>Mrz</v>
      </c>
      <c r="I2621" s="67">
        <f>YEAR(Data[[#This Row],[Buchung]])</f>
        <v>2022</v>
      </c>
      <c r="J2621" s="2">
        <f>ABS(Data[[#This Row],[Betrag]])</f>
        <v>10</v>
      </c>
      <c r="K2621" s="66" t="str">
        <f>IF(Data[[#This Row],[Betrag]]&lt;0,"A","E")</f>
        <v>A</v>
      </c>
    </row>
    <row r="2622" spans="1:11" x14ac:dyDescent="0.25">
      <c r="A2622" s="1">
        <v>44625</v>
      </c>
      <c r="B2622" s="66" t="s">
        <v>63</v>
      </c>
      <c r="C2622" s="66" t="s">
        <v>64</v>
      </c>
      <c r="D2622" t="s">
        <v>65</v>
      </c>
      <c r="E2622">
        <v>-65</v>
      </c>
      <c r="F2622" s="66" t="s">
        <v>7</v>
      </c>
      <c r="G2622" s="66" t="s">
        <v>11</v>
      </c>
      <c r="H2622" s="66" t="str">
        <f>TEXT(Data[[#This Row],[Buchung]],"MMM")</f>
        <v>Mrz</v>
      </c>
      <c r="I2622" s="67">
        <f>YEAR(Data[[#This Row],[Buchung]])</f>
        <v>2022</v>
      </c>
      <c r="J2622" s="2">
        <f>ABS(Data[[#This Row],[Betrag]])</f>
        <v>65</v>
      </c>
      <c r="K2622" s="66" t="str">
        <f>IF(Data[[#This Row],[Betrag]]&lt;0,"A","E")</f>
        <v>A</v>
      </c>
    </row>
    <row r="2623" spans="1:11" x14ac:dyDescent="0.25">
      <c r="A2623" s="1">
        <v>44626</v>
      </c>
      <c r="B2623" s="66" t="s">
        <v>54</v>
      </c>
      <c r="C2623" s="66" t="s">
        <v>55</v>
      </c>
      <c r="D2623" t="s">
        <v>66</v>
      </c>
      <c r="E2623">
        <v>-80</v>
      </c>
      <c r="F2623" s="66" t="s">
        <v>7</v>
      </c>
      <c r="G2623" s="66" t="s">
        <v>57</v>
      </c>
      <c r="H2623" s="66" t="str">
        <f>TEXT(Data[[#This Row],[Buchung]],"MMM")</f>
        <v>Mrz</v>
      </c>
      <c r="I2623" s="67">
        <f>YEAR(Data[[#This Row],[Buchung]])</f>
        <v>2022</v>
      </c>
      <c r="J2623" s="2">
        <f>ABS(Data[[#This Row],[Betrag]])</f>
        <v>80</v>
      </c>
      <c r="K2623" s="66" t="str">
        <f>IF(Data[[#This Row],[Betrag]]&lt;0,"A","E")</f>
        <v>A</v>
      </c>
    </row>
    <row r="2624" spans="1:11" x14ac:dyDescent="0.25">
      <c r="A2624" s="1">
        <v>44627</v>
      </c>
      <c r="B2624" s="66" t="s">
        <v>67</v>
      </c>
      <c r="C2624" s="66" t="s">
        <v>59</v>
      </c>
      <c r="D2624" t="s">
        <v>68</v>
      </c>
      <c r="E2624">
        <v>-35</v>
      </c>
      <c r="F2624" s="66" t="s">
        <v>7</v>
      </c>
      <c r="G2624" s="66" t="s">
        <v>10</v>
      </c>
      <c r="H2624" s="66" t="str">
        <f>TEXT(Data[[#This Row],[Buchung]],"MMM")</f>
        <v>Mrz</v>
      </c>
      <c r="I2624" s="67">
        <f>YEAR(Data[[#This Row],[Buchung]])</f>
        <v>2022</v>
      </c>
      <c r="J2624" s="2">
        <f>ABS(Data[[#This Row],[Betrag]])</f>
        <v>35</v>
      </c>
      <c r="K2624" s="66" t="str">
        <f>IF(Data[[#This Row],[Betrag]]&lt;0,"A","E")</f>
        <v>A</v>
      </c>
    </row>
    <row r="2625" spans="1:11" x14ac:dyDescent="0.25">
      <c r="A2625" s="1">
        <v>44628</v>
      </c>
      <c r="B2625" s="66" t="s">
        <v>45</v>
      </c>
      <c r="C2625" s="66" t="s">
        <v>46</v>
      </c>
      <c r="D2625" t="s">
        <v>47</v>
      </c>
      <c r="E2625">
        <v>1000</v>
      </c>
      <c r="F2625" s="66" t="s">
        <v>7</v>
      </c>
      <c r="G2625" s="66" t="s">
        <v>9</v>
      </c>
      <c r="H2625" s="66" t="str">
        <f>TEXT(Data[[#This Row],[Buchung]],"MMM")</f>
        <v>Mrz</v>
      </c>
      <c r="I2625" s="67">
        <f>YEAR(Data[[#This Row],[Buchung]])</f>
        <v>2022</v>
      </c>
      <c r="J2625" s="2">
        <f>ABS(Data[[#This Row],[Betrag]])</f>
        <v>1000</v>
      </c>
      <c r="K2625" s="66" t="str">
        <f>IF(Data[[#This Row],[Betrag]]&lt;0,"A","E")</f>
        <v>E</v>
      </c>
    </row>
    <row r="2626" spans="1:11" x14ac:dyDescent="0.25">
      <c r="A2626" s="1">
        <v>44629</v>
      </c>
      <c r="B2626" s="66" t="s">
        <v>45</v>
      </c>
      <c r="C2626" s="66" t="s">
        <v>46</v>
      </c>
      <c r="D2626" t="s">
        <v>47</v>
      </c>
      <c r="E2626">
        <v>1000</v>
      </c>
      <c r="F2626" s="66" t="s">
        <v>7</v>
      </c>
      <c r="G2626" s="66" t="s">
        <v>9</v>
      </c>
      <c r="H2626" s="66" t="str">
        <f>TEXT(Data[[#This Row],[Buchung]],"MMM")</f>
        <v>Mrz</v>
      </c>
      <c r="I2626" s="67">
        <f>YEAR(Data[[#This Row],[Buchung]])</f>
        <v>2022</v>
      </c>
      <c r="J2626" s="2">
        <f>ABS(Data[[#This Row],[Betrag]])</f>
        <v>1000</v>
      </c>
      <c r="K2626" s="66" t="str">
        <f>IF(Data[[#This Row],[Betrag]]&lt;0,"A","E")</f>
        <v>E</v>
      </c>
    </row>
    <row r="2627" spans="1:11" x14ac:dyDescent="0.25">
      <c r="A2627" s="1">
        <v>44630</v>
      </c>
      <c r="B2627" s="66" t="s">
        <v>48</v>
      </c>
      <c r="C2627" s="66" t="s">
        <v>49</v>
      </c>
      <c r="D2627" t="s">
        <v>50</v>
      </c>
      <c r="E2627">
        <v>-15</v>
      </c>
      <c r="F2627" s="66" t="s">
        <v>7</v>
      </c>
      <c r="G2627" s="66" t="s">
        <v>8</v>
      </c>
      <c r="H2627" s="66" t="str">
        <f>TEXT(Data[[#This Row],[Buchung]],"MMM")</f>
        <v>Mrz</v>
      </c>
      <c r="I2627" s="67">
        <f>YEAR(Data[[#This Row],[Buchung]])</f>
        <v>2022</v>
      </c>
      <c r="J2627" s="2">
        <f>ABS(Data[[#This Row],[Betrag]])</f>
        <v>15</v>
      </c>
      <c r="K2627" s="66" t="str">
        <f>IF(Data[[#This Row],[Betrag]]&lt;0,"A","E")</f>
        <v>A</v>
      </c>
    </row>
    <row r="2628" spans="1:11" x14ac:dyDescent="0.25">
      <c r="A2628" s="1">
        <v>44631</v>
      </c>
      <c r="B2628" s="66" t="s">
        <v>51</v>
      </c>
      <c r="C2628" s="66" t="s">
        <v>52</v>
      </c>
      <c r="D2628" t="s">
        <v>53</v>
      </c>
      <c r="E2628">
        <v>-350</v>
      </c>
      <c r="F2628" s="66" t="s">
        <v>7</v>
      </c>
      <c r="G2628" s="66" t="s">
        <v>11</v>
      </c>
      <c r="H2628" s="66" t="str">
        <f>TEXT(Data[[#This Row],[Buchung]],"MMM")</f>
        <v>Mrz</v>
      </c>
      <c r="I2628" s="67">
        <f>YEAR(Data[[#This Row],[Buchung]])</f>
        <v>2022</v>
      </c>
      <c r="J2628" s="2">
        <f>ABS(Data[[#This Row],[Betrag]])</f>
        <v>350</v>
      </c>
      <c r="K2628" s="66" t="str">
        <f>IF(Data[[#This Row],[Betrag]]&lt;0,"A","E")</f>
        <v>A</v>
      </c>
    </row>
    <row r="2629" spans="1:11" x14ac:dyDescent="0.25">
      <c r="A2629" s="1">
        <v>44632</v>
      </c>
      <c r="B2629" s="66" t="s">
        <v>54</v>
      </c>
      <c r="C2629" s="66" t="s">
        <v>55</v>
      </c>
      <c r="D2629" t="s">
        <v>56</v>
      </c>
      <c r="E2629">
        <v>-120</v>
      </c>
      <c r="F2629" s="66" t="s">
        <v>7</v>
      </c>
      <c r="G2629" s="66" t="s">
        <v>57</v>
      </c>
      <c r="H2629" s="66" t="str">
        <f>TEXT(Data[[#This Row],[Buchung]],"MMM")</f>
        <v>Mrz</v>
      </c>
      <c r="I2629" s="67">
        <f>YEAR(Data[[#This Row],[Buchung]])</f>
        <v>2022</v>
      </c>
      <c r="J2629" s="2">
        <f>ABS(Data[[#This Row],[Betrag]])</f>
        <v>120</v>
      </c>
      <c r="K2629" s="66" t="str">
        <f>IF(Data[[#This Row],[Betrag]]&lt;0,"A","E")</f>
        <v>A</v>
      </c>
    </row>
    <row r="2630" spans="1:11" x14ac:dyDescent="0.25">
      <c r="A2630" s="1">
        <v>44633</v>
      </c>
      <c r="B2630" s="66" t="s">
        <v>58</v>
      </c>
      <c r="C2630" s="66" t="s">
        <v>59</v>
      </c>
      <c r="D2630" t="s">
        <v>60</v>
      </c>
      <c r="E2630">
        <v>-50</v>
      </c>
      <c r="F2630" s="66" t="s">
        <v>7</v>
      </c>
      <c r="G2630" s="66" t="s">
        <v>10</v>
      </c>
      <c r="H2630" s="66" t="str">
        <f>TEXT(Data[[#This Row],[Buchung]],"MMM")</f>
        <v>Mrz</v>
      </c>
      <c r="I2630" s="67">
        <f>YEAR(Data[[#This Row],[Buchung]])</f>
        <v>2022</v>
      </c>
      <c r="J2630" s="2">
        <f>ABS(Data[[#This Row],[Betrag]])</f>
        <v>50</v>
      </c>
      <c r="K2630" s="66" t="str">
        <f>IF(Data[[#This Row],[Betrag]]&lt;0,"A","E")</f>
        <v>A</v>
      </c>
    </row>
    <row r="2631" spans="1:11" x14ac:dyDescent="0.25">
      <c r="A2631" s="1">
        <v>44634</v>
      </c>
      <c r="B2631" s="66" t="s">
        <v>45</v>
      </c>
      <c r="C2631" s="66" t="s">
        <v>46</v>
      </c>
      <c r="D2631" t="s">
        <v>47</v>
      </c>
      <c r="E2631">
        <v>1000</v>
      </c>
      <c r="F2631" s="66" t="s">
        <v>7</v>
      </c>
      <c r="G2631" s="66" t="s">
        <v>9</v>
      </c>
      <c r="H2631" s="66" t="str">
        <f>TEXT(Data[[#This Row],[Buchung]],"MMM")</f>
        <v>Mrz</v>
      </c>
      <c r="I2631" s="67">
        <f>YEAR(Data[[#This Row],[Buchung]])</f>
        <v>2022</v>
      </c>
      <c r="J2631" s="2">
        <f>ABS(Data[[#This Row],[Betrag]])</f>
        <v>1000</v>
      </c>
      <c r="K2631" s="66" t="str">
        <f>IF(Data[[#This Row],[Betrag]]&lt;0,"A","E")</f>
        <v>E</v>
      </c>
    </row>
    <row r="2632" spans="1:11" x14ac:dyDescent="0.25">
      <c r="A2632" s="1">
        <v>44635</v>
      </c>
      <c r="B2632" s="66" t="s">
        <v>61</v>
      </c>
      <c r="C2632" s="66" t="s">
        <v>49</v>
      </c>
      <c r="D2632" t="s">
        <v>62</v>
      </c>
      <c r="E2632">
        <v>-10</v>
      </c>
      <c r="F2632" s="66" t="s">
        <v>7</v>
      </c>
      <c r="G2632" s="66" t="s">
        <v>8</v>
      </c>
      <c r="H2632" s="66" t="str">
        <f>TEXT(Data[[#This Row],[Buchung]],"MMM")</f>
        <v>Mrz</v>
      </c>
      <c r="I2632" s="67">
        <f>YEAR(Data[[#This Row],[Buchung]])</f>
        <v>2022</v>
      </c>
      <c r="J2632" s="2">
        <f>ABS(Data[[#This Row],[Betrag]])</f>
        <v>10</v>
      </c>
      <c r="K2632" s="66" t="str">
        <f>IF(Data[[#This Row],[Betrag]]&lt;0,"A","E")</f>
        <v>A</v>
      </c>
    </row>
    <row r="2633" spans="1:11" x14ac:dyDescent="0.25">
      <c r="A2633" s="1">
        <v>44636</v>
      </c>
      <c r="B2633" s="66" t="s">
        <v>63</v>
      </c>
      <c r="C2633" s="66" t="s">
        <v>64</v>
      </c>
      <c r="D2633" t="s">
        <v>65</v>
      </c>
      <c r="E2633">
        <v>-60</v>
      </c>
      <c r="F2633" s="66" t="s">
        <v>7</v>
      </c>
      <c r="G2633" s="66" t="s">
        <v>11</v>
      </c>
      <c r="H2633" s="66" t="str">
        <f>TEXT(Data[[#This Row],[Buchung]],"MMM")</f>
        <v>Mrz</v>
      </c>
      <c r="I2633" s="67">
        <f>YEAR(Data[[#This Row],[Buchung]])</f>
        <v>2022</v>
      </c>
      <c r="J2633" s="2">
        <f>ABS(Data[[#This Row],[Betrag]])</f>
        <v>60</v>
      </c>
      <c r="K2633" s="66" t="str">
        <f>IF(Data[[#This Row],[Betrag]]&lt;0,"A","E")</f>
        <v>A</v>
      </c>
    </row>
    <row r="2634" spans="1:11" x14ac:dyDescent="0.25">
      <c r="A2634" s="1">
        <v>44637</v>
      </c>
      <c r="B2634" s="66" t="s">
        <v>54</v>
      </c>
      <c r="C2634" s="66" t="s">
        <v>55</v>
      </c>
      <c r="D2634" t="s">
        <v>66</v>
      </c>
      <c r="E2634">
        <v>-80</v>
      </c>
      <c r="F2634" s="66" t="s">
        <v>7</v>
      </c>
      <c r="G2634" s="66" t="s">
        <v>57</v>
      </c>
      <c r="H2634" s="66" t="str">
        <f>TEXT(Data[[#This Row],[Buchung]],"MMM")</f>
        <v>Mrz</v>
      </c>
      <c r="I2634" s="67">
        <f>YEAR(Data[[#This Row],[Buchung]])</f>
        <v>2022</v>
      </c>
      <c r="J2634" s="2">
        <f>ABS(Data[[#This Row],[Betrag]])</f>
        <v>80</v>
      </c>
      <c r="K2634" s="66" t="str">
        <f>IF(Data[[#This Row],[Betrag]]&lt;0,"A","E")</f>
        <v>A</v>
      </c>
    </row>
    <row r="2635" spans="1:11" x14ac:dyDescent="0.25">
      <c r="A2635" s="1">
        <v>44638</v>
      </c>
      <c r="B2635" s="66" t="s">
        <v>67</v>
      </c>
      <c r="C2635" s="66" t="s">
        <v>59</v>
      </c>
      <c r="D2635" t="s">
        <v>68</v>
      </c>
      <c r="E2635">
        <v>-20</v>
      </c>
      <c r="F2635" s="66" t="s">
        <v>7</v>
      </c>
      <c r="G2635" s="66" t="s">
        <v>10</v>
      </c>
      <c r="H2635" s="66" t="str">
        <f>TEXT(Data[[#This Row],[Buchung]],"MMM")</f>
        <v>Mrz</v>
      </c>
      <c r="I2635" s="67">
        <f>YEAR(Data[[#This Row],[Buchung]])</f>
        <v>2022</v>
      </c>
      <c r="J2635" s="2">
        <f>ABS(Data[[#This Row],[Betrag]])</f>
        <v>20</v>
      </c>
      <c r="K2635" s="66" t="str">
        <f>IF(Data[[#This Row],[Betrag]]&lt;0,"A","E")</f>
        <v>A</v>
      </c>
    </row>
    <row r="2636" spans="1:11" x14ac:dyDescent="0.25">
      <c r="A2636" s="1">
        <v>44639</v>
      </c>
      <c r="B2636" s="66" t="s">
        <v>45</v>
      </c>
      <c r="C2636" s="66" t="s">
        <v>46</v>
      </c>
      <c r="D2636" t="s">
        <v>47</v>
      </c>
      <c r="E2636">
        <v>1000</v>
      </c>
      <c r="F2636" s="66" t="s">
        <v>7</v>
      </c>
      <c r="G2636" s="66" t="s">
        <v>9</v>
      </c>
      <c r="H2636" s="66" t="str">
        <f>TEXT(Data[[#This Row],[Buchung]],"MMM")</f>
        <v>Mrz</v>
      </c>
      <c r="I2636" s="67">
        <f>YEAR(Data[[#This Row],[Buchung]])</f>
        <v>2022</v>
      </c>
      <c r="J2636" s="2">
        <f>ABS(Data[[#This Row],[Betrag]])</f>
        <v>1000</v>
      </c>
      <c r="K2636" s="66" t="str">
        <f>IF(Data[[#This Row],[Betrag]]&lt;0,"A","E")</f>
        <v>E</v>
      </c>
    </row>
    <row r="2637" spans="1:11" x14ac:dyDescent="0.25">
      <c r="A2637" s="1">
        <v>44640</v>
      </c>
      <c r="B2637" s="66" t="s">
        <v>48</v>
      </c>
      <c r="C2637" s="66" t="s">
        <v>49</v>
      </c>
      <c r="D2637" t="s">
        <v>50</v>
      </c>
      <c r="E2637">
        <v>-15</v>
      </c>
      <c r="F2637" s="66" t="s">
        <v>7</v>
      </c>
      <c r="G2637" s="66" t="s">
        <v>8</v>
      </c>
      <c r="H2637" s="66" t="str">
        <f>TEXT(Data[[#This Row],[Buchung]],"MMM")</f>
        <v>Mrz</v>
      </c>
      <c r="I2637" s="67">
        <f>YEAR(Data[[#This Row],[Buchung]])</f>
        <v>2022</v>
      </c>
      <c r="J2637" s="2">
        <f>ABS(Data[[#This Row],[Betrag]])</f>
        <v>15</v>
      </c>
      <c r="K2637" s="66" t="str">
        <f>IF(Data[[#This Row],[Betrag]]&lt;0,"A","E")</f>
        <v>A</v>
      </c>
    </row>
    <row r="2638" spans="1:11" x14ac:dyDescent="0.25">
      <c r="A2638" s="1">
        <v>44641</v>
      </c>
      <c r="B2638" s="66" t="s">
        <v>51</v>
      </c>
      <c r="C2638" s="66" t="s">
        <v>52</v>
      </c>
      <c r="D2638" t="s">
        <v>53</v>
      </c>
      <c r="E2638">
        <v>-350</v>
      </c>
      <c r="F2638" s="66" t="s">
        <v>7</v>
      </c>
      <c r="G2638" s="66" t="s">
        <v>11</v>
      </c>
      <c r="H2638" s="66" t="str">
        <f>TEXT(Data[[#This Row],[Buchung]],"MMM")</f>
        <v>Mrz</v>
      </c>
      <c r="I2638" s="67">
        <f>YEAR(Data[[#This Row],[Buchung]])</f>
        <v>2022</v>
      </c>
      <c r="J2638" s="2">
        <f>ABS(Data[[#This Row],[Betrag]])</f>
        <v>350</v>
      </c>
      <c r="K2638" s="66" t="str">
        <f>IF(Data[[#This Row],[Betrag]]&lt;0,"A","E")</f>
        <v>A</v>
      </c>
    </row>
    <row r="2639" spans="1:11" x14ac:dyDescent="0.25">
      <c r="A2639" s="1">
        <v>44642</v>
      </c>
      <c r="B2639" s="66" t="s">
        <v>54</v>
      </c>
      <c r="C2639" s="66" t="s">
        <v>55</v>
      </c>
      <c r="D2639" t="s">
        <v>56</v>
      </c>
      <c r="E2639">
        <v>-120</v>
      </c>
      <c r="F2639" s="66" t="s">
        <v>7</v>
      </c>
      <c r="G2639" s="66" t="s">
        <v>57</v>
      </c>
      <c r="H2639" s="66" t="str">
        <f>TEXT(Data[[#This Row],[Buchung]],"MMM")</f>
        <v>Mrz</v>
      </c>
      <c r="I2639" s="67">
        <f>YEAR(Data[[#This Row],[Buchung]])</f>
        <v>2022</v>
      </c>
      <c r="J2639" s="2">
        <f>ABS(Data[[#This Row],[Betrag]])</f>
        <v>120</v>
      </c>
      <c r="K2639" s="66" t="str">
        <f>IF(Data[[#This Row],[Betrag]]&lt;0,"A","E")</f>
        <v>A</v>
      </c>
    </row>
    <row r="2640" spans="1:11" x14ac:dyDescent="0.25">
      <c r="A2640" s="1">
        <v>44643</v>
      </c>
      <c r="B2640" s="66" t="s">
        <v>58</v>
      </c>
      <c r="C2640" s="66" t="s">
        <v>59</v>
      </c>
      <c r="D2640" t="s">
        <v>60</v>
      </c>
      <c r="E2640">
        <v>-60</v>
      </c>
      <c r="F2640" s="66" t="s">
        <v>7</v>
      </c>
      <c r="G2640" s="66" t="s">
        <v>10</v>
      </c>
      <c r="H2640" s="66" t="str">
        <f>TEXT(Data[[#This Row],[Buchung]],"MMM")</f>
        <v>Mrz</v>
      </c>
      <c r="I2640" s="67">
        <f>YEAR(Data[[#This Row],[Buchung]])</f>
        <v>2022</v>
      </c>
      <c r="J2640" s="2">
        <f>ABS(Data[[#This Row],[Betrag]])</f>
        <v>60</v>
      </c>
      <c r="K2640" s="66" t="str">
        <f>IF(Data[[#This Row],[Betrag]]&lt;0,"A","E")</f>
        <v>A</v>
      </c>
    </row>
    <row r="2641" spans="1:11" x14ac:dyDescent="0.25">
      <c r="A2641" s="1">
        <v>44644</v>
      </c>
      <c r="B2641" s="66" t="s">
        <v>45</v>
      </c>
      <c r="C2641" s="66" t="s">
        <v>46</v>
      </c>
      <c r="D2641" t="s">
        <v>47</v>
      </c>
      <c r="E2641">
        <v>1000</v>
      </c>
      <c r="F2641" s="66" t="s">
        <v>7</v>
      </c>
      <c r="G2641" s="66" t="s">
        <v>9</v>
      </c>
      <c r="H2641" s="66" t="str">
        <f>TEXT(Data[[#This Row],[Buchung]],"MMM")</f>
        <v>Mrz</v>
      </c>
      <c r="I2641" s="67">
        <f>YEAR(Data[[#This Row],[Buchung]])</f>
        <v>2022</v>
      </c>
      <c r="J2641" s="2">
        <f>ABS(Data[[#This Row],[Betrag]])</f>
        <v>1000</v>
      </c>
      <c r="K2641" s="66" t="str">
        <f>IF(Data[[#This Row],[Betrag]]&lt;0,"A","E")</f>
        <v>E</v>
      </c>
    </row>
    <row r="2642" spans="1:11" x14ac:dyDescent="0.25">
      <c r="A2642" s="1">
        <v>44645</v>
      </c>
      <c r="B2642" s="66" t="s">
        <v>61</v>
      </c>
      <c r="C2642" s="66" t="s">
        <v>49</v>
      </c>
      <c r="D2642" t="s">
        <v>62</v>
      </c>
      <c r="E2642">
        <v>-10</v>
      </c>
      <c r="F2642" s="66" t="s">
        <v>7</v>
      </c>
      <c r="G2642" s="66" t="s">
        <v>8</v>
      </c>
      <c r="H2642" s="66" t="str">
        <f>TEXT(Data[[#This Row],[Buchung]],"MMM")</f>
        <v>Mrz</v>
      </c>
      <c r="I2642" s="67">
        <f>YEAR(Data[[#This Row],[Buchung]])</f>
        <v>2022</v>
      </c>
      <c r="J2642" s="2">
        <f>ABS(Data[[#This Row],[Betrag]])</f>
        <v>10</v>
      </c>
      <c r="K2642" s="66" t="str">
        <f>IF(Data[[#This Row],[Betrag]]&lt;0,"A","E")</f>
        <v>A</v>
      </c>
    </row>
    <row r="2643" spans="1:11" x14ac:dyDescent="0.25">
      <c r="A2643" s="1">
        <v>44646</v>
      </c>
      <c r="B2643" s="66" t="s">
        <v>63</v>
      </c>
      <c r="C2643" s="66" t="s">
        <v>64</v>
      </c>
      <c r="D2643" t="s">
        <v>65</v>
      </c>
      <c r="E2643">
        <v>-70</v>
      </c>
      <c r="F2643" s="66" t="s">
        <v>7</v>
      </c>
      <c r="G2643" s="66" t="s">
        <v>11</v>
      </c>
      <c r="H2643" s="66" t="str">
        <f>TEXT(Data[[#This Row],[Buchung]],"MMM")</f>
        <v>Mrz</v>
      </c>
      <c r="I2643" s="67">
        <f>YEAR(Data[[#This Row],[Buchung]])</f>
        <v>2022</v>
      </c>
      <c r="J2643" s="2">
        <f>ABS(Data[[#This Row],[Betrag]])</f>
        <v>70</v>
      </c>
      <c r="K2643" s="66" t="str">
        <f>IF(Data[[#This Row],[Betrag]]&lt;0,"A","E")</f>
        <v>A</v>
      </c>
    </row>
    <row r="2644" spans="1:11" x14ac:dyDescent="0.25">
      <c r="A2644" s="1">
        <v>44647</v>
      </c>
      <c r="B2644" s="66" t="s">
        <v>54</v>
      </c>
      <c r="C2644" s="66" t="s">
        <v>55</v>
      </c>
      <c r="D2644" t="s">
        <v>66</v>
      </c>
      <c r="E2644">
        <v>-80</v>
      </c>
      <c r="F2644" s="66" t="s">
        <v>7</v>
      </c>
      <c r="G2644" s="66" t="s">
        <v>57</v>
      </c>
      <c r="H2644" s="66" t="str">
        <f>TEXT(Data[[#This Row],[Buchung]],"MMM")</f>
        <v>Mrz</v>
      </c>
      <c r="I2644" s="67">
        <f>YEAR(Data[[#This Row],[Buchung]])</f>
        <v>2022</v>
      </c>
      <c r="J2644" s="2">
        <f>ABS(Data[[#This Row],[Betrag]])</f>
        <v>80</v>
      </c>
      <c r="K2644" s="66" t="str">
        <f>IF(Data[[#This Row],[Betrag]]&lt;0,"A","E")</f>
        <v>A</v>
      </c>
    </row>
    <row r="2645" spans="1:11" x14ac:dyDescent="0.25">
      <c r="A2645" s="1">
        <v>44648</v>
      </c>
      <c r="B2645" s="66" t="s">
        <v>67</v>
      </c>
      <c r="C2645" s="66" t="s">
        <v>59</v>
      </c>
      <c r="D2645" t="s">
        <v>68</v>
      </c>
      <c r="E2645">
        <v>-25</v>
      </c>
      <c r="F2645" s="66" t="s">
        <v>7</v>
      </c>
      <c r="G2645" s="66" t="s">
        <v>10</v>
      </c>
      <c r="H2645" s="66" t="str">
        <f>TEXT(Data[[#This Row],[Buchung]],"MMM")</f>
        <v>Mrz</v>
      </c>
      <c r="I2645" s="67">
        <f>YEAR(Data[[#This Row],[Buchung]])</f>
        <v>2022</v>
      </c>
      <c r="J2645" s="2">
        <f>ABS(Data[[#This Row],[Betrag]])</f>
        <v>25</v>
      </c>
      <c r="K2645" s="66" t="str">
        <f>IF(Data[[#This Row],[Betrag]]&lt;0,"A","E")</f>
        <v>A</v>
      </c>
    </row>
    <row r="2646" spans="1:11" x14ac:dyDescent="0.25">
      <c r="A2646" s="1">
        <v>44649</v>
      </c>
      <c r="B2646" s="66" t="s">
        <v>45</v>
      </c>
      <c r="C2646" s="66" t="s">
        <v>46</v>
      </c>
      <c r="D2646" t="s">
        <v>47</v>
      </c>
      <c r="E2646">
        <v>1000</v>
      </c>
      <c r="F2646" s="66" t="s">
        <v>7</v>
      </c>
      <c r="G2646" s="66" t="s">
        <v>9</v>
      </c>
      <c r="H2646" s="66" t="str">
        <f>TEXT(Data[[#This Row],[Buchung]],"MMM")</f>
        <v>Mrz</v>
      </c>
      <c r="I2646" s="67">
        <f>YEAR(Data[[#This Row],[Buchung]])</f>
        <v>2022</v>
      </c>
      <c r="J2646" s="2">
        <f>ABS(Data[[#This Row],[Betrag]])</f>
        <v>1000</v>
      </c>
      <c r="K2646" s="66" t="str">
        <f>IF(Data[[#This Row],[Betrag]]&lt;0,"A","E")</f>
        <v>E</v>
      </c>
    </row>
    <row r="2647" spans="1:11" x14ac:dyDescent="0.25">
      <c r="A2647" s="1">
        <v>44650</v>
      </c>
      <c r="B2647" s="66" t="s">
        <v>48</v>
      </c>
      <c r="C2647" s="66" t="s">
        <v>49</v>
      </c>
      <c r="D2647" t="s">
        <v>50</v>
      </c>
      <c r="E2647">
        <v>-15</v>
      </c>
      <c r="F2647" s="66" t="s">
        <v>7</v>
      </c>
      <c r="G2647" s="66" t="s">
        <v>8</v>
      </c>
      <c r="H2647" s="66" t="str">
        <f>TEXT(Data[[#This Row],[Buchung]],"MMM")</f>
        <v>Mrz</v>
      </c>
      <c r="I2647" s="67">
        <f>YEAR(Data[[#This Row],[Buchung]])</f>
        <v>2022</v>
      </c>
      <c r="J2647" s="2">
        <f>ABS(Data[[#This Row],[Betrag]])</f>
        <v>15</v>
      </c>
      <c r="K2647" s="66" t="str">
        <f>IF(Data[[#This Row],[Betrag]]&lt;0,"A","E")</f>
        <v>A</v>
      </c>
    </row>
    <row r="2648" spans="1:11" x14ac:dyDescent="0.25">
      <c r="A2648" s="1">
        <v>44651</v>
      </c>
      <c r="B2648" s="66" t="s">
        <v>51</v>
      </c>
      <c r="C2648" s="66" t="s">
        <v>52</v>
      </c>
      <c r="D2648" t="s">
        <v>53</v>
      </c>
      <c r="E2648">
        <v>-350</v>
      </c>
      <c r="F2648" s="66" t="s">
        <v>7</v>
      </c>
      <c r="G2648" s="66" t="s">
        <v>11</v>
      </c>
      <c r="H2648" s="66" t="str">
        <f>TEXT(Data[[#This Row],[Buchung]],"MMM")</f>
        <v>Mrz</v>
      </c>
      <c r="I2648" s="67">
        <f>YEAR(Data[[#This Row],[Buchung]])</f>
        <v>2022</v>
      </c>
      <c r="J2648" s="2">
        <f>ABS(Data[[#This Row],[Betrag]])</f>
        <v>350</v>
      </c>
      <c r="K2648" s="66" t="str">
        <f>IF(Data[[#This Row],[Betrag]]&lt;0,"A","E")</f>
        <v>A</v>
      </c>
    </row>
    <row r="2649" spans="1:11" x14ac:dyDescent="0.25">
      <c r="A2649" s="1">
        <v>44652</v>
      </c>
      <c r="B2649" s="66" t="s">
        <v>54</v>
      </c>
      <c r="C2649" s="66" t="s">
        <v>55</v>
      </c>
      <c r="D2649" t="s">
        <v>56</v>
      </c>
      <c r="E2649">
        <v>-120</v>
      </c>
      <c r="F2649" s="66" t="s">
        <v>7</v>
      </c>
      <c r="G2649" s="66" t="s">
        <v>57</v>
      </c>
      <c r="H2649" s="66" t="str">
        <f>TEXT(Data[[#This Row],[Buchung]],"MMM")</f>
        <v>Apr</v>
      </c>
      <c r="I2649" s="67">
        <f>YEAR(Data[[#This Row],[Buchung]])</f>
        <v>2022</v>
      </c>
      <c r="J2649" s="2">
        <f>ABS(Data[[#This Row],[Betrag]])</f>
        <v>120</v>
      </c>
      <c r="K2649" s="66" t="str">
        <f>IF(Data[[#This Row],[Betrag]]&lt;0,"A","E")</f>
        <v>A</v>
      </c>
    </row>
    <row r="2650" spans="1:11" x14ac:dyDescent="0.25">
      <c r="A2650" s="1">
        <v>44653</v>
      </c>
      <c r="B2650" s="66" t="s">
        <v>58</v>
      </c>
      <c r="C2650" s="66" t="s">
        <v>59</v>
      </c>
      <c r="D2650" t="s">
        <v>60</v>
      </c>
      <c r="E2650">
        <v>-70</v>
      </c>
      <c r="F2650" s="66" t="s">
        <v>7</v>
      </c>
      <c r="G2650" s="66" t="s">
        <v>10</v>
      </c>
      <c r="H2650" s="66" t="str">
        <f>TEXT(Data[[#This Row],[Buchung]],"MMM")</f>
        <v>Apr</v>
      </c>
      <c r="I2650" s="67">
        <f>YEAR(Data[[#This Row],[Buchung]])</f>
        <v>2022</v>
      </c>
      <c r="J2650" s="2">
        <f>ABS(Data[[#This Row],[Betrag]])</f>
        <v>70</v>
      </c>
      <c r="K2650" s="66" t="str">
        <f>IF(Data[[#This Row],[Betrag]]&lt;0,"A","E")</f>
        <v>A</v>
      </c>
    </row>
    <row r="2651" spans="1:11" x14ac:dyDescent="0.25">
      <c r="A2651" s="1">
        <v>44654</v>
      </c>
      <c r="B2651" s="66" t="s">
        <v>45</v>
      </c>
      <c r="C2651" s="66" t="s">
        <v>46</v>
      </c>
      <c r="D2651" t="s">
        <v>47</v>
      </c>
      <c r="E2651">
        <v>1000</v>
      </c>
      <c r="F2651" s="66" t="s">
        <v>7</v>
      </c>
      <c r="G2651" s="66" t="s">
        <v>9</v>
      </c>
      <c r="H2651" s="66" t="str">
        <f>TEXT(Data[[#This Row],[Buchung]],"MMM")</f>
        <v>Apr</v>
      </c>
      <c r="I2651" s="67">
        <f>YEAR(Data[[#This Row],[Buchung]])</f>
        <v>2022</v>
      </c>
      <c r="J2651" s="2">
        <f>ABS(Data[[#This Row],[Betrag]])</f>
        <v>1000</v>
      </c>
      <c r="K2651" s="66" t="str">
        <f>IF(Data[[#This Row],[Betrag]]&lt;0,"A","E")</f>
        <v>E</v>
      </c>
    </row>
    <row r="2652" spans="1:11" x14ac:dyDescent="0.25">
      <c r="A2652" s="1">
        <v>44655</v>
      </c>
      <c r="B2652" s="66" t="s">
        <v>61</v>
      </c>
      <c r="C2652" s="66" t="s">
        <v>49</v>
      </c>
      <c r="D2652" t="s">
        <v>62</v>
      </c>
      <c r="E2652">
        <v>-10</v>
      </c>
      <c r="F2652" s="66" t="s">
        <v>7</v>
      </c>
      <c r="G2652" s="66" t="s">
        <v>8</v>
      </c>
      <c r="H2652" s="66" t="str">
        <f>TEXT(Data[[#This Row],[Buchung]],"MMM")</f>
        <v>Apr</v>
      </c>
      <c r="I2652" s="67">
        <f>YEAR(Data[[#This Row],[Buchung]])</f>
        <v>2022</v>
      </c>
      <c r="J2652" s="2">
        <f>ABS(Data[[#This Row],[Betrag]])</f>
        <v>10</v>
      </c>
      <c r="K2652" s="66" t="str">
        <f>IF(Data[[#This Row],[Betrag]]&lt;0,"A","E")</f>
        <v>A</v>
      </c>
    </row>
    <row r="2653" spans="1:11" x14ac:dyDescent="0.25">
      <c r="A2653" s="1">
        <v>44656</v>
      </c>
      <c r="B2653" s="66" t="s">
        <v>63</v>
      </c>
      <c r="C2653" s="66" t="s">
        <v>64</v>
      </c>
      <c r="D2653" t="s">
        <v>65</v>
      </c>
      <c r="E2653">
        <v>-60</v>
      </c>
      <c r="F2653" s="66" t="s">
        <v>7</v>
      </c>
      <c r="G2653" s="66" t="s">
        <v>11</v>
      </c>
      <c r="H2653" s="66" t="str">
        <f>TEXT(Data[[#This Row],[Buchung]],"MMM")</f>
        <v>Apr</v>
      </c>
      <c r="I2653" s="67">
        <f>YEAR(Data[[#This Row],[Buchung]])</f>
        <v>2022</v>
      </c>
      <c r="J2653" s="2">
        <f>ABS(Data[[#This Row],[Betrag]])</f>
        <v>60</v>
      </c>
      <c r="K2653" s="66" t="str">
        <f>IF(Data[[#This Row],[Betrag]]&lt;0,"A","E")</f>
        <v>A</v>
      </c>
    </row>
    <row r="2654" spans="1:11" x14ac:dyDescent="0.25">
      <c r="A2654" s="1">
        <v>44657</v>
      </c>
      <c r="B2654" s="66" t="s">
        <v>54</v>
      </c>
      <c r="C2654" s="66" t="s">
        <v>55</v>
      </c>
      <c r="D2654" t="s">
        <v>66</v>
      </c>
      <c r="E2654">
        <v>-80</v>
      </c>
      <c r="F2654" s="66" t="s">
        <v>7</v>
      </c>
      <c r="G2654" s="66" t="s">
        <v>57</v>
      </c>
      <c r="H2654" s="66" t="str">
        <f>TEXT(Data[[#This Row],[Buchung]],"MMM")</f>
        <v>Apr</v>
      </c>
      <c r="I2654" s="67">
        <f>YEAR(Data[[#This Row],[Buchung]])</f>
        <v>2022</v>
      </c>
      <c r="J2654" s="2">
        <f>ABS(Data[[#This Row],[Betrag]])</f>
        <v>80</v>
      </c>
      <c r="K2654" s="66" t="str">
        <f>IF(Data[[#This Row],[Betrag]]&lt;0,"A","E")</f>
        <v>A</v>
      </c>
    </row>
    <row r="2655" spans="1:11" x14ac:dyDescent="0.25">
      <c r="A2655" s="1">
        <v>44658</v>
      </c>
      <c r="B2655" s="66" t="s">
        <v>67</v>
      </c>
      <c r="C2655" s="66" t="s">
        <v>59</v>
      </c>
      <c r="D2655" t="s">
        <v>68</v>
      </c>
      <c r="E2655">
        <v>-30</v>
      </c>
      <c r="F2655" s="66" t="s">
        <v>7</v>
      </c>
      <c r="G2655" s="66" t="s">
        <v>10</v>
      </c>
      <c r="H2655" s="66" t="str">
        <f>TEXT(Data[[#This Row],[Buchung]],"MMM")</f>
        <v>Apr</v>
      </c>
      <c r="I2655" s="67">
        <f>YEAR(Data[[#This Row],[Buchung]])</f>
        <v>2022</v>
      </c>
      <c r="J2655" s="2">
        <f>ABS(Data[[#This Row],[Betrag]])</f>
        <v>30</v>
      </c>
      <c r="K2655" s="66" t="str">
        <f>IF(Data[[#This Row],[Betrag]]&lt;0,"A","E")</f>
        <v>A</v>
      </c>
    </row>
    <row r="2656" spans="1:11" x14ac:dyDescent="0.25">
      <c r="A2656" s="1">
        <v>44659</v>
      </c>
      <c r="B2656" s="66" t="s">
        <v>45</v>
      </c>
      <c r="C2656" s="66" t="s">
        <v>46</v>
      </c>
      <c r="D2656" t="s">
        <v>47</v>
      </c>
      <c r="E2656">
        <v>1000</v>
      </c>
      <c r="F2656" s="66" t="s">
        <v>7</v>
      </c>
      <c r="G2656" s="66" t="s">
        <v>9</v>
      </c>
      <c r="H2656" s="66" t="str">
        <f>TEXT(Data[[#This Row],[Buchung]],"MMM")</f>
        <v>Apr</v>
      </c>
      <c r="I2656" s="67">
        <f>YEAR(Data[[#This Row],[Buchung]])</f>
        <v>2022</v>
      </c>
      <c r="J2656" s="2">
        <f>ABS(Data[[#This Row],[Betrag]])</f>
        <v>1000</v>
      </c>
      <c r="K2656" s="66" t="str">
        <f>IF(Data[[#This Row],[Betrag]]&lt;0,"A","E")</f>
        <v>E</v>
      </c>
    </row>
    <row r="2657" spans="1:11" x14ac:dyDescent="0.25">
      <c r="A2657" s="1">
        <v>44660</v>
      </c>
      <c r="B2657" s="66" t="s">
        <v>48</v>
      </c>
      <c r="C2657" s="66" t="s">
        <v>49</v>
      </c>
      <c r="D2657" t="s">
        <v>50</v>
      </c>
      <c r="E2657">
        <v>-15</v>
      </c>
      <c r="F2657" s="66" t="s">
        <v>7</v>
      </c>
      <c r="G2657" s="66" t="s">
        <v>8</v>
      </c>
      <c r="H2657" s="66" t="str">
        <f>TEXT(Data[[#This Row],[Buchung]],"MMM")</f>
        <v>Apr</v>
      </c>
      <c r="I2657" s="67">
        <f>YEAR(Data[[#This Row],[Buchung]])</f>
        <v>2022</v>
      </c>
      <c r="J2657" s="2">
        <f>ABS(Data[[#This Row],[Betrag]])</f>
        <v>15</v>
      </c>
      <c r="K2657" s="66" t="str">
        <f>IF(Data[[#This Row],[Betrag]]&lt;0,"A","E")</f>
        <v>A</v>
      </c>
    </row>
    <row r="2658" spans="1:11" x14ac:dyDescent="0.25">
      <c r="A2658" s="1">
        <v>44661</v>
      </c>
      <c r="B2658" s="66" t="s">
        <v>51</v>
      </c>
      <c r="C2658" s="66" t="s">
        <v>52</v>
      </c>
      <c r="D2658" t="s">
        <v>53</v>
      </c>
      <c r="E2658">
        <v>-350</v>
      </c>
      <c r="F2658" s="66" t="s">
        <v>7</v>
      </c>
      <c r="G2658" s="66" t="s">
        <v>11</v>
      </c>
      <c r="H2658" s="66" t="str">
        <f>TEXT(Data[[#This Row],[Buchung]],"MMM")</f>
        <v>Apr</v>
      </c>
      <c r="I2658" s="67">
        <f>YEAR(Data[[#This Row],[Buchung]])</f>
        <v>2022</v>
      </c>
      <c r="J2658" s="2">
        <f>ABS(Data[[#This Row],[Betrag]])</f>
        <v>350</v>
      </c>
      <c r="K2658" s="66" t="str">
        <f>IF(Data[[#This Row],[Betrag]]&lt;0,"A","E")</f>
        <v>A</v>
      </c>
    </row>
    <row r="2659" spans="1:11" x14ac:dyDescent="0.25">
      <c r="A2659" s="1">
        <v>44662</v>
      </c>
      <c r="B2659" s="66" t="s">
        <v>54</v>
      </c>
      <c r="C2659" s="66" t="s">
        <v>55</v>
      </c>
      <c r="D2659" t="s">
        <v>56</v>
      </c>
      <c r="E2659">
        <v>-120</v>
      </c>
      <c r="F2659" s="66" t="s">
        <v>7</v>
      </c>
      <c r="G2659" s="66" t="s">
        <v>57</v>
      </c>
      <c r="H2659" s="66" t="str">
        <f>TEXT(Data[[#This Row],[Buchung]],"MMM")</f>
        <v>Apr</v>
      </c>
      <c r="I2659" s="67">
        <f>YEAR(Data[[#This Row],[Buchung]])</f>
        <v>2022</v>
      </c>
      <c r="J2659" s="2">
        <f>ABS(Data[[#This Row],[Betrag]])</f>
        <v>120</v>
      </c>
      <c r="K2659" s="66" t="str">
        <f>IF(Data[[#This Row],[Betrag]]&lt;0,"A","E")</f>
        <v>A</v>
      </c>
    </row>
    <row r="2660" spans="1:11" x14ac:dyDescent="0.25">
      <c r="A2660" s="1">
        <v>44663</v>
      </c>
      <c r="B2660" s="66" t="s">
        <v>58</v>
      </c>
      <c r="C2660" s="66" t="s">
        <v>59</v>
      </c>
      <c r="D2660" t="s">
        <v>60</v>
      </c>
      <c r="E2660">
        <v>-80</v>
      </c>
      <c r="F2660" s="66" t="s">
        <v>7</v>
      </c>
      <c r="G2660" s="66" t="s">
        <v>10</v>
      </c>
      <c r="H2660" s="66" t="str">
        <f>TEXT(Data[[#This Row],[Buchung]],"MMM")</f>
        <v>Apr</v>
      </c>
      <c r="I2660" s="67">
        <f>YEAR(Data[[#This Row],[Buchung]])</f>
        <v>2022</v>
      </c>
      <c r="J2660" s="2">
        <f>ABS(Data[[#This Row],[Betrag]])</f>
        <v>80</v>
      </c>
      <c r="K2660" s="66" t="str">
        <f>IF(Data[[#This Row],[Betrag]]&lt;0,"A","E")</f>
        <v>A</v>
      </c>
    </row>
    <row r="2661" spans="1:11" x14ac:dyDescent="0.25">
      <c r="A2661" s="1">
        <v>44664</v>
      </c>
      <c r="B2661" s="66" t="s">
        <v>45</v>
      </c>
      <c r="C2661" s="66" t="s">
        <v>46</v>
      </c>
      <c r="D2661" t="s">
        <v>47</v>
      </c>
      <c r="E2661">
        <v>1000</v>
      </c>
      <c r="F2661" s="66" t="s">
        <v>7</v>
      </c>
      <c r="G2661" s="66" t="s">
        <v>9</v>
      </c>
      <c r="H2661" s="66" t="str">
        <f>TEXT(Data[[#This Row],[Buchung]],"MMM")</f>
        <v>Apr</v>
      </c>
      <c r="I2661" s="67">
        <f>YEAR(Data[[#This Row],[Buchung]])</f>
        <v>2022</v>
      </c>
      <c r="J2661" s="2">
        <f>ABS(Data[[#This Row],[Betrag]])</f>
        <v>1000</v>
      </c>
      <c r="K2661" s="66" t="str">
        <f>IF(Data[[#This Row],[Betrag]]&lt;0,"A","E")</f>
        <v>E</v>
      </c>
    </row>
    <row r="2662" spans="1:11" x14ac:dyDescent="0.25">
      <c r="A2662" s="1">
        <v>44665</v>
      </c>
      <c r="B2662" s="66" t="s">
        <v>61</v>
      </c>
      <c r="C2662" s="66" t="s">
        <v>49</v>
      </c>
      <c r="D2662" t="s">
        <v>62</v>
      </c>
      <c r="E2662">
        <v>-10</v>
      </c>
      <c r="F2662" s="66" t="s">
        <v>7</v>
      </c>
      <c r="G2662" s="66" t="s">
        <v>8</v>
      </c>
      <c r="H2662" s="66" t="str">
        <f>TEXT(Data[[#This Row],[Buchung]],"MMM")</f>
        <v>Apr</v>
      </c>
      <c r="I2662" s="67">
        <f>YEAR(Data[[#This Row],[Buchung]])</f>
        <v>2022</v>
      </c>
      <c r="J2662" s="2">
        <f>ABS(Data[[#This Row],[Betrag]])</f>
        <v>10</v>
      </c>
      <c r="K2662" s="66" t="str">
        <f>IF(Data[[#This Row],[Betrag]]&lt;0,"A","E")</f>
        <v>A</v>
      </c>
    </row>
    <row r="2663" spans="1:11" x14ac:dyDescent="0.25">
      <c r="A2663" s="1">
        <v>44666</v>
      </c>
      <c r="B2663" s="66" t="s">
        <v>63</v>
      </c>
      <c r="C2663" s="66" t="s">
        <v>64</v>
      </c>
      <c r="D2663" t="s">
        <v>65</v>
      </c>
      <c r="E2663">
        <v>-65</v>
      </c>
      <c r="F2663" s="66" t="s">
        <v>7</v>
      </c>
      <c r="G2663" s="66" t="s">
        <v>11</v>
      </c>
      <c r="H2663" s="66" t="str">
        <f>TEXT(Data[[#This Row],[Buchung]],"MMM")</f>
        <v>Apr</v>
      </c>
      <c r="I2663" s="67">
        <f>YEAR(Data[[#This Row],[Buchung]])</f>
        <v>2022</v>
      </c>
      <c r="J2663" s="2">
        <f>ABS(Data[[#This Row],[Betrag]])</f>
        <v>65</v>
      </c>
      <c r="K2663" s="66" t="str">
        <f>IF(Data[[#This Row],[Betrag]]&lt;0,"A","E")</f>
        <v>A</v>
      </c>
    </row>
    <row r="2664" spans="1:11" x14ac:dyDescent="0.25">
      <c r="A2664" s="1">
        <v>44667</v>
      </c>
      <c r="B2664" s="66" t="s">
        <v>54</v>
      </c>
      <c r="C2664" s="66" t="s">
        <v>55</v>
      </c>
      <c r="D2664" t="s">
        <v>66</v>
      </c>
      <c r="E2664">
        <v>-80</v>
      </c>
      <c r="F2664" s="66" t="s">
        <v>7</v>
      </c>
      <c r="G2664" s="66" t="s">
        <v>57</v>
      </c>
      <c r="H2664" s="66" t="str">
        <f>TEXT(Data[[#This Row],[Buchung]],"MMM")</f>
        <v>Apr</v>
      </c>
      <c r="I2664" s="67">
        <f>YEAR(Data[[#This Row],[Buchung]])</f>
        <v>2022</v>
      </c>
      <c r="J2664" s="2">
        <f>ABS(Data[[#This Row],[Betrag]])</f>
        <v>80</v>
      </c>
      <c r="K2664" s="66" t="str">
        <f>IF(Data[[#This Row],[Betrag]]&lt;0,"A","E")</f>
        <v>A</v>
      </c>
    </row>
    <row r="2665" spans="1:11" x14ac:dyDescent="0.25">
      <c r="A2665" s="1">
        <v>44668</v>
      </c>
      <c r="B2665" s="66" t="s">
        <v>67</v>
      </c>
      <c r="C2665" s="66" t="s">
        <v>59</v>
      </c>
      <c r="D2665" t="s">
        <v>68</v>
      </c>
      <c r="E2665">
        <v>-35</v>
      </c>
      <c r="F2665" s="66" t="s">
        <v>7</v>
      </c>
      <c r="G2665" s="66" t="s">
        <v>10</v>
      </c>
      <c r="H2665" s="66" t="str">
        <f>TEXT(Data[[#This Row],[Buchung]],"MMM")</f>
        <v>Apr</v>
      </c>
      <c r="I2665" s="67">
        <f>YEAR(Data[[#This Row],[Buchung]])</f>
        <v>2022</v>
      </c>
      <c r="J2665" s="2">
        <f>ABS(Data[[#This Row],[Betrag]])</f>
        <v>35</v>
      </c>
      <c r="K2665" s="66" t="str">
        <f>IF(Data[[#This Row],[Betrag]]&lt;0,"A","E")</f>
        <v>A</v>
      </c>
    </row>
    <row r="2666" spans="1:11" x14ac:dyDescent="0.25">
      <c r="A2666" s="1">
        <v>44669</v>
      </c>
      <c r="B2666" s="66" t="s">
        <v>45</v>
      </c>
      <c r="C2666" s="66" t="s">
        <v>46</v>
      </c>
      <c r="D2666" t="s">
        <v>47</v>
      </c>
      <c r="E2666">
        <v>1000</v>
      </c>
      <c r="F2666" s="66" t="s">
        <v>7</v>
      </c>
      <c r="G2666" s="66" t="s">
        <v>9</v>
      </c>
      <c r="H2666" s="66" t="str">
        <f>TEXT(Data[[#This Row],[Buchung]],"MMM")</f>
        <v>Apr</v>
      </c>
      <c r="I2666" s="67">
        <f>YEAR(Data[[#This Row],[Buchung]])</f>
        <v>2022</v>
      </c>
      <c r="J2666" s="2">
        <f>ABS(Data[[#This Row],[Betrag]])</f>
        <v>1000</v>
      </c>
      <c r="K2666" s="66" t="str">
        <f>IF(Data[[#This Row],[Betrag]]&lt;0,"A","E")</f>
        <v>E</v>
      </c>
    </row>
    <row r="2667" spans="1:11" x14ac:dyDescent="0.25">
      <c r="A2667" s="1">
        <v>44670</v>
      </c>
      <c r="B2667" s="66" t="s">
        <v>45</v>
      </c>
      <c r="C2667" s="66" t="s">
        <v>46</v>
      </c>
      <c r="D2667" t="s">
        <v>47</v>
      </c>
      <c r="E2667">
        <v>1000</v>
      </c>
      <c r="F2667" s="66" t="s">
        <v>7</v>
      </c>
      <c r="G2667" s="66" t="s">
        <v>9</v>
      </c>
      <c r="H2667" s="66" t="str">
        <f>TEXT(Data[[#This Row],[Buchung]],"MMM")</f>
        <v>Apr</v>
      </c>
      <c r="I2667" s="67">
        <f>YEAR(Data[[#This Row],[Buchung]])</f>
        <v>2022</v>
      </c>
      <c r="J2667" s="2">
        <f>ABS(Data[[#This Row],[Betrag]])</f>
        <v>1000</v>
      </c>
      <c r="K2667" s="66" t="str">
        <f>IF(Data[[#This Row],[Betrag]]&lt;0,"A","E")</f>
        <v>E</v>
      </c>
    </row>
    <row r="2668" spans="1:11" x14ac:dyDescent="0.25">
      <c r="A2668" s="1">
        <v>44671</v>
      </c>
      <c r="B2668" s="66" t="s">
        <v>48</v>
      </c>
      <c r="C2668" s="66" t="s">
        <v>49</v>
      </c>
      <c r="D2668" t="s">
        <v>50</v>
      </c>
      <c r="E2668">
        <v>-15</v>
      </c>
      <c r="F2668" s="66" t="s">
        <v>7</v>
      </c>
      <c r="G2668" s="66" t="s">
        <v>8</v>
      </c>
      <c r="H2668" s="66" t="str">
        <f>TEXT(Data[[#This Row],[Buchung]],"MMM")</f>
        <v>Apr</v>
      </c>
      <c r="I2668" s="67">
        <f>YEAR(Data[[#This Row],[Buchung]])</f>
        <v>2022</v>
      </c>
      <c r="J2668" s="2">
        <f>ABS(Data[[#This Row],[Betrag]])</f>
        <v>15</v>
      </c>
      <c r="K2668" s="66" t="str">
        <f>IF(Data[[#This Row],[Betrag]]&lt;0,"A","E")</f>
        <v>A</v>
      </c>
    </row>
    <row r="2669" spans="1:11" x14ac:dyDescent="0.25">
      <c r="A2669" s="1">
        <v>44672</v>
      </c>
      <c r="B2669" s="66" t="s">
        <v>51</v>
      </c>
      <c r="C2669" s="66" t="s">
        <v>52</v>
      </c>
      <c r="D2669" t="s">
        <v>53</v>
      </c>
      <c r="E2669">
        <v>-350</v>
      </c>
      <c r="F2669" s="66" t="s">
        <v>7</v>
      </c>
      <c r="G2669" s="66" t="s">
        <v>11</v>
      </c>
      <c r="H2669" s="66" t="str">
        <f>TEXT(Data[[#This Row],[Buchung]],"MMM")</f>
        <v>Apr</v>
      </c>
      <c r="I2669" s="67">
        <f>YEAR(Data[[#This Row],[Buchung]])</f>
        <v>2022</v>
      </c>
      <c r="J2669" s="2">
        <f>ABS(Data[[#This Row],[Betrag]])</f>
        <v>350</v>
      </c>
      <c r="K2669" s="66" t="str">
        <f>IF(Data[[#This Row],[Betrag]]&lt;0,"A","E")</f>
        <v>A</v>
      </c>
    </row>
    <row r="2670" spans="1:11" x14ac:dyDescent="0.25">
      <c r="A2670" s="1">
        <v>44673</v>
      </c>
      <c r="B2670" s="66" t="s">
        <v>54</v>
      </c>
      <c r="C2670" s="66" t="s">
        <v>55</v>
      </c>
      <c r="D2670" t="s">
        <v>56</v>
      </c>
      <c r="E2670">
        <v>-120</v>
      </c>
      <c r="F2670" s="66" t="s">
        <v>7</v>
      </c>
      <c r="G2670" s="66" t="s">
        <v>57</v>
      </c>
      <c r="H2670" s="66" t="str">
        <f>TEXT(Data[[#This Row],[Buchung]],"MMM")</f>
        <v>Apr</v>
      </c>
      <c r="I2670" s="67">
        <f>YEAR(Data[[#This Row],[Buchung]])</f>
        <v>2022</v>
      </c>
      <c r="J2670" s="2">
        <f>ABS(Data[[#This Row],[Betrag]])</f>
        <v>120</v>
      </c>
      <c r="K2670" s="66" t="str">
        <f>IF(Data[[#This Row],[Betrag]]&lt;0,"A","E")</f>
        <v>A</v>
      </c>
    </row>
    <row r="2671" spans="1:11" x14ac:dyDescent="0.25">
      <c r="A2671" s="1">
        <v>44674</v>
      </c>
      <c r="B2671" s="66" t="s">
        <v>58</v>
      </c>
      <c r="C2671" s="66" t="s">
        <v>59</v>
      </c>
      <c r="D2671" t="s">
        <v>60</v>
      </c>
      <c r="E2671">
        <v>-50</v>
      </c>
      <c r="F2671" s="66" t="s">
        <v>7</v>
      </c>
      <c r="G2671" s="66" t="s">
        <v>10</v>
      </c>
      <c r="H2671" s="66" t="str">
        <f>TEXT(Data[[#This Row],[Buchung]],"MMM")</f>
        <v>Apr</v>
      </c>
      <c r="I2671" s="67">
        <f>YEAR(Data[[#This Row],[Buchung]])</f>
        <v>2022</v>
      </c>
      <c r="J2671" s="2">
        <f>ABS(Data[[#This Row],[Betrag]])</f>
        <v>50</v>
      </c>
      <c r="K2671" s="66" t="str">
        <f>IF(Data[[#This Row],[Betrag]]&lt;0,"A","E")</f>
        <v>A</v>
      </c>
    </row>
    <row r="2672" spans="1:11" x14ac:dyDescent="0.25">
      <c r="A2672" s="1">
        <v>44675</v>
      </c>
      <c r="B2672" s="66" t="s">
        <v>45</v>
      </c>
      <c r="C2672" s="66" t="s">
        <v>46</v>
      </c>
      <c r="D2672" t="s">
        <v>47</v>
      </c>
      <c r="E2672">
        <v>1000</v>
      </c>
      <c r="F2672" s="66" t="s">
        <v>7</v>
      </c>
      <c r="G2672" s="66" t="s">
        <v>9</v>
      </c>
      <c r="H2672" s="66" t="str">
        <f>TEXT(Data[[#This Row],[Buchung]],"MMM")</f>
        <v>Apr</v>
      </c>
      <c r="I2672" s="67">
        <f>YEAR(Data[[#This Row],[Buchung]])</f>
        <v>2022</v>
      </c>
      <c r="J2672" s="2">
        <f>ABS(Data[[#This Row],[Betrag]])</f>
        <v>1000</v>
      </c>
      <c r="K2672" s="66" t="str">
        <f>IF(Data[[#This Row],[Betrag]]&lt;0,"A","E")</f>
        <v>E</v>
      </c>
    </row>
    <row r="2673" spans="1:11" x14ac:dyDescent="0.25">
      <c r="A2673" s="1">
        <v>44676</v>
      </c>
      <c r="B2673" s="66" t="s">
        <v>61</v>
      </c>
      <c r="C2673" s="66" t="s">
        <v>49</v>
      </c>
      <c r="D2673" t="s">
        <v>62</v>
      </c>
      <c r="E2673">
        <v>-10</v>
      </c>
      <c r="F2673" s="66" t="s">
        <v>7</v>
      </c>
      <c r="G2673" s="66" t="s">
        <v>8</v>
      </c>
      <c r="H2673" s="66" t="str">
        <f>TEXT(Data[[#This Row],[Buchung]],"MMM")</f>
        <v>Apr</v>
      </c>
      <c r="I2673" s="67">
        <f>YEAR(Data[[#This Row],[Buchung]])</f>
        <v>2022</v>
      </c>
      <c r="J2673" s="2">
        <f>ABS(Data[[#This Row],[Betrag]])</f>
        <v>10</v>
      </c>
      <c r="K2673" s="66" t="str">
        <f>IF(Data[[#This Row],[Betrag]]&lt;0,"A","E")</f>
        <v>A</v>
      </c>
    </row>
    <row r="2674" spans="1:11" x14ac:dyDescent="0.25">
      <c r="A2674" s="1">
        <v>44677</v>
      </c>
      <c r="B2674" s="66" t="s">
        <v>63</v>
      </c>
      <c r="C2674" s="66" t="s">
        <v>64</v>
      </c>
      <c r="D2674" t="s">
        <v>65</v>
      </c>
      <c r="E2674">
        <v>-60</v>
      </c>
      <c r="F2674" s="66" t="s">
        <v>7</v>
      </c>
      <c r="G2674" s="66" t="s">
        <v>11</v>
      </c>
      <c r="H2674" s="66" t="str">
        <f>TEXT(Data[[#This Row],[Buchung]],"MMM")</f>
        <v>Apr</v>
      </c>
      <c r="I2674" s="67">
        <f>YEAR(Data[[#This Row],[Buchung]])</f>
        <v>2022</v>
      </c>
      <c r="J2674" s="2">
        <f>ABS(Data[[#This Row],[Betrag]])</f>
        <v>60</v>
      </c>
      <c r="K2674" s="66" t="str">
        <f>IF(Data[[#This Row],[Betrag]]&lt;0,"A","E")</f>
        <v>A</v>
      </c>
    </row>
    <row r="2675" spans="1:11" x14ac:dyDescent="0.25">
      <c r="A2675" s="1">
        <v>44678</v>
      </c>
      <c r="B2675" s="66" t="s">
        <v>54</v>
      </c>
      <c r="C2675" s="66" t="s">
        <v>55</v>
      </c>
      <c r="D2675" t="s">
        <v>66</v>
      </c>
      <c r="E2675">
        <v>-80</v>
      </c>
      <c r="F2675" s="66" t="s">
        <v>7</v>
      </c>
      <c r="G2675" s="66" t="s">
        <v>57</v>
      </c>
      <c r="H2675" s="66" t="str">
        <f>TEXT(Data[[#This Row],[Buchung]],"MMM")</f>
        <v>Apr</v>
      </c>
      <c r="I2675" s="67">
        <f>YEAR(Data[[#This Row],[Buchung]])</f>
        <v>2022</v>
      </c>
      <c r="J2675" s="2">
        <f>ABS(Data[[#This Row],[Betrag]])</f>
        <v>80</v>
      </c>
      <c r="K2675" s="66" t="str">
        <f>IF(Data[[#This Row],[Betrag]]&lt;0,"A","E")</f>
        <v>A</v>
      </c>
    </row>
    <row r="2676" spans="1:11" x14ac:dyDescent="0.25">
      <c r="A2676" s="1">
        <v>44679</v>
      </c>
      <c r="B2676" s="66" t="s">
        <v>67</v>
      </c>
      <c r="C2676" s="66" t="s">
        <v>59</v>
      </c>
      <c r="D2676" t="s">
        <v>68</v>
      </c>
      <c r="E2676">
        <v>-20</v>
      </c>
      <c r="F2676" s="66" t="s">
        <v>7</v>
      </c>
      <c r="G2676" s="66" t="s">
        <v>10</v>
      </c>
      <c r="H2676" s="66" t="str">
        <f>TEXT(Data[[#This Row],[Buchung]],"MMM")</f>
        <v>Apr</v>
      </c>
      <c r="I2676" s="67">
        <f>YEAR(Data[[#This Row],[Buchung]])</f>
        <v>2022</v>
      </c>
      <c r="J2676" s="2">
        <f>ABS(Data[[#This Row],[Betrag]])</f>
        <v>20</v>
      </c>
      <c r="K2676" s="66" t="str">
        <f>IF(Data[[#This Row],[Betrag]]&lt;0,"A","E")</f>
        <v>A</v>
      </c>
    </row>
    <row r="2677" spans="1:11" x14ac:dyDescent="0.25">
      <c r="A2677" s="1">
        <v>44680</v>
      </c>
      <c r="B2677" s="66" t="s">
        <v>45</v>
      </c>
      <c r="C2677" s="66" t="s">
        <v>46</v>
      </c>
      <c r="D2677" t="s">
        <v>47</v>
      </c>
      <c r="E2677">
        <v>1000</v>
      </c>
      <c r="F2677" s="66" t="s">
        <v>7</v>
      </c>
      <c r="G2677" s="66" t="s">
        <v>9</v>
      </c>
      <c r="H2677" s="66" t="str">
        <f>TEXT(Data[[#This Row],[Buchung]],"MMM")</f>
        <v>Apr</v>
      </c>
      <c r="I2677" s="67">
        <f>YEAR(Data[[#This Row],[Buchung]])</f>
        <v>2022</v>
      </c>
      <c r="J2677" s="2">
        <f>ABS(Data[[#This Row],[Betrag]])</f>
        <v>1000</v>
      </c>
      <c r="K2677" s="66" t="str">
        <f>IF(Data[[#This Row],[Betrag]]&lt;0,"A","E")</f>
        <v>E</v>
      </c>
    </row>
    <row r="2678" spans="1:11" x14ac:dyDescent="0.25">
      <c r="A2678" s="1">
        <v>44681</v>
      </c>
      <c r="B2678" s="66" t="s">
        <v>48</v>
      </c>
      <c r="C2678" s="66" t="s">
        <v>49</v>
      </c>
      <c r="D2678" t="s">
        <v>50</v>
      </c>
      <c r="E2678">
        <v>-15</v>
      </c>
      <c r="F2678" s="66" t="s">
        <v>7</v>
      </c>
      <c r="G2678" s="66" t="s">
        <v>8</v>
      </c>
      <c r="H2678" s="66" t="str">
        <f>TEXT(Data[[#This Row],[Buchung]],"MMM")</f>
        <v>Apr</v>
      </c>
      <c r="I2678" s="67">
        <f>YEAR(Data[[#This Row],[Buchung]])</f>
        <v>2022</v>
      </c>
      <c r="J2678" s="2">
        <f>ABS(Data[[#This Row],[Betrag]])</f>
        <v>15</v>
      </c>
      <c r="K2678" s="66" t="str">
        <f>IF(Data[[#This Row],[Betrag]]&lt;0,"A","E")</f>
        <v>A</v>
      </c>
    </row>
    <row r="2679" spans="1:11" x14ac:dyDescent="0.25">
      <c r="A2679" s="1">
        <v>44682</v>
      </c>
      <c r="B2679" s="66" t="s">
        <v>51</v>
      </c>
      <c r="C2679" s="66" t="s">
        <v>52</v>
      </c>
      <c r="D2679" t="s">
        <v>53</v>
      </c>
      <c r="E2679">
        <v>-350</v>
      </c>
      <c r="F2679" s="66" t="s">
        <v>7</v>
      </c>
      <c r="G2679" s="66" t="s">
        <v>11</v>
      </c>
      <c r="H2679" s="66" t="str">
        <f>TEXT(Data[[#This Row],[Buchung]],"MMM")</f>
        <v>Mai</v>
      </c>
      <c r="I2679" s="67">
        <f>YEAR(Data[[#This Row],[Buchung]])</f>
        <v>2022</v>
      </c>
      <c r="J2679" s="2">
        <f>ABS(Data[[#This Row],[Betrag]])</f>
        <v>350</v>
      </c>
      <c r="K2679" s="66" t="str">
        <f>IF(Data[[#This Row],[Betrag]]&lt;0,"A","E")</f>
        <v>A</v>
      </c>
    </row>
    <row r="2680" spans="1:11" x14ac:dyDescent="0.25">
      <c r="A2680" s="1">
        <v>44683</v>
      </c>
      <c r="B2680" s="66" t="s">
        <v>54</v>
      </c>
      <c r="C2680" s="66" t="s">
        <v>55</v>
      </c>
      <c r="D2680" t="s">
        <v>56</v>
      </c>
      <c r="E2680">
        <v>-120</v>
      </c>
      <c r="F2680" s="66" t="s">
        <v>7</v>
      </c>
      <c r="G2680" s="66" t="s">
        <v>57</v>
      </c>
      <c r="H2680" s="66" t="str">
        <f>TEXT(Data[[#This Row],[Buchung]],"MMM")</f>
        <v>Mai</v>
      </c>
      <c r="I2680" s="67">
        <f>YEAR(Data[[#This Row],[Buchung]])</f>
        <v>2022</v>
      </c>
      <c r="J2680" s="2">
        <f>ABS(Data[[#This Row],[Betrag]])</f>
        <v>120</v>
      </c>
      <c r="K2680" s="66" t="str">
        <f>IF(Data[[#This Row],[Betrag]]&lt;0,"A","E")</f>
        <v>A</v>
      </c>
    </row>
    <row r="2681" spans="1:11" x14ac:dyDescent="0.25">
      <c r="A2681" s="1">
        <v>44684</v>
      </c>
      <c r="B2681" s="66" t="s">
        <v>58</v>
      </c>
      <c r="C2681" s="66" t="s">
        <v>59</v>
      </c>
      <c r="D2681" t="s">
        <v>60</v>
      </c>
      <c r="E2681">
        <v>-60</v>
      </c>
      <c r="F2681" s="66" t="s">
        <v>7</v>
      </c>
      <c r="G2681" s="66" t="s">
        <v>10</v>
      </c>
      <c r="H2681" s="66" t="str">
        <f>TEXT(Data[[#This Row],[Buchung]],"MMM")</f>
        <v>Mai</v>
      </c>
      <c r="I2681" s="67">
        <f>YEAR(Data[[#This Row],[Buchung]])</f>
        <v>2022</v>
      </c>
      <c r="J2681" s="2">
        <f>ABS(Data[[#This Row],[Betrag]])</f>
        <v>60</v>
      </c>
      <c r="K2681" s="66" t="str">
        <f>IF(Data[[#This Row],[Betrag]]&lt;0,"A","E")</f>
        <v>A</v>
      </c>
    </row>
    <row r="2682" spans="1:11" x14ac:dyDescent="0.25">
      <c r="A2682" s="1">
        <v>44685</v>
      </c>
      <c r="B2682" s="66" t="s">
        <v>45</v>
      </c>
      <c r="C2682" s="66" t="s">
        <v>46</v>
      </c>
      <c r="D2682" t="s">
        <v>47</v>
      </c>
      <c r="E2682">
        <v>1000</v>
      </c>
      <c r="F2682" s="66" t="s">
        <v>7</v>
      </c>
      <c r="G2682" s="66" t="s">
        <v>9</v>
      </c>
      <c r="H2682" s="66" t="str">
        <f>TEXT(Data[[#This Row],[Buchung]],"MMM")</f>
        <v>Mai</v>
      </c>
      <c r="I2682" s="67">
        <f>YEAR(Data[[#This Row],[Buchung]])</f>
        <v>2022</v>
      </c>
      <c r="J2682" s="2">
        <f>ABS(Data[[#This Row],[Betrag]])</f>
        <v>1000</v>
      </c>
      <c r="K2682" s="66" t="str">
        <f>IF(Data[[#This Row],[Betrag]]&lt;0,"A","E")</f>
        <v>E</v>
      </c>
    </row>
    <row r="2683" spans="1:11" x14ac:dyDescent="0.25">
      <c r="A2683" s="1">
        <v>44686</v>
      </c>
      <c r="B2683" s="66" t="s">
        <v>61</v>
      </c>
      <c r="C2683" s="66" t="s">
        <v>49</v>
      </c>
      <c r="D2683" t="s">
        <v>62</v>
      </c>
      <c r="E2683">
        <v>-10</v>
      </c>
      <c r="F2683" s="66" t="s">
        <v>7</v>
      </c>
      <c r="G2683" s="66" t="s">
        <v>8</v>
      </c>
      <c r="H2683" s="66" t="str">
        <f>TEXT(Data[[#This Row],[Buchung]],"MMM")</f>
        <v>Mai</v>
      </c>
      <c r="I2683" s="67">
        <f>YEAR(Data[[#This Row],[Buchung]])</f>
        <v>2022</v>
      </c>
      <c r="J2683" s="2">
        <f>ABS(Data[[#This Row],[Betrag]])</f>
        <v>10</v>
      </c>
      <c r="K2683" s="66" t="str">
        <f>IF(Data[[#This Row],[Betrag]]&lt;0,"A","E")</f>
        <v>A</v>
      </c>
    </row>
    <row r="2684" spans="1:11" x14ac:dyDescent="0.25">
      <c r="A2684" s="1">
        <v>44687</v>
      </c>
      <c r="B2684" s="66" t="s">
        <v>63</v>
      </c>
      <c r="C2684" s="66" t="s">
        <v>64</v>
      </c>
      <c r="D2684" t="s">
        <v>65</v>
      </c>
      <c r="E2684">
        <v>-70</v>
      </c>
      <c r="F2684" s="66" t="s">
        <v>7</v>
      </c>
      <c r="G2684" s="66" t="s">
        <v>11</v>
      </c>
      <c r="H2684" s="66" t="str">
        <f>TEXT(Data[[#This Row],[Buchung]],"MMM")</f>
        <v>Mai</v>
      </c>
      <c r="I2684" s="67">
        <f>YEAR(Data[[#This Row],[Buchung]])</f>
        <v>2022</v>
      </c>
      <c r="J2684" s="2">
        <f>ABS(Data[[#This Row],[Betrag]])</f>
        <v>70</v>
      </c>
      <c r="K2684" s="66" t="str">
        <f>IF(Data[[#This Row],[Betrag]]&lt;0,"A","E")</f>
        <v>A</v>
      </c>
    </row>
    <row r="2685" spans="1:11" x14ac:dyDescent="0.25">
      <c r="A2685" s="1">
        <v>44688</v>
      </c>
      <c r="B2685" s="66" t="s">
        <v>54</v>
      </c>
      <c r="C2685" s="66" t="s">
        <v>55</v>
      </c>
      <c r="D2685" t="s">
        <v>66</v>
      </c>
      <c r="E2685">
        <v>-80</v>
      </c>
      <c r="F2685" s="66" t="s">
        <v>7</v>
      </c>
      <c r="G2685" s="66" t="s">
        <v>57</v>
      </c>
      <c r="H2685" s="66" t="str">
        <f>TEXT(Data[[#This Row],[Buchung]],"MMM")</f>
        <v>Mai</v>
      </c>
      <c r="I2685" s="67">
        <f>YEAR(Data[[#This Row],[Buchung]])</f>
        <v>2022</v>
      </c>
      <c r="J2685" s="2">
        <f>ABS(Data[[#This Row],[Betrag]])</f>
        <v>80</v>
      </c>
      <c r="K2685" s="66" t="str">
        <f>IF(Data[[#This Row],[Betrag]]&lt;0,"A","E")</f>
        <v>A</v>
      </c>
    </row>
    <row r="2686" spans="1:11" x14ac:dyDescent="0.25">
      <c r="A2686" s="1">
        <v>44689</v>
      </c>
      <c r="B2686" s="66" t="s">
        <v>67</v>
      </c>
      <c r="C2686" s="66" t="s">
        <v>59</v>
      </c>
      <c r="D2686" t="s">
        <v>68</v>
      </c>
      <c r="E2686">
        <v>-25</v>
      </c>
      <c r="F2686" s="66" t="s">
        <v>7</v>
      </c>
      <c r="G2686" s="66" t="s">
        <v>10</v>
      </c>
      <c r="H2686" s="66" t="str">
        <f>TEXT(Data[[#This Row],[Buchung]],"MMM")</f>
        <v>Mai</v>
      </c>
      <c r="I2686" s="67">
        <f>YEAR(Data[[#This Row],[Buchung]])</f>
        <v>2022</v>
      </c>
      <c r="J2686" s="2">
        <f>ABS(Data[[#This Row],[Betrag]])</f>
        <v>25</v>
      </c>
      <c r="K2686" s="66" t="str">
        <f>IF(Data[[#This Row],[Betrag]]&lt;0,"A","E")</f>
        <v>A</v>
      </c>
    </row>
    <row r="2687" spans="1:11" x14ac:dyDescent="0.25">
      <c r="A2687" s="1">
        <v>44690</v>
      </c>
      <c r="B2687" s="66" t="s">
        <v>45</v>
      </c>
      <c r="C2687" s="66" t="s">
        <v>46</v>
      </c>
      <c r="D2687" t="s">
        <v>47</v>
      </c>
      <c r="E2687">
        <v>1000</v>
      </c>
      <c r="F2687" s="66" t="s">
        <v>7</v>
      </c>
      <c r="G2687" s="66" t="s">
        <v>9</v>
      </c>
      <c r="H2687" s="66" t="str">
        <f>TEXT(Data[[#This Row],[Buchung]],"MMM")</f>
        <v>Mai</v>
      </c>
      <c r="I2687" s="67">
        <f>YEAR(Data[[#This Row],[Buchung]])</f>
        <v>2022</v>
      </c>
      <c r="J2687" s="2">
        <f>ABS(Data[[#This Row],[Betrag]])</f>
        <v>1000</v>
      </c>
      <c r="K2687" s="66" t="str">
        <f>IF(Data[[#This Row],[Betrag]]&lt;0,"A","E")</f>
        <v>E</v>
      </c>
    </row>
    <row r="2688" spans="1:11" x14ac:dyDescent="0.25">
      <c r="A2688" s="1">
        <v>44691</v>
      </c>
      <c r="B2688" s="66" t="s">
        <v>48</v>
      </c>
      <c r="C2688" s="66" t="s">
        <v>49</v>
      </c>
      <c r="D2688" t="s">
        <v>50</v>
      </c>
      <c r="E2688">
        <v>-15</v>
      </c>
      <c r="F2688" s="66" t="s">
        <v>7</v>
      </c>
      <c r="G2688" s="66" t="s">
        <v>8</v>
      </c>
      <c r="H2688" s="66" t="str">
        <f>TEXT(Data[[#This Row],[Buchung]],"MMM")</f>
        <v>Mai</v>
      </c>
      <c r="I2688" s="67">
        <f>YEAR(Data[[#This Row],[Buchung]])</f>
        <v>2022</v>
      </c>
      <c r="J2688" s="2">
        <f>ABS(Data[[#This Row],[Betrag]])</f>
        <v>15</v>
      </c>
      <c r="K2688" s="66" t="str">
        <f>IF(Data[[#This Row],[Betrag]]&lt;0,"A","E")</f>
        <v>A</v>
      </c>
    </row>
    <row r="2689" spans="1:11" x14ac:dyDescent="0.25">
      <c r="A2689" s="1">
        <v>44692</v>
      </c>
      <c r="B2689" s="66" t="s">
        <v>51</v>
      </c>
      <c r="C2689" s="66" t="s">
        <v>52</v>
      </c>
      <c r="D2689" t="s">
        <v>53</v>
      </c>
      <c r="E2689">
        <v>-350</v>
      </c>
      <c r="F2689" s="66" t="s">
        <v>7</v>
      </c>
      <c r="G2689" s="66" t="s">
        <v>11</v>
      </c>
      <c r="H2689" s="66" t="str">
        <f>TEXT(Data[[#This Row],[Buchung]],"MMM")</f>
        <v>Mai</v>
      </c>
      <c r="I2689" s="67">
        <f>YEAR(Data[[#This Row],[Buchung]])</f>
        <v>2022</v>
      </c>
      <c r="J2689" s="2">
        <f>ABS(Data[[#This Row],[Betrag]])</f>
        <v>350</v>
      </c>
      <c r="K2689" s="66" t="str">
        <f>IF(Data[[#This Row],[Betrag]]&lt;0,"A","E")</f>
        <v>A</v>
      </c>
    </row>
    <row r="2690" spans="1:11" x14ac:dyDescent="0.25">
      <c r="A2690" s="1">
        <v>44693</v>
      </c>
      <c r="B2690" s="66" t="s">
        <v>54</v>
      </c>
      <c r="C2690" s="66" t="s">
        <v>55</v>
      </c>
      <c r="D2690" t="s">
        <v>56</v>
      </c>
      <c r="E2690">
        <v>-120</v>
      </c>
      <c r="F2690" s="66" t="s">
        <v>7</v>
      </c>
      <c r="G2690" s="66" t="s">
        <v>57</v>
      </c>
      <c r="H2690" s="66" t="str">
        <f>TEXT(Data[[#This Row],[Buchung]],"MMM")</f>
        <v>Mai</v>
      </c>
      <c r="I2690" s="67">
        <f>YEAR(Data[[#This Row],[Buchung]])</f>
        <v>2022</v>
      </c>
      <c r="J2690" s="2">
        <f>ABS(Data[[#This Row],[Betrag]])</f>
        <v>120</v>
      </c>
      <c r="K2690" s="66" t="str">
        <f>IF(Data[[#This Row],[Betrag]]&lt;0,"A","E")</f>
        <v>A</v>
      </c>
    </row>
    <row r="2691" spans="1:11" x14ac:dyDescent="0.25">
      <c r="A2691" s="1">
        <v>44694</v>
      </c>
      <c r="B2691" s="66" t="s">
        <v>58</v>
      </c>
      <c r="C2691" s="66" t="s">
        <v>59</v>
      </c>
      <c r="D2691" t="s">
        <v>60</v>
      </c>
      <c r="E2691">
        <v>-70</v>
      </c>
      <c r="F2691" s="66" t="s">
        <v>7</v>
      </c>
      <c r="G2691" s="66" t="s">
        <v>10</v>
      </c>
      <c r="H2691" s="66" t="str">
        <f>TEXT(Data[[#This Row],[Buchung]],"MMM")</f>
        <v>Mai</v>
      </c>
      <c r="I2691" s="67">
        <f>YEAR(Data[[#This Row],[Buchung]])</f>
        <v>2022</v>
      </c>
      <c r="J2691" s="2">
        <f>ABS(Data[[#This Row],[Betrag]])</f>
        <v>70</v>
      </c>
      <c r="K2691" s="66" t="str">
        <f>IF(Data[[#This Row],[Betrag]]&lt;0,"A","E")</f>
        <v>A</v>
      </c>
    </row>
    <row r="2692" spans="1:11" x14ac:dyDescent="0.25">
      <c r="A2692" s="1">
        <v>44695</v>
      </c>
      <c r="B2692" s="66" t="s">
        <v>45</v>
      </c>
      <c r="C2692" s="66" t="s">
        <v>46</v>
      </c>
      <c r="D2692" t="s">
        <v>47</v>
      </c>
      <c r="E2692">
        <v>1000</v>
      </c>
      <c r="F2692" s="66" t="s">
        <v>7</v>
      </c>
      <c r="G2692" s="66" t="s">
        <v>9</v>
      </c>
      <c r="H2692" s="66" t="str">
        <f>TEXT(Data[[#This Row],[Buchung]],"MMM")</f>
        <v>Mai</v>
      </c>
      <c r="I2692" s="67">
        <f>YEAR(Data[[#This Row],[Buchung]])</f>
        <v>2022</v>
      </c>
      <c r="J2692" s="2">
        <f>ABS(Data[[#This Row],[Betrag]])</f>
        <v>1000</v>
      </c>
      <c r="K2692" s="66" t="str">
        <f>IF(Data[[#This Row],[Betrag]]&lt;0,"A","E")</f>
        <v>E</v>
      </c>
    </row>
    <row r="2693" spans="1:11" x14ac:dyDescent="0.25">
      <c r="A2693" s="1">
        <v>44696</v>
      </c>
      <c r="B2693" s="66" t="s">
        <v>61</v>
      </c>
      <c r="C2693" s="66" t="s">
        <v>49</v>
      </c>
      <c r="D2693" t="s">
        <v>62</v>
      </c>
      <c r="E2693">
        <v>-10</v>
      </c>
      <c r="F2693" s="66" t="s">
        <v>7</v>
      </c>
      <c r="G2693" s="66" t="s">
        <v>8</v>
      </c>
      <c r="H2693" s="66" t="str">
        <f>TEXT(Data[[#This Row],[Buchung]],"MMM")</f>
        <v>Mai</v>
      </c>
      <c r="I2693" s="67">
        <f>YEAR(Data[[#This Row],[Buchung]])</f>
        <v>2022</v>
      </c>
      <c r="J2693" s="2">
        <f>ABS(Data[[#This Row],[Betrag]])</f>
        <v>10</v>
      </c>
      <c r="K2693" s="66" t="str">
        <f>IF(Data[[#This Row],[Betrag]]&lt;0,"A","E")</f>
        <v>A</v>
      </c>
    </row>
    <row r="2694" spans="1:11" x14ac:dyDescent="0.25">
      <c r="A2694" s="1">
        <v>44697</v>
      </c>
      <c r="B2694" s="66" t="s">
        <v>63</v>
      </c>
      <c r="C2694" s="66" t="s">
        <v>64</v>
      </c>
      <c r="D2694" t="s">
        <v>65</v>
      </c>
      <c r="E2694">
        <v>-60</v>
      </c>
      <c r="F2694" s="66" t="s">
        <v>7</v>
      </c>
      <c r="G2694" s="66" t="s">
        <v>11</v>
      </c>
      <c r="H2694" s="66" t="str">
        <f>TEXT(Data[[#This Row],[Buchung]],"MMM")</f>
        <v>Mai</v>
      </c>
      <c r="I2694" s="67">
        <f>YEAR(Data[[#This Row],[Buchung]])</f>
        <v>2022</v>
      </c>
      <c r="J2694" s="2">
        <f>ABS(Data[[#This Row],[Betrag]])</f>
        <v>60</v>
      </c>
      <c r="K2694" s="66" t="str">
        <f>IF(Data[[#This Row],[Betrag]]&lt;0,"A","E")</f>
        <v>A</v>
      </c>
    </row>
    <row r="2695" spans="1:11" x14ac:dyDescent="0.25">
      <c r="A2695" s="1">
        <v>44698</v>
      </c>
      <c r="B2695" s="66" t="s">
        <v>54</v>
      </c>
      <c r="C2695" s="66" t="s">
        <v>55</v>
      </c>
      <c r="D2695" t="s">
        <v>66</v>
      </c>
      <c r="E2695">
        <v>-80</v>
      </c>
      <c r="F2695" s="66" t="s">
        <v>7</v>
      </c>
      <c r="G2695" s="66" t="s">
        <v>57</v>
      </c>
      <c r="H2695" s="66" t="str">
        <f>TEXT(Data[[#This Row],[Buchung]],"MMM")</f>
        <v>Mai</v>
      </c>
      <c r="I2695" s="67">
        <f>YEAR(Data[[#This Row],[Buchung]])</f>
        <v>2022</v>
      </c>
      <c r="J2695" s="2">
        <f>ABS(Data[[#This Row],[Betrag]])</f>
        <v>80</v>
      </c>
      <c r="K2695" s="66" t="str">
        <f>IF(Data[[#This Row],[Betrag]]&lt;0,"A","E")</f>
        <v>A</v>
      </c>
    </row>
    <row r="2696" spans="1:11" x14ac:dyDescent="0.25">
      <c r="A2696" s="1">
        <v>44699</v>
      </c>
      <c r="B2696" s="66" t="s">
        <v>67</v>
      </c>
      <c r="C2696" s="66" t="s">
        <v>59</v>
      </c>
      <c r="D2696" t="s">
        <v>68</v>
      </c>
      <c r="E2696">
        <v>-30</v>
      </c>
      <c r="F2696" s="66" t="s">
        <v>7</v>
      </c>
      <c r="G2696" s="66" t="s">
        <v>10</v>
      </c>
      <c r="H2696" s="66" t="str">
        <f>TEXT(Data[[#This Row],[Buchung]],"MMM")</f>
        <v>Mai</v>
      </c>
      <c r="I2696" s="67">
        <f>YEAR(Data[[#This Row],[Buchung]])</f>
        <v>2022</v>
      </c>
      <c r="J2696" s="2">
        <f>ABS(Data[[#This Row],[Betrag]])</f>
        <v>30</v>
      </c>
      <c r="K2696" s="66" t="str">
        <f>IF(Data[[#This Row],[Betrag]]&lt;0,"A","E")</f>
        <v>A</v>
      </c>
    </row>
    <row r="2697" spans="1:11" x14ac:dyDescent="0.25">
      <c r="A2697" s="1">
        <v>44700</v>
      </c>
      <c r="B2697" s="66" t="s">
        <v>45</v>
      </c>
      <c r="C2697" s="66" t="s">
        <v>46</v>
      </c>
      <c r="D2697" t="s">
        <v>47</v>
      </c>
      <c r="E2697">
        <v>1000</v>
      </c>
      <c r="F2697" s="66" t="s">
        <v>7</v>
      </c>
      <c r="G2697" s="66" t="s">
        <v>9</v>
      </c>
      <c r="H2697" s="66" t="str">
        <f>TEXT(Data[[#This Row],[Buchung]],"MMM")</f>
        <v>Mai</v>
      </c>
      <c r="I2697" s="67">
        <f>YEAR(Data[[#This Row],[Buchung]])</f>
        <v>2022</v>
      </c>
      <c r="J2697" s="2">
        <f>ABS(Data[[#This Row],[Betrag]])</f>
        <v>1000</v>
      </c>
      <c r="K2697" s="66" t="str">
        <f>IF(Data[[#This Row],[Betrag]]&lt;0,"A","E")</f>
        <v>E</v>
      </c>
    </row>
    <row r="2698" spans="1:11" x14ac:dyDescent="0.25">
      <c r="A2698" s="1">
        <v>44701</v>
      </c>
      <c r="B2698" s="66" t="s">
        <v>48</v>
      </c>
      <c r="C2698" s="66" t="s">
        <v>49</v>
      </c>
      <c r="D2698" t="s">
        <v>50</v>
      </c>
      <c r="E2698">
        <v>-15</v>
      </c>
      <c r="F2698" s="66" t="s">
        <v>7</v>
      </c>
      <c r="G2698" s="66" t="s">
        <v>8</v>
      </c>
      <c r="H2698" s="66" t="str">
        <f>TEXT(Data[[#This Row],[Buchung]],"MMM")</f>
        <v>Mai</v>
      </c>
      <c r="I2698" s="67">
        <f>YEAR(Data[[#This Row],[Buchung]])</f>
        <v>2022</v>
      </c>
      <c r="J2698" s="2">
        <f>ABS(Data[[#This Row],[Betrag]])</f>
        <v>15</v>
      </c>
      <c r="K2698" s="66" t="str">
        <f>IF(Data[[#This Row],[Betrag]]&lt;0,"A","E")</f>
        <v>A</v>
      </c>
    </row>
    <row r="2699" spans="1:11" x14ac:dyDescent="0.25">
      <c r="A2699" s="1">
        <v>44702</v>
      </c>
      <c r="B2699" s="66" t="s">
        <v>51</v>
      </c>
      <c r="C2699" s="66" t="s">
        <v>52</v>
      </c>
      <c r="D2699" t="s">
        <v>53</v>
      </c>
      <c r="E2699">
        <v>-350</v>
      </c>
      <c r="F2699" s="66" t="s">
        <v>7</v>
      </c>
      <c r="G2699" s="66" t="s">
        <v>11</v>
      </c>
      <c r="H2699" s="66" t="str">
        <f>TEXT(Data[[#This Row],[Buchung]],"MMM")</f>
        <v>Mai</v>
      </c>
      <c r="I2699" s="67">
        <f>YEAR(Data[[#This Row],[Buchung]])</f>
        <v>2022</v>
      </c>
      <c r="J2699" s="2">
        <f>ABS(Data[[#This Row],[Betrag]])</f>
        <v>350</v>
      </c>
      <c r="K2699" s="66" t="str">
        <f>IF(Data[[#This Row],[Betrag]]&lt;0,"A","E")</f>
        <v>A</v>
      </c>
    </row>
    <row r="2700" spans="1:11" x14ac:dyDescent="0.25">
      <c r="A2700" s="1">
        <v>44703</v>
      </c>
      <c r="B2700" s="66" t="s">
        <v>54</v>
      </c>
      <c r="C2700" s="66" t="s">
        <v>55</v>
      </c>
      <c r="D2700" t="s">
        <v>56</v>
      </c>
      <c r="E2700">
        <v>-120</v>
      </c>
      <c r="F2700" s="66" t="s">
        <v>7</v>
      </c>
      <c r="G2700" s="66" t="s">
        <v>57</v>
      </c>
      <c r="H2700" s="66" t="str">
        <f>TEXT(Data[[#This Row],[Buchung]],"MMM")</f>
        <v>Mai</v>
      </c>
      <c r="I2700" s="67">
        <f>YEAR(Data[[#This Row],[Buchung]])</f>
        <v>2022</v>
      </c>
      <c r="J2700" s="2">
        <f>ABS(Data[[#This Row],[Betrag]])</f>
        <v>120</v>
      </c>
      <c r="K2700" s="66" t="str">
        <f>IF(Data[[#This Row],[Betrag]]&lt;0,"A","E")</f>
        <v>A</v>
      </c>
    </row>
    <row r="2701" spans="1:11" x14ac:dyDescent="0.25">
      <c r="A2701" s="1">
        <v>44704</v>
      </c>
      <c r="B2701" s="66" t="s">
        <v>58</v>
      </c>
      <c r="C2701" s="66" t="s">
        <v>59</v>
      </c>
      <c r="D2701" t="s">
        <v>60</v>
      </c>
      <c r="E2701">
        <v>-80</v>
      </c>
      <c r="F2701" s="66" t="s">
        <v>7</v>
      </c>
      <c r="G2701" s="66" t="s">
        <v>10</v>
      </c>
      <c r="H2701" s="66" t="str">
        <f>TEXT(Data[[#This Row],[Buchung]],"MMM")</f>
        <v>Mai</v>
      </c>
      <c r="I2701" s="67">
        <f>YEAR(Data[[#This Row],[Buchung]])</f>
        <v>2022</v>
      </c>
      <c r="J2701" s="2">
        <f>ABS(Data[[#This Row],[Betrag]])</f>
        <v>80</v>
      </c>
      <c r="K2701" s="66" t="str">
        <f>IF(Data[[#This Row],[Betrag]]&lt;0,"A","E")</f>
        <v>A</v>
      </c>
    </row>
    <row r="2702" spans="1:11" x14ac:dyDescent="0.25">
      <c r="A2702" s="1">
        <v>44705</v>
      </c>
      <c r="B2702" s="66" t="s">
        <v>45</v>
      </c>
      <c r="C2702" s="66" t="s">
        <v>46</v>
      </c>
      <c r="D2702" t="s">
        <v>47</v>
      </c>
      <c r="E2702">
        <v>1000</v>
      </c>
      <c r="F2702" s="66" t="s">
        <v>7</v>
      </c>
      <c r="G2702" s="66" t="s">
        <v>9</v>
      </c>
      <c r="H2702" s="66" t="str">
        <f>TEXT(Data[[#This Row],[Buchung]],"MMM")</f>
        <v>Mai</v>
      </c>
      <c r="I2702" s="67">
        <f>YEAR(Data[[#This Row],[Buchung]])</f>
        <v>2022</v>
      </c>
      <c r="J2702" s="2">
        <f>ABS(Data[[#This Row],[Betrag]])</f>
        <v>1000</v>
      </c>
      <c r="K2702" s="66" t="str">
        <f>IF(Data[[#This Row],[Betrag]]&lt;0,"A","E")</f>
        <v>E</v>
      </c>
    </row>
    <row r="2703" spans="1:11" x14ac:dyDescent="0.25">
      <c r="A2703" s="1">
        <v>44706</v>
      </c>
      <c r="B2703" s="66" t="s">
        <v>61</v>
      </c>
      <c r="C2703" s="66" t="s">
        <v>49</v>
      </c>
      <c r="D2703" t="s">
        <v>62</v>
      </c>
      <c r="E2703">
        <v>-10</v>
      </c>
      <c r="F2703" s="66" t="s">
        <v>7</v>
      </c>
      <c r="G2703" s="66" t="s">
        <v>8</v>
      </c>
      <c r="H2703" s="66" t="str">
        <f>TEXT(Data[[#This Row],[Buchung]],"MMM")</f>
        <v>Mai</v>
      </c>
      <c r="I2703" s="67">
        <f>YEAR(Data[[#This Row],[Buchung]])</f>
        <v>2022</v>
      </c>
      <c r="J2703" s="2">
        <f>ABS(Data[[#This Row],[Betrag]])</f>
        <v>10</v>
      </c>
      <c r="K2703" s="66" t="str">
        <f>IF(Data[[#This Row],[Betrag]]&lt;0,"A","E")</f>
        <v>A</v>
      </c>
    </row>
    <row r="2704" spans="1:11" x14ac:dyDescent="0.25">
      <c r="A2704" s="1">
        <v>44707</v>
      </c>
      <c r="B2704" s="66" t="s">
        <v>63</v>
      </c>
      <c r="C2704" s="66" t="s">
        <v>64</v>
      </c>
      <c r="D2704" t="s">
        <v>65</v>
      </c>
      <c r="E2704">
        <v>-65</v>
      </c>
      <c r="F2704" s="66" t="s">
        <v>7</v>
      </c>
      <c r="G2704" s="66" t="s">
        <v>11</v>
      </c>
      <c r="H2704" s="66" t="str">
        <f>TEXT(Data[[#This Row],[Buchung]],"MMM")</f>
        <v>Mai</v>
      </c>
      <c r="I2704" s="67">
        <f>YEAR(Data[[#This Row],[Buchung]])</f>
        <v>2022</v>
      </c>
      <c r="J2704" s="2">
        <f>ABS(Data[[#This Row],[Betrag]])</f>
        <v>65</v>
      </c>
      <c r="K2704" s="66" t="str">
        <f>IF(Data[[#This Row],[Betrag]]&lt;0,"A","E")</f>
        <v>A</v>
      </c>
    </row>
    <row r="2705" spans="1:11" x14ac:dyDescent="0.25">
      <c r="A2705" s="1">
        <v>44708</v>
      </c>
      <c r="B2705" s="66" t="s">
        <v>54</v>
      </c>
      <c r="C2705" s="66" t="s">
        <v>55</v>
      </c>
      <c r="D2705" t="s">
        <v>66</v>
      </c>
      <c r="E2705">
        <v>-80</v>
      </c>
      <c r="F2705" s="66" t="s">
        <v>7</v>
      </c>
      <c r="G2705" s="66" t="s">
        <v>57</v>
      </c>
      <c r="H2705" s="66" t="str">
        <f>TEXT(Data[[#This Row],[Buchung]],"MMM")</f>
        <v>Mai</v>
      </c>
      <c r="I2705" s="67">
        <f>YEAR(Data[[#This Row],[Buchung]])</f>
        <v>2022</v>
      </c>
      <c r="J2705" s="2">
        <f>ABS(Data[[#This Row],[Betrag]])</f>
        <v>80</v>
      </c>
      <c r="K2705" s="66" t="str">
        <f>IF(Data[[#This Row],[Betrag]]&lt;0,"A","E")</f>
        <v>A</v>
      </c>
    </row>
    <row r="2706" spans="1:11" x14ac:dyDescent="0.25">
      <c r="A2706" s="1">
        <v>44709</v>
      </c>
      <c r="B2706" s="66" t="s">
        <v>67</v>
      </c>
      <c r="C2706" s="66" t="s">
        <v>59</v>
      </c>
      <c r="D2706" t="s">
        <v>68</v>
      </c>
      <c r="E2706">
        <v>-35</v>
      </c>
      <c r="F2706" s="66" t="s">
        <v>7</v>
      </c>
      <c r="G2706" s="66" t="s">
        <v>10</v>
      </c>
      <c r="H2706" s="66" t="str">
        <f>TEXT(Data[[#This Row],[Buchung]],"MMM")</f>
        <v>Mai</v>
      </c>
      <c r="I2706" s="67">
        <f>YEAR(Data[[#This Row],[Buchung]])</f>
        <v>2022</v>
      </c>
      <c r="J2706" s="2">
        <f>ABS(Data[[#This Row],[Betrag]])</f>
        <v>35</v>
      </c>
      <c r="K2706" s="66" t="str">
        <f>IF(Data[[#This Row],[Betrag]]&lt;0,"A","E")</f>
        <v>A</v>
      </c>
    </row>
    <row r="2707" spans="1:11" x14ac:dyDescent="0.25">
      <c r="A2707" s="1">
        <v>44710</v>
      </c>
      <c r="B2707" s="66" t="s">
        <v>45</v>
      </c>
      <c r="C2707" s="66" t="s">
        <v>46</v>
      </c>
      <c r="D2707" t="s">
        <v>47</v>
      </c>
      <c r="E2707">
        <v>1000</v>
      </c>
      <c r="F2707" s="66" t="s">
        <v>7</v>
      </c>
      <c r="G2707" s="66" t="s">
        <v>9</v>
      </c>
      <c r="H2707" s="66" t="str">
        <f>TEXT(Data[[#This Row],[Buchung]],"MMM")</f>
        <v>Mai</v>
      </c>
      <c r="I2707" s="67">
        <f>YEAR(Data[[#This Row],[Buchung]])</f>
        <v>2022</v>
      </c>
      <c r="J2707" s="2">
        <f>ABS(Data[[#This Row],[Betrag]])</f>
        <v>1000</v>
      </c>
      <c r="K2707" s="66" t="str">
        <f>IF(Data[[#This Row],[Betrag]]&lt;0,"A","E")</f>
        <v>E</v>
      </c>
    </row>
    <row r="2708" spans="1:11" x14ac:dyDescent="0.25">
      <c r="A2708" s="1">
        <v>44711</v>
      </c>
      <c r="B2708" s="66" t="s">
        <v>45</v>
      </c>
      <c r="C2708" s="66" t="s">
        <v>46</v>
      </c>
      <c r="D2708" t="s">
        <v>47</v>
      </c>
      <c r="E2708">
        <v>1000</v>
      </c>
      <c r="F2708" s="66" t="s">
        <v>7</v>
      </c>
      <c r="G2708" s="66" t="s">
        <v>9</v>
      </c>
      <c r="H2708" s="66" t="str">
        <f>TEXT(Data[[#This Row],[Buchung]],"MMM")</f>
        <v>Mai</v>
      </c>
      <c r="I2708" s="67">
        <f>YEAR(Data[[#This Row],[Buchung]])</f>
        <v>2022</v>
      </c>
      <c r="J2708" s="2">
        <f>ABS(Data[[#This Row],[Betrag]])</f>
        <v>1000</v>
      </c>
      <c r="K2708" s="66" t="str">
        <f>IF(Data[[#This Row],[Betrag]]&lt;0,"A","E")</f>
        <v>E</v>
      </c>
    </row>
    <row r="2709" spans="1:11" x14ac:dyDescent="0.25">
      <c r="A2709" s="1">
        <v>44712</v>
      </c>
      <c r="B2709" s="66" t="s">
        <v>48</v>
      </c>
      <c r="C2709" s="66" t="s">
        <v>49</v>
      </c>
      <c r="D2709" t="s">
        <v>50</v>
      </c>
      <c r="E2709">
        <v>-15</v>
      </c>
      <c r="F2709" s="66" t="s">
        <v>7</v>
      </c>
      <c r="G2709" s="66" t="s">
        <v>8</v>
      </c>
      <c r="H2709" s="66" t="str">
        <f>TEXT(Data[[#This Row],[Buchung]],"MMM")</f>
        <v>Mai</v>
      </c>
      <c r="I2709" s="67">
        <f>YEAR(Data[[#This Row],[Buchung]])</f>
        <v>2022</v>
      </c>
      <c r="J2709" s="2">
        <f>ABS(Data[[#This Row],[Betrag]])</f>
        <v>15</v>
      </c>
      <c r="K2709" s="66" t="str">
        <f>IF(Data[[#This Row],[Betrag]]&lt;0,"A","E")</f>
        <v>A</v>
      </c>
    </row>
    <row r="2710" spans="1:11" x14ac:dyDescent="0.25">
      <c r="A2710" s="1">
        <v>44713</v>
      </c>
      <c r="B2710" s="66" t="s">
        <v>51</v>
      </c>
      <c r="C2710" s="66" t="s">
        <v>52</v>
      </c>
      <c r="D2710" t="s">
        <v>53</v>
      </c>
      <c r="E2710">
        <v>-350</v>
      </c>
      <c r="F2710" s="66" t="s">
        <v>7</v>
      </c>
      <c r="G2710" s="66" t="s">
        <v>11</v>
      </c>
      <c r="H2710" s="66" t="str">
        <f>TEXT(Data[[#This Row],[Buchung]],"MMM")</f>
        <v>Jun</v>
      </c>
      <c r="I2710" s="67">
        <f>YEAR(Data[[#This Row],[Buchung]])</f>
        <v>2022</v>
      </c>
      <c r="J2710" s="2">
        <f>ABS(Data[[#This Row],[Betrag]])</f>
        <v>350</v>
      </c>
      <c r="K2710" s="66" t="str">
        <f>IF(Data[[#This Row],[Betrag]]&lt;0,"A","E")</f>
        <v>A</v>
      </c>
    </row>
    <row r="2711" spans="1:11" x14ac:dyDescent="0.25">
      <c r="A2711" s="1">
        <v>44714</v>
      </c>
      <c r="B2711" s="66" t="s">
        <v>54</v>
      </c>
      <c r="C2711" s="66" t="s">
        <v>55</v>
      </c>
      <c r="D2711" t="s">
        <v>56</v>
      </c>
      <c r="E2711">
        <v>-120</v>
      </c>
      <c r="F2711" s="66" t="s">
        <v>7</v>
      </c>
      <c r="G2711" s="66" t="s">
        <v>57</v>
      </c>
      <c r="H2711" s="66" t="str">
        <f>TEXT(Data[[#This Row],[Buchung]],"MMM")</f>
        <v>Jun</v>
      </c>
      <c r="I2711" s="67">
        <f>YEAR(Data[[#This Row],[Buchung]])</f>
        <v>2022</v>
      </c>
      <c r="J2711" s="2">
        <f>ABS(Data[[#This Row],[Betrag]])</f>
        <v>120</v>
      </c>
      <c r="K2711" s="66" t="str">
        <f>IF(Data[[#This Row],[Betrag]]&lt;0,"A","E")</f>
        <v>A</v>
      </c>
    </row>
    <row r="2712" spans="1:11" x14ac:dyDescent="0.25">
      <c r="A2712" s="1">
        <v>44715</v>
      </c>
      <c r="B2712" s="66" t="s">
        <v>58</v>
      </c>
      <c r="C2712" s="66" t="s">
        <v>59</v>
      </c>
      <c r="D2712" t="s">
        <v>60</v>
      </c>
      <c r="E2712">
        <v>-50</v>
      </c>
      <c r="F2712" s="66" t="s">
        <v>7</v>
      </c>
      <c r="G2712" s="66" t="s">
        <v>10</v>
      </c>
      <c r="H2712" s="66" t="str">
        <f>TEXT(Data[[#This Row],[Buchung]],"MMM")</f>
        <v>Jun</v>
      </c>
      <c r="I2712" s="67">
        <f>YEAR(Data[[#This Row],[Buchung]])</f>
        <v>2022</v>
      </c>
      <c r="J2712" s="2">
        <f>ABS(Data[[#This Row],[Betrag]])</f>
        <v>50</v>
      </c>
      <c r="K2712" s="66" t="str">
        <f>IF(Data[[#This Row],[Betrag]]&lt;0,"A","E")</f>
        <v>A</v>
      </c>
    </row>
    <row r="2713" spans="1:11" x14ac:dyDescent="0.25">
      <c r="A2713" s="1">
        <v>44716</v>
      </c>
      <c r="B2713" s="66" t="s">
        <v>45</v>
      </c>
      <c r="C2713" s="66" t="s">
        <v>46</v>
      </c>
      <c r="D2713" t="s">
        <v>47</v>
      </c>
      <c r="E2713">
        <v>1000</v>
      </c>
      <c r="F2713" s="66" t="s">
        <v>7</v>
      </c>
      <c r="G2713" s="66" t="s">
        <v>9</v>
      </c>
      <c r="H2713" s="66" t="str">
        <f>TEXT(Data[[#This Row],[Buchung]],"MMM")</f>
        <v>Jun</v>
      </c>
      <c r="I2713" s="67">
        <f>YEAR(Data[[#This Row],[Buchung]])</f>
        <v>2022</v>
      </c>
      <c r="J2713" s="2">
        <f>ABS(Data[[#This Row],[Betrag]])</f>
        <v>1000</v>
      </c>
      <c r="K2713" s="66" t="str">
        <f>IF(Data[[#This Row],[Betrag]]&lt;0,"A","E")</f>
        <v>E</v>
      </c>
    </row>
    <row r="2714" spans="1:11" x14ac:dyDescent="0.25">
      <c r="A2714" s="1">
        <v>44717</v>
      </c>
      <c r="B2714" s="66" t="s">
        <v>61</v>
      </c>
      <c r="C2714" s="66" t="s">
        <v>49</v>
      </c>
      <c r="D2714" t="s">
        <v>62</v>
      </c>
      <c r="E2714">
        <v>-10</v>
      </c>
      <c r="F2714" s="66" t="s">
        <v>7</v>
      </c>
      <c r="G2714" s="66" t="s">
        <v>8</v>
      </c>
      <c r="H2714" s="66" t="str">
        <f>TEXT(Data[[#This Row],[Buchung]],"MMM")</f>
        <v>Jun</v>
      </c>
      <c r="I2714" s="67">
        <f>YEAR(Data[[#This Row],[Buchung]])</f>
        <v>2022</v>
      </c>
      <c r="J2714" s="2">
        <f>ABS(Data[[#This Row],[Betrag]])</f>
        <v>10</v>
      </c>
      <c r="K2714" s="66" t="str">
        <f>IF(Data[[#This Row],[Betrag]]&lt;0,"A","E")</f>
        <v>A</v>
      </c>
    </row>
    <row r="2715" spans="1:11" x14ac:dyDescent="0.25">
      <c r="A2715" s="1">
        <v>44718</v>
      </c>
      <c r="B2715" s="66" t="s">
        <v>63</v>
      </c>
      <c r="C2715" s="66" t="s">
        <v>64</v>
      </c>
      <c r="D2715" t="s">
        <v>65</v>
      </c>
      <c r="E2715">
        <v>-60</v>
      </c>
      <c r="F2715" s="66" t="s">
        <v>7</v>
      </c>
      <c r="G2715" s="66" t="s">
        <v>11</v>
      </c>
      <c r="H2715" s="66" t="str">
        <f>TEXT(Data[[#This Row],[Buchung]],"MMM")</f>
        <v>Jun</v>
      </c>
      <c r="I2715" s="67">
        <f>YEAR(Data[[#This Row],[Buchung]])</f>
        <v>2022</v>
      </c>
      <c r="J2715" s="2">
        <f>ABS(Data[[#This Row],[Betrag]])</f>
        <v>60</v>
      </c>
      <c r="K2715" s="66" t="str">
        <f>IF(Data[[#This Row],[Betrag]]&lt;0,"A","E")</f>
        <v>A</v>
      </c>
    </row>
    <row r="2716" spans="1:11" x14ac:dyDescent="0.25">
      <c r="A2716" s="1">
        <v>44719</v>
      </c>
      <c r="B2716" s="66" t="s">
        <v>54</v>
      </c>
      <c r="C2716" s="66" t="s">
        <v>55</v>
      </c>
      <c r="D2716" t="s">
        <v>66</v>
      </c>
      <c r="E2716">
        <v>-80</v>
      </c>
      <c r="F2716" s="66" t="s">
        <v>7</v>
      </c>
      <c r="G2716" s="66" t="s">
        <v>57</v>
      </c>
      <c r="H2716" s="66" t="str">
        <f>TEXT(Data[[#This Row],[Buchung]],"MMM")</f>
        <v>Jun</v>
      </c>
      <c r="I2716" s="67">
        <f>YEAR(Data[[#This Row],[Buchung]])</f>
        <v>2022</v>
      </c>
      <c r="J2716" s="2">
        <f>ABS(Data[[#This Row],[Betrag]])</f>
        <v>80</v>
      </c>
      <c r="K2716" s="66" t="str">
        <f>IF(Data[[#This Row],[Betrag]]&lt;0,"A","E")</f>
        <v>A</v>
      </c>
    </row>
    <row r="2717" spans="1:11" x14ac:dyDescent="0.25">
      <c r="A2717" s="1">
        <v>44720</v>
      </c>
      <c r="B2717" s="66" t="s">
        <v>67</v>
      </c>
      <c r="C2717" s="66" t="s">
        <v>59</v>
      </c>
      <c r="D2717" t="s">
        <v>68</v>
      </c>
      <c r="E2717">
        <v>-20</v>
      </c>
      <c r="F2717" s="66" t="s">
        <v>7</v>
      </c>
      <c r="G2717" s="66" t="s">
        <v>10</v>
      </c>
      <c r="H2717" s="66" t="str">
        <f>TEXT(Data[[#This Row],[Buchung]],"MMM")</f>
        <v>Jun</v>
      </c>
      <c r="I2717" s="67">
        <f>YEAR(Data[[#This Row],[Buchung]])</f>
        <v>2022</v>
      </c>
      <c r="J2717" s="2">
        <f>ABS(Data[[#This Row],[Betrag]])</f>
        <v>20</v>
      </c>
      <c r="K2717" s="66" t="str">
        <f>IF(Data[[#This Row],[Betrag]]&lt;0,"A","E")</f>
        <v>A</v>
      </c>
    </row>
    <row r="2718" spans="1:11" x14ac:dyDescent="0.25">
      <c r="A2718" s="1">
        <v>44721</v>
      </c>
      <c r="B2718" s="66" t="s">
        <v>45</v>
      </c>
      <c r="C2718" s="66" t="s">
        <v>46</v>
      </c>
      <c r="D2718" t="s">
        <v>47</v>
      </c>
      <c r="E2718">
        <v>1000</v>
      </c>
      <c r="F2718" s="66" t="s">
        <v>7</v>
      </c>
      <c r="G2718" s="66" t="s">
        <v>9</v>
      </c>
      <c r="H2718" s="66" t="str">
        <f>TEXT(Data[[#This Row],[Buchung]],"MMM")</f>
        <v>Jun</v>
      </c>
      <c r="I2718" s="67">
        <f>YEAR(Data[[#This Row],[Buchung]])</f>
        <v>2022</v>
      </c>
      <c r="J2718" s="2">
        <f>ABS(Data[[#This Row],[Betrag]])</f>
        <v>1000</v>
      </c>
      <c r="K2718" s="66" t="str">
        <f>IF(Data[[#This Row],[Betrag]]&lt;0,"A","E")</f>
        <v>E</v>
      </c>
    </row>
    <row r="2719" spans="1:11" x14ac:dyDescent="0.25">
      <c r="A2719" s="1">
        <v>44722</v>
      </c>
      <c r="B2719" s="66" t="s">
        <v>48</v>
      </c>
      <c r="C2719" s="66" t="s">
        <v>49</v>
      </c>
      <c r="D2719" t="s">
        <v>50</v>
      </c>
      <c r="E2719">
        <v>-15</v>
      </c>
      <c r="F2719" s="66" t="s">
        <v>7</v>
      </c>
      <c r="G2719" s="66" t="s">
        <v>8</v>
      </c>
      <c r="H2719" s="66" t="str">
        <f>TEXT(Data[[#This Row],[Buchung]],"MMM")</f>
        <v>Jun</v>
      </c>
      <c r="I2719" s="67">
        <f>YEAR(Data[[#This Row],[Buchung]])</f>
        <v>2022</v>
      </c>
      <c r="J2719" s="2">
        <f>ABS(Data[[#This Row],[Betrag]])</f>
        <v>15</v>
      </c>
      <c r="K2719" s="66" t="str">
        <f>IF(Data[[#This Row],[Betrag]]&lt;0,"A","E")</f>
        <v>A</v>
      </c>
    </row>
    <row r="2720" spans="1:11" x14ac:dyDescent="0.25">
      <c r="A2720" s="1">
        <v>44723</v>
      </c>
      <c r="B2720" s="66" t="s">
        <v>51</v>
      </c>
      <c r="C2720" s="66" t="s">
        <v>52</v>
      </c>
      <c r="D2720" t="s">
        <v>53</v>
      </c>
      <c r="E2720">
        <v>-350</v>
      </c>
      <c r="F2720" s="66" t="s">
        <v>7</v>
      </c>
      <c r="G2720" s="66" t="s">
        <v>11</v>
      </c>
      <c r="H2720" s="66" t="str">
        <f>TEXT(Data[[#This Row],[Buchung]],"MMM")</f>
        <v>Jun</v>
      </c>
      <c r="I2720" s="67">
        <f>YEAR(Data[[#This Row],[Buchung]])</f>
        <v>2022</v>
      </c>
      <c r="J2720" s="2">
        <f>ABS(Data[[#This Row],[Betrag]])</f>
        <v>350</v>
      </c>
      <c r="K2720" s="66" t="str">
        <f>IF(Data[[#This Row],[Betrag]]&lt;0,"A","E")</f>
        <v>A</v>
      </c>
    </row>
    <row r="2721" spans="1:11" x14ac:dyDescent="0.25">
      <c r="A2721" s="1">
        <v>44724</v>
      </c>
      <c r="B2721" s="66" t="s">
        <v>54</v>
      </c>
      <c r="C2721" s="66" t="s">
        <v>55</v>
      </c>
      <c r="D2721" t="s">
        <v>56</v>
      </c>
      <c r="E2721">
        <v>-120</v>
      </c>
      <c r="F2721" s="66" t="s">
        <v>7</v>
      </c>
      <c r="G2721" s="66" t="s">
        <v>57</v>
      </c>
      <c r="H2721" s="66" t="str">
        <f>TEXT(Data[[#This Row],[Buchung]],"MMM")</f>
        <v>Jun</v>
      </c>
      <c r="I2721" s="67">
        <f>YEAR(Data[[#This Row],[Buchung]])</f>
        <v>2022</v>
      </c>
      <c r="J2721" s="2">
        <f>ABS(Data[[#This Row],[Betrag]])</f>
        <v>120</v>
      </c>
      <c r="K2721" s="66" t="str">
        <f>IF(Data[[#This Row],[Betrag]]&lt;0,"A","E")</f>
        <v>A</v>
      </c>
    </row>
    <row r="2722" spans="1:11" x14ac:dyDescent="0.25">
      <c r="A2722" s="1">
        <v>44725</v>
      </c>
      <c r="B2722" s="66" t="s">
        <v>58</v>
      </c>
      <c r="C2722" s="66" t="s">
        <v>59</v>
      </c>
      <c r="D2722" t="s">
        <v>60</v>
      </c>
      <c r="E2722">
        <v>-60</v>
      </c>
      <c r="F2722" s="66" t="s">
        <v>7</v>
      </c>
      <c r="G2722" s="66" t="s">
        <v>10</v>
      </c>
      <c r="H2722" s="66" t="str">
        <f>TEXT(Data[[#This Row],[Buchung]],"MMM")</f>
        <v>Jun</v>
      </c>
      <c r="I2722" s="67">
        <f>YEAR(Data[[#This Row],[Buchung]])</f>
        <v>2022</v>
      </c>
      <c r="J2722" s="2">
        <f>ABS(Data[[#This Row],[Betrag]])</f>
        <v>60</v>
      </c>
      <c r="K2722" s="66" t="str">
        <f>IF(Data[[#This Row],[Betrag]]&lt;0,"A","E")</f>
        <v>A</v>
      </c>
    </row>
    <row r="2723" spans="1:11" x14ac:dyDescent="0.25">
      <c r="A2723" s="1">
        <v>44726</v>
      </c>
      <c r="B2723" s="66" t="s">
        <v>45</v>
      </c>
      <c r="C2723" s="66" t="s">
        <v>46</v>
      </c>
      <c r="D2723" t="s">
        <v>47</v>
      </c>
      <c r="E2723">
        <v>1000</v>
      </c>
      <c r="F2723" s="66" t="s">
        <v>7</v>
      </c>
      <c r="G2723" s="66" t="s">
        <v>9</v>
      </c>
      <c r="H2723" s="66" t="str">
        <f>TEXT(Data[[#This Row],[Buchung]],"MMM")</f>
        <v>Jun</v>
      </c>
      <c r="I2723" s="67">
        <f>YEAR(Data[[#This Row],[Buchung]])</f>
        <v>2022</v>
      </c>
      <c r="J2723" s="2">
        <f>ABS(Data[[#This Row],[Betrag]])</f>
        <v>1000</v>
      </c>
      <c r="K2723" s="66" t="str">
        <f>IF(Data[[#This Row],[Betrag]]&lt;0,"A","E")</f>
        <v>E</v>
      </c>
    </row>
    <row r="2724" spans="1:11" x14ac:dyDescent="0.25">
      <c r="A2724" s="1">
        <v>44727</v>
      </c>
      <c r="B2724" s="66" t="s">
        <v>61</v>
      </c>
      <c r="C2724" s="66" t="s">
        <v>49</v>
      </c>
      <c r="D2724" t="s">
        <v>62</v>
      </c>
      <c r="E2724">
        <v>-10</v>
      </c>
      <c r="F2724" s="66" t="s">
        <v>7</v>
      </c>
      <c r="G2724" s="66" t="s">
        <v>8</v>
      </c>
      <c r="H2724" s="66" t="str">
        <f>TEXT(Data[[#This Row],[Buchung]],"MMM")</f>
        <v>Jun</v>
      </c>
      <c r="I2724" s="67">
        <f>YEAR(Data[[#This Row],[Buchung]])</f>
        <v>2022</v>
      </c>
      <c r="J2724" s="2">
        <f>ABS(Data[[#This Row],[Betrag]])</f>
        <v>10</v>
      </c>
      <c r="K2724" s="66" t="str">
        <f>IF(Data[[#This Row],[Betrag]]&lt;0,"A","E")</f>
        <v>A</v>
      </c>
    </row>
    <row r="2725" spans="1:11" x14ac:dyDescent="0.25">
      <c r="A2725" s="1">
        <v>44728</v>
      </c>
      <c r="B2725" s="66" t="s">
        <v>63</v>
      </c>
      <c r="C2725" s="66" t="s">
        <v>64</v>
      </c>
      <c r="D2725" t="s">
        <v>65</v>
      </c>
      <c r="E2725">
        <v>-70</v>
      </c>
      <c r="F2725" s="66" t="s">
        <v>7</v>
      </c>
      <c r="G2725" s="66" t="s">
        <v>11</v>
      </c>
      <c r="H2725" s="66" t="str">
        <f>TEXT(Data[[#This Row],[Buchung]],"MMM")</f>
        <v>Jun</v>
      </c>
      <c r="I2725" s="67">
        <f>YEAR(Data[[#This Row],[Buchung]])</f>
        <v>2022</v>
      </c>
      <c r="J2725" s="2">
        <f>ABS(Data[[#This Row],[Betrag]])</f>
        <v>70</v>
      </c>
      <c r="K2725" s="66" t="str">
        <f>IF(Data[[#This Row],[Betrag]]&lt;0,"A","E")</f>
        <v>A</v>
      </c>
    </row>
    <row r="2726" spans="1:11" x14ac:dyDescent="0.25">
      <c r="A2726" s="1">
        <v>44729</v>
      </c>
      <c r="B2726" s="66" t="s">
        <v>54</v>
      </c>
      <c r="C2726" s="66" t="s">
        <v>55</v>
      </c>
      <c r="D2726" t="s">
        <v>66</v>
      </c>
      <c r="E2726">
        <v>-80</v>
      </c>
      <c r="F2726" s="66" t="s">
        <v>7</v>
      </c>
      <c r="G2726" s="66" t="s">
        <v>57</v>
      </c>
      <c r="H2726" s="66" t="str">
        <f>TEXT(Data[[#This Row],[Buchung]],"MMM")</f>
        <v>Jun</v>
      </c>
      <c r="I2726" s="67">
        <f>YEAR(Data[[#This Row],[Buchung]])</f>
        <v>2022</v>
      </c>
      <c r="J2726" s="2">
        <f>ABS(Data[[#This Row],[Betrag]])</f>
        <v>80</v>
      </c>
      <c r="K2726" s="66" t="str">
        <f>IF(Data[[#This Row],[Betrag]]&lt;0,"A","E")</f>
        <v>A</v>
      </c>
    </row>
    <row r="2727" spans="1:11" x14ac:dyDescent="0.25">
      <c r="A2727" s="1">
        <v>44730</v>
      </c>
      <c r="B2727" s="66" t="s">
        <v>67</v>
      </c>
      <c r="C2727" s="66" t="s">
        <v>59</v>
      </c>
      <c r="D2727" t="s">
        <v>68</v>
      </c>
      <c r="E2727">
        <v>-25</v>
      </c>
      <c r="F2727" s="66" t="s">
        <v>7</v>
      </c>
      <c r="G2727" s="66" t="s">
        <v>10</v>
      </c>
      <c r="H2727" s="66" t="str">
        <f>TEXT(Data[[#This Row],[Buchung]],"MMM")</f>
        <v>Jun</v>
      </c>
      <c r="I2727" s="67">
        <f>YEAR(Data[[#This Row],[Buchung]])</f>
        <v>2022</v>
      </c>
      <c r="J2727" s="2">
        <f>ABS(Data[[#This Row],[Betrag]])</f>
        <v>25</v>
      </c>
      <c r="K2727" s="66" t="str">
        <f>IF(Data[[#This Row],[Betrag]]&lt;0,"A","E")</f>
        <v>A</v>
      </c>
    </row>
    <row r="2728" spans="1:11" x14ac:dyDescent="0.25">
      <c r="A2728" s="1">
        <v>44731</v>
      </c>
      <c r="B2728" s="66" t="s">
        <v>45</v>
      </c>
      <c r="C2728" s="66" t="s">
        <v>46</v>
      </c>
      <c r="D2728" t="s">
        <v>47</v>
      </c>
      <c r="E2728">
        <v>1000</v>
      </c>
      <c r="F2728" s="66" t="s">
        <v>7</v>
      </c>
      <c r="G2728" s="66" t="s">
        <v>9</v>
      </c>
      <c r="H2728" s="66" t="str">
        <f>TEXT(Data[[#This Row],[Buchung]],"MMM")</f>
        <v>Jun</v>
      </c>
      <c r="I2728" s="67">
        <f>YEAR(Data[[#This Row],[Buchung]])</f>
        <v>2022</v>
      </c>
      <c r="J2728" s="2">
        <f>ABS(Data[[#This Row],[Betrag]])</f>
        <v>1000</v>
      </c>
      <c r="K2728" s="66" t="str">
        <f>IF(Data[[#This Row],[Betrag]]&lt;0,"A","E")</f>
        <v>E</v>
      </c>
    </row>
    <row r="2729" spans="1:11" x14ac:dyDescent="0.25">
      <c r="A2729" s="1">
        <v>44732</v>
      </c>
      <c r="B2729" s="66" t="s">
        <v>48</v>
      </c>
      <c r="C2729" s="66" t="s">
        <v>49</v>
      </c>
      <c r="D2729" t="s">
        <v>50</v>
      </c>
      <c r="E2729">
        <v>-15</v>
      </c>
      <c r="F2729" s="66" t="s">
        <v>7</v>
      </c>
      <c r="G2729" s="66" t="s">
        <v>8</v>
      </c>
      <c r="H2729" s="66" t="str">
        <f>TEXT(Data[[#This Row],[Buchung]],"MMM")</f>
        <v>Jun</v>
      </c>
      <c r="I2729" s="67">
        <f>YEAR(Data[[#This Row],[Buchung]])</f>
        <v>2022</v>
      </c>
      <c r="J2729" s="2">
        <f>ABS(Data[[#This Row],[Betrag]])</f>
        <v>15</v>
      </c>
      <c r="K2729" s="66" t="str">
        <f>IF(Data[[#This Row],[Betrag]]&lt;0,"A","E")</f>
        <v>A</v>
      </c>
    </row>
    <row r="2730" spans="1:11" x14ac:dyDescent="0.25">
      <c r="A2730" s="1">
        <v>44733</v>
      </c>
      <c r="B2730" s="66" t="s">
        <v>51</v>
      </c>
      <c r="C2730" s="66" t="s">
        <v>52</v>
      </c>
      <c r="D2730" t="s">
        <v>53</v>
      </c>
      <c r="E2730">
        <v>-350</v>
      </c>
      <c r="F2730" s="66" t="s">
        <v>7</v>
      </c>
      <c r="G2730" s="66" t="s">
        <v>11</v>
      </c>
      <c r="H2730" s="66" t="str">
        <f>TEXT(Data[[#This Row],[Buchung]],"MMM")</f>
        <v>Jun</v>
      </c>
      <c r="I2730" s="67">
        <f>YEAR(Data[[#This Row],[Buchung]])</f>
        <v>2022</v>
      </c>
      <c r="J2730" s="2">
        <f>ABS(Data[[#This Row],[Betrag]])</f>
        <v>350</v>
      </c>
      <c r="K2730" s="66" t="str">
        <f>IF(Data[[#This Row],[Betrag]]&lt;0,"A","E")</f>
        <v>A</v>
      </c>
    </row>
    <row r="2731" spans="1:11" x14ac:dyDescent="0.25">
      <c r="A2731" s="1">
        <v>44734</v>
      </c>
      <c r="B2731" s="66" t="s">
        <v>54</v>
      </c>
      <c r="C2731" s="66" t="s">
        <v>55</v>
      </c>
      <c r="D2731" t="s">
        <v>56</v>
      </c>
      <c r="E2731">
        <v>-120</v>
      </c>
      <c r="F2731" s="66" t="s">
        <v>7</v>
      </c>
      <c r="G2731" s="66" t="s">
        <v>57</v>
      </c>
      <c r="H2731" s="66" t="str">
        <f>TEXT(Data[[#This Row],[Buchung]],"MMM")</f>
        <v>Jun</v>
      </c>
      <c r="I2731" s="67">
        <f>YEAR(Data[[#This Row],[Buchung]])</f>
        <v>2022</v>
      </c>
      <c r="J2731" s="2">
        <f>ABS(Data[[#This Row],[Betrag]])</f>
        <v>120</v>
      </c>
      <c r="K2731" s="66" t="str">
        <f>IF(Data[[#This Row],[Betrag]]&lt;0,"A","E")</f>
        <v>A</v>
      </c>
    </row>
    <row r="2732" spans="1:11" x14ac:dyDescent="0.25">
      <c r="A2732" s="1">
        <v>44735</v>
      </c>
      <c r="B2732" s="66" t="s">
        <v>58</v>
      </c>
      <c r="C2732" s="66" t="s">
        <v>59</v>
      </c>
      <c r="D2732" t="s">
        <v>60</v>
      </c>
      <c r="E2732">
        <v>-70</v>
      </c>
      <c r="F2732" s="66" t="s">
        <v>7</v>
      </c>
      <c r="G2732" s="66" t="s">
        <v>10</v>
      </c>
      <c r="H2732" s="66" t="str">
        <f>TEXT(Data[[#This Row],[Buchung]],"MMM")</f>
        <v>Jun</v>
      </c>
      <c r="I2732" s="67">
        <f>YEAR(Data[[#This Row],[Buchung]])</f>
        <v>2022</v>
      </c>
      <c r="J2732" s="2">
        <f>ABS(Data[[#This Row],[Betrag]])</f>
        <v>70</v>
      </c>
      <c r="K2732" s="66" t="str">
        <f>IF(Data[[#This Row],[Betrag]]&lt;0,"A","E")</f>
        <v>A</v>
      </c>
    </row>
    <row r="2733" spans="1:11" x14ac:dyDescent="0.25">
      <c r="A2733" s="1">
        <v>44736</v>
      </c>
      <c r="B2733" s="66" t="s">
        <v>45</v>
      </c>
      <c r="C2733" s="66" t="s">
        <v>46</v>
      </c>
      <c r="D2733" t="s">
        <v>47</v>
      </c>
      <c r="E2733">
        <v>1000</v>
      </c>
      <c r="F2733" s="66" t="s">
        <v>7</v>
      </c>
      <c r="G2733" s="66" t="s">
        <v>9</v>
      </c>
      <c r="H2733" s="66" t="str">
        <f>TEXT(Data[[#This Row],[Buchung]],"MMM")</f>
        <v>Jun</v>
      </c>
      <c r="I2733" s="67">
        <f>YEAR(Data[[#This Row],[Buchung]])</f>
        <v>2022</v>
      </c>
      <c r="J2733" s="2">
        <f>ABS(Data[[#This Row],[Betrag]])</f>
        <v>1000</v>
      </c>
      <c r="K2733" s="66" t="str">
        <f>IF(Data[[#This Row],[Betrag]]&lt;0,"A","E")</f>
        <v>E</v>
      </c>
    </row>
    <row r="2734" spans="1:11" x14ac:dyDescent="0.25">
      <c r="A2734" s="1">
        <v>44737</v>
      </c>
      <c r="B2734" s="66" t="s">
        <v>61</v>
      </c>
      <c r="C2734" s="66" t="s">
        <v>49</v>
      </c>
      <c r="D2734" t="s">
        <v>62</v>
      </c>
      <c r="E2734">
        <v>-10</v>
      </c>
      <c r="F2734" s="66" t="s">
        <v>7</v>
      </c>
      <c r="G2734" s="66" t="s">
        <v>8</v>
      </c>
      <c r="H2734" s="66" t="str">
        <f>TEXT(Data[[#This Row],[Buchung]],"MMM")</f>
        <v>Jun</v>
      </c>
      <c r="I2734" s="67">
        <f>YEAR(Data[[#This Row],[Buchung]])</f>
        <v>2022</v>
      </c>
      <c r="J2734" s="2">
        <f>ABS(Data[[#This Row],[Betrag]])</f>
        <v>10</v>
      </c>
      <c r="K2734" s="66" t="str">
        <f>IF(Data[[#This Row],[Betrag]]&lt;0,"A","E")</f>
        <v>A</v>
      </c>
    </row>
    <row r="2735" spans="1:11" x14ac:dyDescent="0.25">
      <c r="A2735" s="1">
        <v>44738</v>
      </c>
      <c r="B2735" s="66" t="s">
        <v>63</v>
      </c>
      <c r="C2735" s="66" t="s">
        <v>64</v>
      </c>
      <c r="D2735" t="s">
        <v>65</v>
      </c>
      <c r="E2735">
        <v>-60</v>
      </c>
      <c r="F2735" s="66" t="s">
        <v>7</v>
      </c>
      <c r="G2735" s="66" t="s">
        <v>11</v>
      </c>
      <c r="H2735" s="66" t="str">
        <f>TEXT(Data[[#This Row],[Buchung]],"MMM")</f>
        <v>Jun</v>
      </c>
      <c r="I2735" s="67">
        <f>YEAR(Data[[#This Row],[Buchung]])</f>
        <v>2022</v>
      </c>
      <c r="J2735" s="2">
        <f>ABS(Data[[#This Row],[Betrag]])</f>
        <v>60</v>
      </c>
      <c r="K2735" s="66" t="str">
        <f>IF(Data[[#This Row],[Betrag]]&lt;0,"A","E")</f>
        <v>A</v>
      </c>
    </row>
    <row r="2736" spans="1:11" x14ac:dyDescent="0.25">
      <c r="A2736" s="1">
        <v>44739</v>
      </c>
      <c r="B2736" s="66" t="s">
        <v>54</v>
      </c>
      <c r="C2736" s="66" t="s">
        <v>55</v>
      </c>
      <c r="D2736" t="s">
        <v>66</v>
      </c>
      <c r="E2736">
        <v>-80</v>
      </c>
      <c r="F2736" s="66" t="s">
        <v>7</v>
      </c>
      <c r="G2736" s="66" t="s">
        <v>57</v>
      </c>
      <c r="H2736" s="66" t="str">
        <f>TEXT(Data[[#This Row],[Buchung]],"MMM")</f>
        <v>Jun</v>
      </c>
      <c r="I2736" s="67">
        <f>YEAR(Data[[#This Row],[Buchung]])</f>
        <v>2022</v>
      </c>
      <c r="J2736" s="2">
        <f>ABS(Data[[#This Row],[Betrag]])</f>
        <v>80</v>
      </c>
      <c r="K2736" s="66" t="str">
        <f>IF(Data[[#This Row],[Betrag]]&lt;0,"A","E")</f>
        <v>A</v>
      </c>
    </row>
    <row r="2737" spans="1:11" x14ac:dyDescent="0.25">
      <c r="A2737" s="1">
        <v>44740</v>
      </c>
      <c r="B2737" s="66" t="s">
        <v>67</v>
      </c>
      <c r="C2737" s="66" t="s">
        <v>59</v>
      </c>
      <c r="D2737" t="s">
        <v>68</v>
      </c>
      <c r="E2737">
        <v>-30</v>
      </c>
      <c r="F2737" s="66" t="s">
        <v>7</v>
      </c>
      <c r="G2737" s="66" t="s">
        <v>10</v>
      </c>
      <c r="H2737" s="66" t="str">
        <f>TEXT(Data[[#This Row],[Buchung]],"MMM")</f>
        <v>Jun</v>
      </c>
      <c r="I2737" s="67">
        <f>YEAR(Data[[#This Row],[Buchung]])</f>
        <v>2022</v>
      </c>
      <c r="J2737" s="2">
        <f>ABS(Data[[#This Row],[Betrag]])</f>
        <v>30</v>
      </c>
      <c r="K2737" s="66" t="str">
        <f>IF(Data[[#This Row],[Betrag]]&lt;0,"A","E")</f>
        <v>A</v>
      </c>
    </row>
    <row r="2738" spans="1:11" x14ac:dyDescent="0.25">
      <c r="A2738" s="1">
        <v>44741</v>
      </c>
      <c r="B2738" s="66" t="s">
        <v>45</v>
      </c>
      <c r="C2738" s="66" t="s">
        <v>46</v>
      </c>
      <c r="D2738" t="s">
        <v>47</v>
      </c>
      <c r="E2738">
        <v>1000</v>
      </c>
      <c r="F2738" s="66" t="s">
        <v>7</v>
      </c>
      <c r="G2738" s="66" t="s">
        <v>9</v>
      </c>
      <c r="H2738" s="66" t="str">
        <f>TEXT(Data[[#This Row],[Buchung]],"MMM")</f>
        <v>Jun</v>
      </c>
      <c r="I2738" s="67">
        <f>YEAR(Data[[#This Row],[Buchung]])</f>
        <v>2022</v>
      </c>
      <c r="J2738" s="2">
        <f>ABS(Data[[#This Row],[Betrag]])</f>
        <v>1000</v>
      </c>
      <c r="K2738" s="66" t="str">
        <f>IF(Data[[#This Row],[Betrag]]&lt;0,"A","E")</f>
        <v>E</v>
      </c>
    </row>
    <row r="2739" spans="1:11" x14ac:dyDescent="0.25">
      <c r="A2739" s="1">
        <v>44742</v>
      </c>
      <c r="B2739" s="66" t="s">
        <v>48</v>
      </c>
      <c r="C2739" s="66" t="s">
        <v>49</v>
      </c>
      <c r="D2739" t="s">
        <v>50</v>
      </c>
      <c r="E2739">
        <v>-15</v>
      </c>
      <c r="F2739" s="66" t="s">
        <v>7</v>
      </c>
      <c r="G2739" s="66" t="s">
        <v>8</v>
      </c>
      <c r="H2739" s="66" t="str">
        <f>TEXT(Data[[#This Row],[Buchung]],"MMM")</f>
        <v>Jun</v>
      </c>
      <c r="I2739" s="67">
        <f>YEAR(Data[[#This Row],[Buchung]])</f>
        <v>2022</v>
      </c>
      <c r="J2739" s="2">
        <f>ABS(Data[[#This Row],[Betrag]])</f>
        <v>15</v>
      </c>
      <c r="K2739" s="66" t="str">
        <f>IF(Data[[#This Row],[Betrag]]&lt;0,"A","E")</f>
        <v>A</v>
      </c>
    </row>
    <row r="2740" spans="1:11" x14ac:dyDescent="0.25">
      <c r="A2740" s="1">
        <v>44743</v>
      </c>
      <c r="B2740" s="66" t="s">
        <v>51</v>
      </c>
      <c r="C2740" s="66" t="s">
        <v>52</v>
      </c>
      <c r="D2740" t="s">
        <v>53</v>
      </c>
      <c r="E2740">
        <v>-350</v>
      </c>
      <c r="F2740" s="66" t="s">
        <v>7</v>
      </c>
      <c r="G2740" s="66" t="s">
        <v>11</v>
      </c>
      <c r="H2740" s="66" t="str">
        <f>TEXT(Data[[#This Row],[Buchung]],"MMM")</f>
        <v>Jul</v>
      </c>
      <c r="I2740" s="67">
        <f>YEAR(Data[[#This Row],[Buchung]])</f>
        <v>2022</v>
      </c>
      <c r="J2740" s="2">
        <f>ABS(Data[[#This Row],[Betrag]])</f>
        <v>350</v>
      </c>
      <c r="K2740" s="66" t="str">
        <f>IF(Data[[#This Row],[Betrag]]&lt;0,"A","E")</f>
        <v>A</v>
      </c>
    </row>
    <row r="2741" spans="1:11" x14ac:dyDescent="0.25">
      <c r="A2741" s="1">
        <v>44744</v>
      </c>
      <c r="B2741" s="66" t="s">
        <v>54</v>
      </c>
      <c r="C2741" s="66" t="s">
        <v>55</v>
      </c>
      <c r="D2741" t="s">
        <v>56</v>
      </c>
      <c r="E2741">
        <v>-120</v>
      </c>
      <c r="F2741" s="66" t="s">
        <v>7</v>
      </c>
      <c r="G2741" s="66" t="s">
        <v>57</v>
      </c>
      <c r="H2741" s="66" t="str">
        <f>TEXT(Data[[#This Row],[Buchung]],"MMM")</f>
        <v>Jul</v>
      </c>
      <c r="I2741" s="67">
        <f>YEAR(Data[[#This Row],[Buchung]])</f>
        <v>2022</v>
      </c>
      <c r="J2741" s="2">
        <f>ABS(Data[[#This Row],[Betrag]])</f>
        <v>120</v>
      </c>
      <c r="K2741" s="66" t="str">
        <f>IF(Data[[#This Row],[Betrag]]&lt;0,"A","E")</f>
        <v>A</v>
      </c>
    </row>
    <row r="2742" spans="1:11" x14ac:dyDescent="0.25">
      <c r="A2742" s="1">
        <v>44745</v>
      </c>
      <c r="B2742" s="66" t="s">
        <v>58</v>
      </c>
      <c r="C2742" s="66" t="s">
        <v>59</v>
      </c>
      <c r="D2742" t="s">
        <v>60</v>
      </c>
      <c r="E2742">
        <v>-80</v>
      </c>
      <c r="F2742" s="66" t="s">
        <v>7</v>
      </c>
      <c r="G2742" s="66" t="s">
        <v>10</v>
      </c>
      <c r="H2742" s="66" t="str">
        <f>TEXT(Data[[#This Row],[Buchung]],"MMM")</f>
        <v>Jul</v>
      </c>
      <c r="I2742" s="67">
        <f>YEAR(Data[[#This Row],[Buchung]])</f>
        <v>2022</v>
      </c>
      <c r="J2742" s="2">
        <f>ABS(Data[[#This Row],[Betrag]])</f>
        <v>80</v>
      </c>
      <c r="K2742" s="66" t="str">
        <f>IF(Data[[#This Row],[Betrag]]&lt;0,"A","E")</f>
        <v>A</v>
      </c>
    </row>
    <row r="2743" spans="1:11" x14ac:dyDescent="0.25">
      <c r="A2743" s="1">
        <v>44746</v>
      </c>
      <c r="B2743" s="66" t="s">
        <v>45</v>
      </c>
      <c r="C2743" s="66" t="s">
        <v>46</v>
      </c>
      <c r="D2743" t="s">
        <v>47</v>
      </c>
      <c r="E2743">
        <v>1000</v>
      </c>
      <c r="F2743" s="66" t="s">
        <v>7</v>
      </c>
      <c r="G2743" s="66" t="s">
        <v>9</v>
      </c>
      <c r="H2743" s="66" t="str">
        <f>TEXT(Data[[#This Row],[Buchung]],"MMM")</f>
        <v>Jul</v>
      </c>
      <c r="I2743" s="67">
        <f>YEAR(Data[[#This Row],[Buchung]])</f>
        <v>2022</v>
      </c>
      <c r="J2743" s="2">
        <f>ABS(Data[[#This Row],[Betrag]])</f>
        <v>1000</v>
      </c>
      <c r="K2743" s="66" t="str">
        <f>IF(Data[[#This Row],[Betrag]]&lt;0,"A","E")</f>
        <v>E</v>
      </c>
    </row>
    <row r="2744" spans="1:11" x14ac:dyDescent="0.25">
      <c r="A2744" s="1">
        <v>44747</v>
      </c>
      <c r="B2744" s="66" t="s">
        <v>61</v>
      </c>
      <c r="C2744" s="66" t="s">
        <v>49</v>
      </c>
      <c r="D2744" t="s">
        <v>62</v>
      </c>
      <c r="E2744">
        <v>-10</v>
      </c>
      <c r="F2744" s="66" t="s">
        <v>7</v>
      </c>
      <c r="G2744" s="66" t="s">
        <v>8</v>
      </c>
      <c r="H2744" s="66" t="str">
        <f>TEXT(Data[[#This Row],[Buchung]],"MMM")</f>
        <v>Jul</v>
      </c>
      <c r="I2744" s="67">
        <f>YEAR(Data[[#This Row],[Buchung]])</f>
        <v>2022</v>
      </c>
      <c r="J2744" s="2">
        <f>ABS(Data[[#This Row],[Betrag]])</f>
        <v>10</v>
      </c>
      <c r="K2744" s="66" t="str">
        <f>IF(Data[[#This Row],[Betrag]]&lt;0,"A","E")</f>
        <v>A</v>
      </c>
    </row>
    <row r="2745" spans="1:11" x14ac:dyDescent="0.25">
      <c r="A2745" s="1">
        <v>44748</v>
      </c>
      <c r="B2745" s="66" t="s">
        <v>63</v>
      </c>
      <c r="C2745" s="66" t="s">
        <v>64</v>
      </c>
      <c r="D2745" t="s">
        <v>65</v>
      </c>
      <c r="E2745">
        <v>-65</v>
      </c>
      <c r="F2745" s="66" t="s">
        <v>7</v>
      </c>
      <c r="G2745" s="66" t="s">
        <v>11</v>
      </c>
      <c r="H2745" s="66" t="str">
        <f>TEXT(Data[[#This Row],[Buchung]],"MMM")</f>
        <v>Jul</v>
      </c>
      <c r="I2745" s="67">
        <f>YEAR(Data[[#This Row],[Buchung]])</f>
        <v>2022</v>
      </c>
      <c r="J2745" s="2">
        <f>ABS(Data[[#This Row],[Betrag]])</f>
        <v>65</v>
      </c>
      <c r="K2745" s="66" t="str">
        <f>IF(Data[[#This Row],[Betrag]]&lt;0,"A","E")</f>
        <v>A</v>
      </c>
    </row>
    <row r="2746" spans="1:11" x14ac:dyDescent="0.25">
      <c r="A2746" s="1">
        <v>44749</v>
      </c>
      <c r="B2746" s="66" t="s">
        <v>54</v>
      </c>
      <c r="C2746" s="66" t="s">
        <v>55</v>
      </c>
      <c r="D2746" t="s">
        <v>66</v>
      </c>
      <c r="E2746">
        <v>-80</v>
      </c>
      <c r="F2746" s="66" t="s">
        <v>7</v>
      </c>
      <c r="G2746" s="66" t="s">
        <v>57</v>
      </c>
      <c r="H2746" s="66" t="str">
        <f>TEXT(Data[[#This Row],[Buchung]],"MMM")</f>
        <v>Jul</v>
      </c>
      <c r="I2746" s="67">
        <f>YEAR(Data[[#This Row],[Buchung]])</f>
        <v>2022</v>
      </c>
      <c r="J2746" s="2">
        <f>ABS(Data[[#This Row],[Betrag]])</f>
        <v>80</v>
      </c>
      <c r="K2746" s="66" t="str">
        <f>IF(Data[[#This Row],[Betrag]]&lt;0,"A","E")</f>
        <v>A</v>
      </c>
    </row>
    <row r="2747" spans="1:11" x14ac:dyDescent="0.25">
      <c r="A2747" s="1">
        <v>44750</v>
      </c>
      <c r="B2747" s="66" t="s">
        <v>67</v>
      </c>
      <c r="C2747" s="66" t="s">
        <v>59</v>
      </c>
      <c r="D2747" t="s">
        <v>68</v>
      </c>
      <c r="E2747">
        <v>-35</v>
      </c>
      <c r="F2747" s="66" t="s">
        <v>7</v>
      </c>
      <c r="G2747" s="66" t="s">
        <v>10</v>
      </c>
      <c r="H2747" s="66" t="str">
        <f>TEXT(Data[[#This Row],[Buchung]],"MMM")</f>
        <v>Jul</v>
      </c>
      <c r="I2747" s="67">
        <f>YEAR(Data[[#This Row],[Buchung]])</f>
        <v>2022</v>
      </c>
      <c r="J2747" s="2">
        <f>ABS(Data[[#This Row],[Betrag]])</f>
        <v>35</v>
      </c>
      <c r="K2747" s="66" t="str">
        <f>IF(Data[[#This Row],[Betrag]]&lt;0,"A","E")</f>
        <v>A</v>
      </c>
    </row>
    <row r="2748" spans="1:11" x14ac:dyDescent="0.25">
      <c r="A2748" s="1">
        <v>44751</v>
      </c>
      <c r="B2748" s="66" t="s">
        <v>45</v>
      </c>
      <c r="C2748" s="66" t="s">
        <v>46</v>
      </c>
      <c r="D2748" t="s">
        <v>47</v>
      </c>
      <c r="E2748">
        <v>1000</v>
      </c>
      <c r="F2748" s="66" t="s">
        <v>7</v>
      </c>
      <c r="G2748" s="66" t="s">
        <v>9</v>
      </c>
      <c r="H2748" s="66" t="str">
        <f>TEXT(Data[[#This Row],[Buchung]],"MMM")</f>
        <v>Jul</v>
      </c>
      <c r="I2748" s="67">
        <f>YEAR(Data[[#This Row],[Buchung]])</f>
        <v>2022</v>
      </c>
      <c r="J2748" s="2">
        <f>ABS(Data[[#This Row],[Betrag]])</f>
        <v>1000</v>
      </c>
      <c r="K2748" s="66" t="str">
        <f>IF(Data[[#This Row],[Betrag]]&lt;0,"A","E")</f>
        <v>E</v>
      </c>
    </row>
    <row r="2749" spans="1:11" x14ac:dyDescent="0.25">
      <c r="A2749" s="1">
        <v>44752</v>
      </c>
      <c r="B2749" s="66" t="s">
        <v>45</v>
      </c>
      <c r="C2749" s="66" t="s">
        <v>46</v>
      </c>
      <c r="D2749" t="s">
        <v>47</v>
      </c>
      <c r="E2749">
        <v>1000</v>
      </c>
      <c r="F2749" s="66" t="s">
        <v>7</v>
      </c>
      <c r="G2749" s="66" t="s">
        <v>9</v>
      </c>
      <c r="H2749" s="66" t="str">
        <f>TEXT(Data[[#This Row],[Buchung]],"MMM")</f>
        <v>Jul</v>
      </c>
      <c r="I2749" s="67">
        <f>YEAR(Data[[#This Row],[Buchung]])</f>
        <v>2022</v>
      </c>
      <c r="J2749" s="2">
        <f>ABS(Data[[#This Row],[Betrag]])</f>
        <v>1000</v>
      </c>
      <c r="K2749" s="66" t="str">
        <f>IF(Data[[#This Row],[Betrag]]&lt;0,"A","E")</f>
        <v>E</v>
      </c>
    </row>
    <row r="2750" spans="1:11" x14ac:dyDescent="0.25">
      <c r="A2750" s="1">
        <v>44753</v>
      </c>
      <c r="B2750" s="66" t="s">
        <v>48</v>
      </c>
      <c r="C2750" s="66" t="s">
        <v>49</v>
      </c>
      <c r="D2750" t="s">
        <v>50</v>
      </c>
      <c r="E2750">
        <v>-15</v>
      </c>
      <c r="F2750" s="66" t="s">
        <v>7</v>
      </c>
      <c r="G2750" s="66" t="s">
        <v>8</v>
      </c>
      <c r="H2750" s="66" t="str">
        <f>TEXT(Data[[#This Row],[Buchung]],"MMM")</f>
        <v>Jul</v>
      </c>
      <c r="I2750" s="67">
        <f>YEAR(Data[[#This Row],[Buchung]])</f>
        <v>2022</v>
      </c>
      <c r="J2750" s="2">
        <f>ABS(Data[[#This Row],[Betrag]])</f>
        <v>15</v>
      </c>
      <c r="K2750" s="66" t="str">
        <f>IF(Data[[#This Row],[Betrag]]&lt;0,"A","E")</f>
        <v>A</v>
      </c>
    </row>
    <row r="2751" spans="1:11" x14ac:dyDescent="0.25">
      <c r="A2751" s="1">
        <v>44754</v>
      </c>
      <c r="B2751" s="66" t="s">
        <v>51</v>
      </c>
      <c r="C2751" s="66" t="s">
        <v>52</v>
      </c>
      <c r="D2751" t="s">
        <v>53</v>
      </c>
      <c r="E2751">
        <v>-350</v>
      </c>
      <c r="F2751" s="66" t="s">
        <v>7</v>
      </c>
      <c r="G2751" s="66" t="s">
        <v>11</v>
      </c>
      <c r="H2751" s="66" t="str">
        <f>TEXT(Data[[#This Row],[Buchung]],"MMM")</f>
        <v>Jul</v>
      </c>
      <c r="I2751" s="67">
        <f>YEAR(Data[[#This Row],[Buchung]])</f>
        <v>2022</v>
      </c>
      <c r="J2751" s="2">
        <f>ABS(Data[[#This Row],[Betrag]])</f>
        <v>350</v>
      </c>
      <c r="K2751" s="66" t="str">
        <f>IF(Data[[#This Row],[Betrag]]&lt;0,"A","E")</f>
        <v>A</v>
      </c>
    </row>
    <row r="2752" spans="1:11" x14ac:dyDescent="0.25">
      <c r="A2752" s="1">
        <v>44755</v>
      </c>
      <c r="B2752" s="66" t="s">
        <v>54</v>
      </c>
      <c r="C2752" s="66" t="s">
        <v>55</v>
      </c>
      <c r="D2752" t="s">
        <v>56</v>
      </c>
      <c r="E2752">
        <v>-120</v>
      </c>
      <c r="F2752" s="66" t="s">
        <v>7</v>
      </c>
      <c r="G2752" s="66" t="s">
        <v>57</v>
      </c>
      <c r="H2752" s="66" t="str">
        <f>TEXT(Data[[#This Row],[Buchung]],"MMM")</f>
        <v>Jul</v>
      </c>
      <c r="I2752" s="67">
        <f>YEAR(Data[[#This Row],[Buchung]])</f>
        <v>2022</v>
      </c>
      <c r="J2752" s="2">
        <f>ABS(Data[[#This Row],[Betrag]])</f>
        <v>120</v>
      </c>
      <c r="K2752" s="66" t="str">
        <f>IF(Data[[#This Row],[Betrag]]&lt;0,"A","E")</f>
        <v>A</v>
      </c>
    </row>
    <row r="2753" spans="1:11" x14ac:dyDescent="0.25">
      <c r="A2753" s="1">
        <v>44756</v>
      </c>
      <c r="B2753" s="66" t="s">
        <v>58</v>
      </c>
      <c r="C2753" s="66" t="s">
        <v>59</v>
      </c>
      <c r="D2753" t="s">
        <v>60</v>
      </c>
      <c r="E2753">
        <v>-50</v>
      </c>
      <c r="F2753" s="66" t="s">
        <v>7</v>
      </c>
      <c r="G2753" s="66" t="s">
        <v>10</v>
      </c>
      <c r="H2753" s="66" t="str">
        <f>TEXT(Data[[#This Row],[Buchung]],"MMM")</f>
        <v>Jul</v>
      </c>
      <c r="I2753" s="67">
        <f>YEAR(Data[[#This Row],[Buchung]])</f>
        <v>2022</v>
      </c>
      <c r="J2753" s="2">
        <f>ABS(Data[[#This Row],[Betrag]])</f>
        <v>50</v>
      </c>
      <c r="K2753" s="66" t="str">
        <f>IF(Data[[#This Row],[Betrag]]&lt;0,"A","E")</f>
        <v>A</v>
      </c>
    </row>
    <row r="2754" spans="1:11" x14ac:dyDescent="0.25">
      <c r="A2754" s="1">
        <v>44757</v>
      </c>
      <c r="B2754" s="66" t="s">
        <v>45</v>
      </c>
      <c r="C2754" s="66" t="s">
        <v>46</v>
      </c>
      <c r="D2754" t="s">
        <v>47</v>
      </c>
      <c r="E2754">
        <v>1000</v>
      </c>
      <c r="F2754" s="66" t="s">
        <v>7</v>
      </c>
      <c r="G2754" s="66" t="s">
        <v>9</v>
      </c>
      <c r="H2754" s="66" t="str">
        <f>TEXT(Data[[#This Row],[Buchung]],"MMM")</f>
        <v>Jul</v>
      </c>
      <c r="I2754" s="67">
        <f>YEAR(Data[[#This Row],[Buchung]])</f>
        <v>2022</v>
      </c>
      <c r="J2754" s="2">
        <f>ABS(Data[[#This Row],[Betrag]])</f>
        <v>1000</v>
      </c>
      <c r="K2754" s="66" t="str">
        <f>IF(Data[[#This Row],[Betrag]]&lt;0,"A","E")</f>
        <v>E</v>
      </c>
    </row>
    <row r="2755" spans="1:11" x14ac:dyDescent="0.25">
      <c r="A2755" s="1">
        <v>44758</v>
      </c>
      <c r="B2755" s="66" t="s">
        <v>61</v>
      </c>
      <c r="C2755" s="66" t="s">
        <v>49</v>
      </c>
      <c r="D2755" t="s">
        <v>62</v>
      </c>
      <c r="E2755">
        <v>-10</v>
      </c>
      <c r="F2755" s="66" t="s">
        <v>7</v>
      </c>
      <c r="G2755" s="66" t="s">
        <v>8</v>
      </c>
      <c r="H2755" s="66" t="str">
        <f>TEXT(Data[[#This Row],[Buchung]],"MMM")</f>
        <v>Jul</v>
      </c>
      <c r="I2755" s="67">
        <f>YEAR(Data[[#This Row],[Buchung]])</f>
        <v>2022</v>
      </c>
      <c r="J2755" s="2">
        <f>ABS(Data[[#This Row],[Betrag]])</f>
        <v>10</v>
      </c>
      <c r="K2755" s="66" t="str">
        <f>IF(Data[[#This Row],[Betrag]]&lt;0,"A","E")</f>
        <v>A</v>
      </c>
    </row>
    <row r="2756" spans="1:11" x14ac:dyDescent="0.25">
      <c r="A2756" s="1">
        <v>44759</v>
      </c>
      <c r="B2756" s="66" t="s">
        <v>63</v>
      </c>
      <c r="C2756" s="66" t="s">
        <v>64</v>
      </c>
      <c r="D2756" t="s">
        <v>65</v>
      </c>
      <c r="E2756">
        <v>-60</v>
      </c>
      <c r="F2756" s="66" t="s">
        <v>7</v>
      </c>
      <c r="G2756" s="66" t="s">
        <v>11</v>
      </c>
      <c r="H2756" s="66" t="str">
        <f>TEXT(Data[[#This Row],[Buchung]],"MMM")</f>
        <v>Jul</v>
      </c>
      <c r="I2756" s="67">
        <f>YEAR(Data[[#This Row],[Buchung]])</f>
        <v>2022</v>
      </c>
      <c r="J2756" s="2">
        <f>ABS(Data[[#This Row],[Betrag]])</f>
        <v>60</v>
      </c>
      <c r="K2756" s="66" t="str">
        <f>IF(Data[[#This Row],[Betrag]]&lt;0,"A","E")</f>
        <v>A</v>
      </c>
    </row>
    <row r="2757" spans="1:11" x14ac:dyDescent="0.25">
      <c r="A2757" s="1">
        <v>44760</v>
      </c>
      <c r="B2757" s="66" t="s">
        <v>54</v>
      </c>
      <c r="C2757" s="66" t="s">
        <v>55</v>
      </c>
      <c r="D2757" t="s">
        <v>66</v>
      </c>
      <c r="E2757">
        <v>-80</v>
      </c>
      <c r="F2757" s="66" t="s">
        <v>7</v>
      </c>
      <c r="G2757" s="66" t="s">
        <v>57</v>
      </c>
      <c r="H2757" s="66" t="str">
        <f>TEXT(Data[[#This Row],[Buchung]],"MMM")</f>
        <v>Jul</v>
      </c>
      <c r="I2757" s="67">
        <f>YEAR(Data[[#This Row],[Buchung]])</f>
        <v>2022</v>
      </c>
      <c r="J2757" s="2">
        <f>ABS(Data[[#This Row],[Betrag]])</f>
        <v>80</v>
      </c>
      <c r="K2757" s="66" t="str">
        <f>IF(Data[[#This Row],[Betrag]]&lt;0,"A","E")</f>
        <v>A</v>
      </c>
    </row>
    <row r="2758" spans="1:11" x14ac:dyDescent="0.25">
      <c r="A2758" s="1">
        <v>44761</v>
      </c>
      <c r="B2758" s="66" t="s">
        <v>67</v>
      </c>
      <c r="C2758" s="66" t="s">
        <v>59</v>
      </c>
      <c r="D2758" t="s">
        <v>68</v>
      </c>
      <c r="E2758">
        <v>-20</v>
      </c>
      <c r="F2758" s="66" t="s">
        <v>7</v>
      </c>
      <c r="G2758" s="66" t="s">
        <v>10</v>
      </c>
      <c r="H2758" s="66" t="str">
        <f>TEXT(Data[[#This Row],[Buchung]],"MMM")</f>
        <v>Jul</v>
      </c>
      <c r="I2758" s="67">
        <f>YEAR(Data[[#This Row],[Buchung]])</f>
        <v>2022</v>
      </c>
      <c r="J2758" s="2">
        <f>ABS(Data[[#This Row],[Betrag]])</f>
        <v>20</v>
      </c>
      <c r="K2758" s="66" t="str">
        <f>IF(Data[[#This Row],[Betrag]]&lt;0,"A","E")</f>
        <v>A</v>
      </c>
    </row>
    <row r="2759" spans="1:11" x14ac:dyDescent="0.25">
      <c r="A2759" s="1">
        <v>44762</v>
      </c>
      <c r="B2759" s="66" t="s">
        <v>45</v>
      </c>
      <c r="C2759" s="66" t="s">
        <v>46</v>
      </c>
      <c r="D2759" t="s">
        <v>47</v>
      </c>
      <c r="E2759">
        <v>1000</v>
      </c>
      <c r="F2759" s="66" t="s">
        <v>7</v>
      </c>
      <c r="G2759" s="66" t="s">
        <v>9</v>
      </c>
      <c r="H2759" s="66" t="str">
        <f>TEXT(Data[[#This Row],[Buchung]],"MMM")</f>
        <v>Jul</v>
      </c>
      <c r="I2759" s="67">
        <f>YEAR(Data[[#This Row],[Buchung]])</f>
        <v>2022</v>
      </c>
      <c r="J2759" s="2">
        <f>ABS(Data[[#This Row],[Betrag]])</f>
        <v>1000</v>
      </c>
      <c r="K2759" s="66" t="str">
        <f>IF(Data[[#This Row],[Betrag]]&lt;0,"A","E")</f>
        <v>E</v>
      </c>
    </row>
    <row r="2760" spans="1:11" x14ac:dyDescent="0.25">
      <c r="A2760" s="1">
        <v>44763</v>
      </c>
      <c r="B2760" s="66" t="s">
        <v>48</v>
      </c>
      <c r="C2760" s="66" t="s">
        <v>49</v>
      </c>
      <c r="D2760" t="s">
        <v>50</v>
      </c>
      <c r="E2760">
        <v>-15</v>
      </c>
      <c r="F2760" s="66" t="s">
        <v>7</v>
      </c>
      <c r="G2760" s="66" t="s">
        <v>8</v>
      </c>
      <c r="H2760" s="66" t="str">
        <f>TEXT(Data[[#This Row],[Buchung]],"MMM")</f>
        <v>Jul</v>
      </c>
      <c r="I2760" s="67">
        <f>YEAR(Data[[#This Row],[Buchung]])</f>
        <v>2022</v>
      </c>
      <c r="J2760" s="2">
        <f>ABS(Data[[#This Row],[Betrag]])</f>
        <v>15</v>
      </c>
      <c r="K2760" s="66" t="str">
        <f>IF(Data[[#This Row],[Betrag]]&lt;0,"A","E")</f>
        <v>A</v>
      </c>
    </row>
    <row r="2761" spans="1:11" x14ac:dyDescent="0.25">
      <c r="A2761" s="1">
        <v>44764</v>
      </c>
      <c r="B2761" s="66" t="s">
        <v>51</v>
      </c>
      <c r="C2761" s="66" t="s">
        <v>52</v>
      </c>
      <c r="D2761" t="s">
        <v>53</v>
      </c>
      <c r="E2761">
        <v>-350</v>
      </c>
      <c r="F2761" s="66" t="s">
        <v>7</v>
      </c>
      <c r="G2761" s="66" t="s">
        <v>11</v>
      </c>
      <c r="H2761" s="66" t="str">
        <f>TEXT(Data[[#This Row],[Buchung]],"MMM")</f>
        <v>Jul</v>
      </c>
      <c r="I2761" s="67">
        <f>YEAR(Data[[#This Row],[Buchung]])</f>
        <v>2022</v>
      </c>
      <c r="J2761" s="2">
        <f>ABS(Data[[#This Row],[Betrag]])</f>
        <v>350</v>
      </c>
      <c r="K2761" s="66" t="str">
        <f>IF(Data[[#This Row],[Betrag]]&lt;0,"A","E")</f>
        <v>A</v>
      </c>
    </row>
    <row r="2762" spans="1:11" x14ac:dyDescent="0.25">
      <c r="A2762" s="1">
        <v>44765</v>
      </c>
      <c r="B2762" s="66" t="s">
        <v>54</v>
      </c>
      <c r="C2762" s="66" t="s">
        <v>55</v>
      </c>
      <c r="D2762" t="s">
        <v>56</v>
      </c>
      <c r="E2762">
        <v>-120</v>
      </c>
      <c r="F2762" s="66" t="s">
        <v>7</v>
      </c>
      <c r="G2762" s="66" t="s">
        <v>57</v>
      </c>
      <c r="H2762" s="66" t="str">
        <f>TEXT(Data[[#This Row],[Buchung]],"MMM")</f>
        <v>Jul</v>
      </c>
      <c r="I2762" s="67">
        <f>YEAR(Data[[#This Row],[Buchung]])</f>
        <v>2022</v>
      </c>
      <c r="J2762" s="2">
        <f>ABS(Data[[#This Row],[Betrag]])</f>
        <v>120</v>
      </c>
      <c r="K2762" s="66" t="str">
        <f>IF(Data[[#This Row],[Betrag]]&lt;0,"A","E")</f>
        <v>A</v>
      </c>
    </row>
    <row r="2763" spans="1:11" x14ac:dyDescent="0.25">
      <c r="A2763" s="1">
        <v>44766</v>
      </c>
      <c r="B2763" s="66" t="s">
        <v>58</v>
      </c>
      <c r="C2763" s="66" t="s">
        <v>59</v>
      </c>
      <c r="D2763" t="s">
        <v>60</v>
      </c>
      <c r="E2763">
        <v>-60</v>
      </c>
      <c r="F2763" s="66" t="s">
        <v>7</v>
      </c>
      <c r="G2763" s="66" t="s">
        <v>10</v>
      </c>
      <c r="H2763" s="66" t="str">
        <f>TEXT(Data[[#This Row],[Buchung]],"MMM")</f>
        <v>Jul</v>
      </c>
      <c r="I2763" s="67">
        <f>YEAR(Data[[#This Row],[Buchung]])</f>
        <v>2022</v>
      </c>
      <c r="J2763" s="2">
        <f>ABS(Data[[#This Row],[Betrag]])</f>
        <v>60</v>
      </c>
      <c r="K2763" s="66" t="str">
        <f>IF(Data[[#This Row],[Betrag]]&lt;0,"A","E")</f>
        <v>A</v>
      </c>
    </row>
    <row r="2764" spans="1:11" x14ac:dyDescent="0.25">
      <c r="A2764" s="1">
        <v>44767</v>
      </c>
      <c r="B2764" s="66" t="s">
        <v>45</v>
      </c>
      <c r="C2764" s="66" t="s">
        <v>46</v>
      </c>
      <c r="D2764" t="s">
        <v>47</v>
      </c>
      <c r="E2764">
        <v>1000</v>
      </c>
      <c r="F2764" s="66" t="s">
        <v>7</v>
      </c>
      <c r="G2764" s="66" t="s">
        <v>9</v>
      </c>
      <c r="H2764" s="66" t="str">
        <f>TEXT(Data[[#This Row],[Buchung]],"MMM")</f>
        <v>Jul</v>
      </c>
      <c r="I2764" s="67">
        <f>YEAR(Data[[#This Row],[Buchung]])</f>
        <v>2022</v>
      </c>
      <c r="J2764" s="2">
        <f>ABS(Data[[#This Row],[Betrag]])</f>
        <v>1000</v>
      </c>
      <c r="K2764" s="66" t="str">
        <f>IF(Data[[#This Row],[Betrag]]&lt;0,"A","E")</f>
        <v>E</v>
      </c>
    </row>
    <row r="2765" spans="1:11" x14ac:dyDescent="0.25">
      <c r="A2765" s="1">
        <v>44768</v>
      </c>
      <c r="B2765" s="66" t="s">
        <v>61</v>
      </c>
      <c r="C2765" s="66" t="s">
        <v>49</v>
      </c>
      <c r="D2765" t="s">
        <v>62</v>
      </c>
      <c r="E2765">
        <v>-10</v>
      </c>
      <c r="F2765" s="66" t="s">
        <v>7</v>
      </c>
      <c r="G2765" s="66" t="s">
        <v>8</v>
      </c>
      <c r="H2765" s="66" t="str">
        <f>TEXT(Data[[#This Row],[Buchung]],"MMM")</f>
        <v>Jul</v>
      </c>
      <c r="I2765" s="67">
        <f>YEAR(Data[[#This Row],[Buchung]])</f>
        <v>2022</v>
      </c>
      <c r="J2765" s="2">
        <f>ABS(Data[[#This Row],[Betrag]])</f>
        <v>10</v>
      </c>
      <c r="K2765" s="66" t="str">
        <f>IF(Data[[#This Row],[Betrag]]&lt;0,"A","E")</f>
        <v>A</v>
      </c>
    </row>
    <row r="2766" spans="1:11" x14ac:dyDescent="0.25">
      <c r="A2766" s="1">
        <v>44769</v>
      </c>
      <c r="B2766" s="66" t="s">
        <v>63</v>
      </c>
      <c r="C2766" s="66" t="s">
        <v>64</v>
      </c>
      <c r="D2766" t="s">
        <v>65</v>
      </c>
      <c r="E2766">
        <v>-70</v>
      </c>
      <c r="F2766" s="66" t="s">
        <v>7</v>
      </c>
      <c r="G2766" s="66" t="s">
        <v>11</v>
      </c>
      <c r="H2766" s="66" t="str">
        <f>TEXT(Data[[#This Row],[Buchung]],"MMM")</f>
        <v>Jul</v>
      </c>
      <c r="I2766" s="67">
        <f>YEAR(Data[[#This Row],[Buchung]])</f>
        <v>2022</v>
      </c>
      <c r="J2766" s="2">
        <f>ABS(Data[[#This Row],[Betrag]])</f>
        <v>70</v>
      </c>
      <c r="K2766" s="66" t="str">
        <f>IF(Data[[#This Row],[Betrag]]&lt;0,"A","E")</f>
        <v>A</v>
      </c>
    </row>
    <row r="2767" spans="1:11" x14ac:dyDescent="0.25">
      <c r="A2767" s="1">
        <v>44770</v>
      </c>
      <c r="B2767" s="66" t="s">
        <v>54</v>
      </c>
      <c r="C2767" s="66" t="s">
        <v>55</v>
      </c>
      <c r="D2767" t="s">
        <v>66</v>
      </c>
      <c r="E2767">
        <v>-80</v>
      </c>
      <c r="F2767" s="66" t="s">
        <v>7</v>
      </c>
      <c r="G2767" s="66" t="s">
        <v>57</v>
      </c>
      <c r="H2767" s="66" t="str">
        <f>TEXT(Data[[#This Row],[Buchung]],"MMM")</f>
        <v>Jul</v>
      </c>
      <c r="I2767" s="67">
        <f>YEAR(Data[[#This Row],[Buchung]])</f>
        <v>2022</v>
      </c>
      <c r="J2767" s="2">
        <f>ABS(Data[[#This Row],[Betrag]])</f>
        <v>80</v>
      </c>
      <c r="K2767" s="66" t="str">
        <f>IF(Data[[#This Row],[Betrag]]&lt;0,"A","E")</f>
        <v>A</v>
      </c>
    </row>
    <row r="2768" spans="1:11" x14ac:dyDescent="0.25">
      <c r="A2768" s="1">
        <v>44771</v>
      </c>
      <c r="B2768" s="66" t="s">
        <v>67</v>
      </c>
      <c r="C2768" s="66" t="s">
        <v>59</v>
      </c>
      <c r="D2768" t="s">
        <v>68</v>
      </c>
      <c r="E2768">
        <v>-25</v>
      </c>
      <c r="F2768" s="66" t="s">
        <v>7</v>
      </c>
      <c r="G2768" s="66" t="s">
        <v>10</v>
      </c>
      <c r="H2768" s="66" t="str">
        <f>TEXT(Data[[#This Row],[Buchung]],"MMM")</f>
        <v>Jul</v>
      </c>
      <c r="I2768" s="67">
        <f>YEAR(Data[[#This Row],[Buchung]])</f>
        <v>2022</v>
      </c>
      <c r="J2768" s="2">
        <f>ABS(Data[[#This Row],[Betrag]])</f>
        <v>25</v>
      </c>
      <c r="K2768" s="66" t="str">
        <f>IF(Data[[#This Row],[Betrag]]&lt;0,"A","E")</f>
        <v>A</v>
      </c>
    </row>
    <row r="2769" spans="1:11" x14ac:dyDescent="0.25">
      <c r="A2769" s="1">
        <v>44772</v>
      </c>
      <c r="B2769" s="66" t="s">
        <v>45</v>
      </c>
      <c r="C2769" s="66" t="s">
        <v>46</v>
      </c>
      <c r="D2769" t="s">
        <v>47</v>
      </c>
      <c r="E2769">
        <v>1000</v>
      </c>
      <c r="F2769" s="66" t="s">
        <v>7</v>
      </c>
      <c r="G2769" s="66" t="s">
        <v>9</v>
      </c>
      <c r="H2769" s="66" t="str">
        <f>TEXT(Data[[#This Row],[Buchung]],"MMM")</f>
        <v>Jul</v>
      </c>
      <c r="I2769" s="67">
        <f>YEAR(Data[[#This Row],[Buchung]])</f>
        <v>2022</v>
      </c>
      <c r="J2769" s="2">
        <f>ABS(Data[[#This Row],[Betrag]])</f>
        <v>1000</v>
      </c>
      <c r="K2769" s="66" t="str">
        <f>IF(Data[[#This Row],[Betrag]]&lt;0,"A","E")</f>
        <v>E</v>
      </c>
    </row>
    <row r="2770" spans="1:11" x14ac:dyDescent="0.25">
      <c r="A2770" s="1">
        <v>44773</v>
      </c>
      <c r="B2770" s="66" t="s">
        <v>48</v>
      </c>
      <c r="C2770" s="66" t="s">
        <v>49</v>
      </c>
      <c r="D2770" t="s">
        <v>50</v>
      </c>
      <c r="E2770">
        <v>-15</v>
      </c>
      <c r="F2770" s="66" t="s">
        <v>7</v>
      </c>
      <c r="G2770" s="66" t="s">
        <v>8</v>
      </c>
      <c r="H2770" s="66" t="str">
        <f>TEXT(Data[[#This Row],[Buchung]],"MMM")</f>
        <v>Jul</v>
      </c>
      <c r="I2770" s="67">
        <f>YEAR(Data[[#This Row],[Buchung]])</f>
        <v>2022</v>
      </c>
      <c r="J2770" s="2">
        <f>ABS(Data[[#This Row],[Betrag]])</f>
        <v>15</v>
      </c>
      <c r="K2770" s="66" t="str">
        <f>IF(Data[[#This Row],[Betrag]]&lt;0,"A","E")</f>
        <v>A</v>
      </c>
    </row>
    <row r="2771" spans="1:11" x14ac:dyDescent="0.25">
      <c r="A2771" s="1">
        <v>44774</v>
      </c>
      <c r="B2771" s="66" t="s">
        <v>51</v>
      </c>
      <c r="C2771" s="66" t="s">
        <v>52</v>
      </c>
      <c r="D2771" t="s">
        <v>53</v>
      </c>
      <c r="E2771">
        <v>-350</v>
      </c>
      <c r="F2771" s="66" t="s">
        <v>7</v>
      </c>
      <c r="G2771" s="66" t="s">
        <v>11</v>
      </c>
      <c r="H2771" s="66" t="str">
        <f>TEXT(Data[[#This Row],[Buchung]],"MMM")</f>
        <v>Aug</v>
      </c>
      <c r="I2771" s="67">
        <f>YEAR(Data[[#This Row],[Buchung]])</f>
        <v>2022</v>
      </c>
      <c r="J2771" s="2">
        <f>ABS(Data[[#This Row],[Betrag]])</f>
        <v>350</v>
      </c>
      <c r="K2771" s="66" t="str">
        <f>IF(Data[[#This Row],[Betrag]]&lt;0,"A","E")</f>
        <v>A</v>
      </c>
    </row>
    <row r="2772" spans="1:11" x14ac:dyDescent="0.25">
      <c r="A2772" s="1">
        <v>44775</v>
      </c>
      <c r="B2772" s="66" t="s">
        <v>54</v>
      </c>
      <c r="C2772" s="66" t="s">
        <v>55</v>
      </c>
      <c r="D2772" t="s">
        <v>56</v>
      </c>
      <c r="E2772">
        <v>-120</v>
      </c>
      <c r="F2772" s="66" t="s">
        <v>7</v>
      </c>
      <c r="G2772" s="66" t="s">
        <v>57</v>
      </c>
      <c r="H2772" s="66" t="str">
        <f>TEXT(Data[[#This Row],[Buchung]],"MMM")</f>
        <v>Aug</v>
      </c>
      <c r="I2772" s="67">
        <f>YEAR(Data[[#This Row],[Buchung]])</f>
        <v>2022</v>
      </c>
      <c r="J2772" s="2">
        <f>ABS(Data[[#This Row],[Betrag]])</f>
        <v>120</v>
      </c>
      <c r="K2772" s="66" t="str">
        <f>IF(Data[[#This Row],[Betrag]]&lt;0,"A","E")</f>
        <v>A</v>
      </c>
    </row>
    <row r="2773" spans="1:11" x14ac:dyDescent="0.25">
      <c r="A2773" s="1">
        <v>44776</v>
      </c>
      <c r="B2773" s="66" t="s">
        <v>58</v>
      </c>
      <c r="C2773" s="66" t="s">
        <v>59</v>
      </c>
      <c r="D2773" t="s">
        <v>60</v>
      </c>
      <c r="E2773">
        <v>-70</v>
      </c>
      <c r="F2773" s="66" t="s">
        <v>7</v>
      </c>
      <c r="G2773" s="66" t="s">
        <v>10</v>
      </c>
      <c r="H2773" s="66" t="str">
        <f>TEXT(Data[[#This Row],[Buchung]],"MMM")</f>
        <v>Aug</v>
      </c>
      <c r="I2773" s="67">
        <f>YEAR(Data[[#This Row],[Buchung]])</f>
        <v>2022</v>
      </c>
      <c r="J2773" s="2">
        <f>ABS(Data[[#This Row],[Betrag]])</f>
        <v>70</v>
      </c>
      <c r="K2773" s="66" t="str">
        <f>IF(Data[[#This Row],[Betrag]]&lt;0,"A","E")</f>
        <v>A</v>
      </c>
    </row>
    <row r="2774" spans="1:11" x14ac:dyDescent="0.25">
      <c r="A2774" s="1">
        <v>44777</v>
      </c>
      <c r="B2774" s="66" t="s">
        <v>45</v>
      </c>
      <c r="C2774" s="66" t="s">
        <v>46</v>
      </c>
      <c r="D2774" t="s">
        <v>47</v>
      </c>
      <c r="E2774">
        <v>1000</v>
      </c>
      <c r="F2774" s="66" t="s">
        <v>7</v>
      </c>
      <c r="G2774" s="66" t="s">
        <v>9</v>
      </c>
      <c r="H2774" s="66" t="str">
        <f>TEXT(Data[[#This Row],[Buchung]],"MMM")</f>
        <v>Aug</v>
      </c>
      <c r="I2774" s="67">
        <f>YEAR(Data[[#This Row],[Buchung]])</f>
        <v>2022</v>
      </c>
      <c r="J2774" s="2">
        <f>ABS(Data[[#This Row],[Betrag]])</f>
        <v>1000</v>
      </c>
      <c r="K2774" s="66" t="str">
        <f>IF(Data[[#This Row],[Betrag]]&lt;0,"A","E")</f>
        <v>E</v>
      </c>
    </row>
    <row r="2775" spans="1:11" x14ac:dyDescent="0.25">
      <c r="A2775" s="1">
        <v>44778</v>
      </c>
      <c r="B2775" s="66" t="s">
        <v>61</v>
      </c>
      <c r="C2775" s="66" t="s">
        <v>49</v>
      </c>
      <c r="D2775" t="s">
        <v>62</v>
      </c>
      <c r="E2775">
        <v>-10</v>
      </c>
      <c r="F2775" s="66" t="s">
        <v>7</v>
      </c>
      <c r="G2775" s="66" t="s">
        <v>8</v>
      </c>
      <c r="H2775" s="66" t="str">
        <f>TEXT(Data[[#This Row],[Buchung]],"MMM")</f>
        <v>Aug</v>
      </c>
      <c r="I2775" s="67">
        <f>YEAR(Data[[#This Row],[Buchung]])</f>
        <v>2022</v>
      </c>
      <c r="J2775" s="2">
        <f>ABS(Data[[#This Row],[Betrag]])</f>
        <v>10</v>
      </c>
      <c r="K2775" s="66" t="str">
        <f>IF(Data[[#This Row],[Betrag]]&lt;0,"A","E")</f>
        <v>A</v>
      </c>
    </row>
    <row r="2776" spans="1:11" x14ac:dyDescent="0.25">
      <c r="A2776" s="1">
        <v>44779</v>
      </c>
      <c r="B2776" s="66" t="s">
        <v>63</v>
      </c>
      <c r="C2776" s="66" t="s">
        <v>64</v>
      </c>
      <c r="D2776" t="s">
        <v>65</v>
      </c>
      <c r="E2776">
        <v>-60</v>
      </c>
      <c r="F2776" s="66" t="s">
        <v>7</v>
      </c>
      <c r="G2776" s="66" t="s">
        <v>11</v>
      </c>
      <c r="H2776" s="66" t="str">
        <f>TEXT(Data[[#This Row],[Buchung]],"MMM")</f>
        <v>Aug</v>
      </c>
      <c r="I2776" s="67">
        <f>YEAR(Data[[#This Row],[Buchung]])</f>
        <v>2022</v>
      </c>
      <c r="J2776" s="2">
        <f>ABS(Data[[#This Row],[Betrag]])</f>
        <v>60</v>
      </c>
      <c r="K2776" s="66" t="str">
        <f>IF(Data[[#This Row],[Betrag]]&lt;0,"A","E")</f>
        <v>A</v>
      </c>
    </row>
    <row r="2777" spans="1:11" x14ac:dyDescent="0.25">
      <c r="A2777" s="1">
        <v>44780</v>
      </c>
      <c r="B2777" s="66" t="s">
        <v>54</v>
      </c>
      <c r="C2777" s="66" t="s">
        <v>55</v>
      </c>
      <c r="D2777" t="s">
        <v>66</v>
      </c>
      <c r="E2777">
        <v>-80</v>
      </c>
      <c r="F2777" s="66" t="s">
        <v>7</v>
      </c>
      <c r="G2777" s="66" t="s">
        <v>57</v>
      </c>
      <c r="H2777" s="66" t="str">
        <f>TEXT(Data[[#This Row],[Buchung]],"MMM")</f>
        <v>Aug</v>
      </c>
      <c r="I2777" s="67">
        <f>YEAR(Data[[#This Row],[Buchung]])</f>
        <v>2022</v>
      </c>
      <c r="J2777" s="2">
        <f>ABS(Data[[#This Row],[Betrag]])</f>
        <v>80</v>
      </c>
      <c r="K2777" s="66" t="str">
        <f>IF(Data[[#This Row],[Betrag]]&lt;0,"A","E")</f>
        <v>A</v>
      </c>
    </row>
    <row r="2778" spans="1:11" x14ac:dyDescent="0.25">
      <c r="A2778" s="1">
        <v>44781</v>
      </c>
      <c r="B2778" s="66" t="s">
        <v>67</v>
      </c>
      <c r="C2778" s="66" t="s">
        <v>59</v>
      </c>
      <c r="D2778" t="s">
        <v>68</v>
      </c>
      <c r="E2778">
        <v>-30</v>
      </c>
      <c r="F2778" s="66" t="s">
        <v>7</v>
      </c>
      <c r="G2778" s="66" t="s">
        <v>10</v>
      </c>
      <c r="H2778" s="66" t="str">
        <f>TEXT(Data[[#This Row],[Buchung]],"MMM")</f>
        <v>Aug</v>
      </c>
      <c r="I2778" s="67">
        <f>YEAR(Data[[#This Row],[Buchung]])</f>
        <v>2022</v>
      </c>
      <c r="J2778" s="2">
        <f>ABS(Data[[#This Row],[Betrag]])</f>
        <v>30</v>
      </c>
      <c r="K2778" s="66" t="str">
        <f>IF(Data[[#This Row],[Betrag]]&lt;0,"A","E")</f>
        <v>A</v>
      </c>
    </row>
    <row r="2779" spans="1:11" x14ac:dyDescent="0.25">
      <c r="A2779" s="1">
        <v>44782</v>
      </c>
      <c r="B2779" s="66" t="s">
        <v>45</v>
      </c>
      <c r="C2779" s="66" t="s">
        <v>46</v>
      </c>
      <c r="D2779" t="s">
        <v>47</v>
      </c>
      <c r="E2779">
        <v>1000</v>
      </c>
      <c r="F2779" s="66" t="s">
        <v>7</v>
      </c>
      <c r="G2779" s="66" t="s">
        <v>9</v>
      </c>
      <c r="H2779" s="66" t="str">
        <f>TEXT(Data[[#This Row],[Buchung]],"MMM")</f>
        <v>Aug</v>
      </c>
      <c r="I2779" s="67">
        <f>YEAR(Data[[#This Row],[Buchung]])</f>
        <v>2022</v>
      </c>
      <c r="J2779" s="2">
        <f>ABS(Data[[#This Row],[Betrag]])</f>
        <v>1000</v>
      </c>
      <c r="K2779" s="66" t="str">
        <f>IF(Data[[#This Row],[Betrag]]&lt;0,"A","E")</f>
        <v>E</v>
      </c>
    </row>
    <row r="2780" spans="1:11" x14ac:dyDescent="0.25">
      <c r="A2780" s="1">
        <v>44783</v>
      </c>
      <c r="B2780" s="66" t="s">
        <v>48</v>
      </c>
      <c r="C2780" s="66" t="s">
        <v>49</v>
      </c>
      <c r="D2780" t="s">
        <v>50</v>
      </c>
      <c r="E2780">
        <v>-15</v>
      </c>
      <c r="F2780" s="66" t="s">
        <v>7</v>
      </c>
      <c r="G2780" s="66" t="s">
        <v>8</v>
      </c>
      <c r="H2780" s="66" t="str">
        <f>TEXT(Data[[#This Row],[Buchung]],"MMM")</f>
        <v>Aug</v>
      </c>
      <c r="I2780" s="67">
        <f>YEAR(Data[[#This Row],[Buchung]])</f>
        <v>2022</v>
      </c>
      <c r="J2780" s="2">
        <f>ABS(Data[[#This Row],[Betrag]])</f>
        <v>15</v>
      </c>
      <c r="K2780" s="66" t="str">
        <f>IF(Data[[#This Row],[Betrag]]&lt;0,"A","E")</f>
        <v>A</v>
      </c>
    </row>
    <row r="2781" spans="1:11" x14ac:dyDescent="0.25">
      <c r="A2781" s="1">
        <v>44784</v>
      </c>
      <c r="B2781" s="66" t="s">
        <v>51</v>
      </c>
      <c r="C2781" s="66" t="s">
        <v>52</v>
      </c>
      <c r="D2781" t="s">
        <v>53</v>
      </c>
      <c r="E2781">
        <v>-350</v>
      </c>
      <c r="F2781" s="66" t="s">
        <v>7</v>
      </c>
      <c r="G2781" s="66" t="s">
        <v>11</v>
      </c>
      <c r="H2781" s="66" t="str">
        <f>TEXT(Data[[#This Row],[Buchung]],"MMM")</f>
        <v>Aug</v>
      </c>
      <c r="I2781" s="67">
        <f>YEAR(Data[[#This Row],[Buchung]])</f>
        <v>2022</v>
      </c>
      <c r="J2781" s="2">
        <f>ABS(Data[[#This Row],[Betrag]])</f>
        <v>350</v>
      </c>
      <c r="K2781" s="66" t="str">
        <f>IF(Data[[#This Row],[Betrag]]&lt;0,"A","E")</f>
        <v>A</v>
      </c>
    </row>
    <row r="2782" spans="1:11" x14ac:dyDescent="0.25">
      <c r="A2782" s="1">
        <v>44785</v>
      </c>
      <c r="B2782" s="66" t="s">
        <v>54</v>
      </c>
      <c r="C2782" s="66" t="s">
        <v>55</v>
      </c>
      <c r="D2782" t="s">
        <v>56</v>
      </c>
      <c r="E2782">
        <v>-120</v>
      </c>
      <c r="F2782" s="66" t="s">
        <v>7</v>
      </c>
      <c r="G2782" s="66" t="s">
        <v>57</v>
      </c>
      <c r="H2782" s="66" t="str">
        <f>TEXT(Data[[#This Row],[Buchung]],"MMM")</f>
        <v>Aug</v>
      </c>
      <c r="I2782" s="67">
        <f>YEAR(Data[[#This Row],[Buchung]])</f>
        <v>2022</v>
      </c>
      <c r="J2782" s="2">
        <f>ABS(Data[[#This Row],[Betrag]])</f>
        <v>120</v>
      </c>
      <c r="K2782" s="66" t="str">
        <f>IF(Data[[#This Row],[Betrag]]&lt;0,"A","E")</f>
        <v>A</v>
      </c>
    </row>
    <row r="2783" spans="1:11" x14ac:dyDescent="0.25">
      <c r="A2783" s="1">
        <v>44786</v>
      </c>
      <c r="B2783" s="66" t="s">
        <v>58</v>
      </c>
      <c r="C2783" s="66" t="s">
        <v>59</v>
      </c>
      <c r="D2783" t="s">
        <v>60</v>
      </c>
      <c r="E2783">
        <v>-80</v>
      </c>
      <c r="F2783" s="66" t="s">
        <v>7</v>
      </c>
      <c r="G2783" s="66" t="s">
        <v>10</v>
      </c>
      <c r="H2783" s="66" t="str">
        <f>TEXT(Data[[#This Row],[Buchung]],"MMM")</f>
        <v>Aug</v>
      </c>
      <c r="I2783" s="67">
        <f>YEAR(Data[[#This Row],[Buchung]])</f>
        <v>2022</v>
      </c>
      <c r="J2783" s="2">
        <f>ABS(Data[[#This Row],[Betrag]])</f>
        <v>80</v>
      </c>
      <c r="K2783" s="66" t="str">
        <f>IF(Data[[#This Row],[Betrag]]&lt;0,"A","E")</f>
        <v>A</v>
      </c>
    </row>
    <row r="2784" spans="1:11" x14ac:dyDescent="0.25">
      <c r="A2784" s="1">
        <v>44787</v>
      </c>
      <c r="B2784" s="66" t="s">
        <v>45</v>
      </c>
      <c r="C2784" s="66" t="s">
        <v>46</v>
      </c>
      <c r="D2784" t="s">
        <v>47</v>
      </c>
      <c r="E2784">
        <v>1000</v>
      </c>
      <c r="F2784" s="66" t="s">
        <v>7</v>
      </c>
      <c r="G2784" s="66" t="s">
        <v>9</v>
      </c>
      <c r="H2784" s="66" t="str">
        <f>TEXT(Data[[#This Row],[Buchung]],"MMM")</f>
        <v>Aug</v>
      </c>
      <c r="I2784" s="67">
        <f>YEAR(Data[[#This Row],[Buchung]])</f>
        <v>2022</v>
      </c>
      <c r="J2784" s="2">
        <f>ABS(Data[[#This Row],[Betrag]])</f>
        <v>1000</v>
      </c>
      <c r="K2784" s="66" t="str">
        <f>IF(Data[[#This Row],[Betrag]]&lt;0,"A","E")</f>
        <v>E</v>
      </c>
    </row>
    <row r="2785" spans="1:11" x14ac:dyDescent="0.25">
      <c r="A2785" s="1">
        <v>44788</v>
      </c>
      <c r="B2785" s="66" t="s">
        <v>61</v>
      </c>
      <c r="C2785" s="66" t="s">
        <v>49</v>
      </c>
      <c r="D2785" t="s">
        <v>62</v>
      </c>
      <c r="E2785">
        <v>-10</v>
      </c>
      <c r="F2785" s="66" t="s">
        <v>7</v>
      </c>
      <c r="G2785" s="66" t="s">
        <v>8</v>
      </c>
      <c r="H2785" s="66" t="str">
        <f>TEXT(Data[[#This Row],[Buchung]],"MMM")</f>
        <v>Aug</v>
      </c>
      <c r="I2785" s="67">
        <f>YEAR(Data[[#This Row],[Buchung]])</f>
        <v>2022</v>
      </c>
      <c r="J2785" s="2">
        <f>ABS(Data[[#This Row],[Betrag]])</f>
        <v>10</v>
      </c>
      <c r="K2785" s="66" t="str">
        <f>IF(Data[[#This Row],[Betrag]]&lt;0,"A","E")</f>
        <v>A</v>
      </c>
    </row>
    <row r="2786" spans="1:11" x14ac:dyDescent="0.25">
      <c r="A2786" s="1">
        <v>44789</v>
      </c>
      <c r="B2786" s="66" t="s">
        <v>63</v>
      </c>
      <c r="C2786" s="66" t="s">
        <v>64</v>
      </c>
      <c r="D2786" t="s">
        <v>65</v>
      </c>
      <c r="E2786">
        <v>-65</v>
      </c>
      <c r="F2786" s="66" t="s">
        <v>7</v>
      </c>
      <c r="G2786" s="66" t="s">
        <v>11</v>
      </c>
      <c r="H2786" s="66" t="str">
        <f>TEXT(Data[[#This Row],[Buchung]],"MMM")</f>
        <v>Aug</v>
      </c>
      <c r="I2786" s="67">
        <f>YEAR(Data[[#This Row],[Buchung]])</f>
        <v>2022</v>
      </c>
      <c r="J2786" s="2">
        <f>ABS(Data[[#This Row],[Betrag]])</f>
        <v>65</v>
      </c>
      <c r="K2786" s="66" t="str">
        <f>IF(Data[[#This Row],[Betrag]]&lt;0,"A","E")</f>
        <v>A</v>
      </c>
    </row>
    <row r="2787" spans="1:11" x14ac:dyDescent="0.25">
      <c r="A2787" s="1">
        <v>44790</v>
      </c>
      <c r="B2787" s="66" t="s">
        <v>54</v>
      </c>
      <c r="C2787" s="66" t="s">
        <v>55</v>
      </c>
      <c r="D2787" t="s">
        <v>66</v>
      </c>
      <c r="E2787">
        <v>-80</v>
      </c>
      <c r="F2787" s="66" t="s">
        <v>7</v>
      </c>
      <c r="G2787" s="66" t="s">
        <v>57</v>
      </c>
      <c r="H2787" s="66" t="str">
        <f>TEXT(Data[[#This Row],[Buchung]],"MMM")</f>
        <v>Aug</v>
      </c>
      <c r="I2787" s="67">
        <f>YEAR(Data[[#This Row],[Buchung]])</f>
        <v>2022</v>
      </c>
      <c r="J2787" s="2">
        <f>ABS(Data[[#This Row],[Betrag]])</f>
        <v>80</v>
      </c>
      <c r="K2787" s="66" t="str">
        <f>IF(Data[[#This Row],[Betrag]]&lt;0,"A","E")</f>
        <v>A</v>
      </c>
    </row>
    <row r="2788" spans="1:11" x14ac:dyDescent="0.25">
      <c r="A2788" s="1">
        <v>44791</v>
      </c>
      <c r="B2788" s="66" t="s">
        <v>67</v>
      </c>
      <c r="C2788" s="66" t="s">
        <v>59</v>
      </c>
      <c r="D2788" t="s">
        <v>68</v>
      </c>
      <c r="E2788">
        <v>-35</v>
      </c>
      <c r="F2788" s="66" t="s">
        <v>7</v>
      </c>
      <c r="G2788" s="66" t="s">
        <v>10</v>
      </c>
      <c r="H2788" s="66" t="str">
        <f>TEXT(Data[[#This Row],[Buchung]],"MMM")</f>
        <v>Aug</v>
      </c>
      <c r="I2788" s="67">
        <f>YEAR(Data[[#This Row],[Buchung]])</f>
        <v>2022</v>
      </c>
      <c r="J2788" s="2">
        <f>ABS(Data[[#This Row],[Betrag]])</f>
        <v>35</v>
      </c>
      <c r="K2788" s="66" t="str">
        <f>IF(Data[[#This Row],[Betrag]]&lt;0,"A","E")</f>
        <v>A</v>
      </c>
    </row>
    <row r="2789" spans="1:11" x14ac:dyDescent="0.25">
      <c r="A2789" s="1">
        <v>44792</v>
      </c>
      <c r="B2789" s="66" t="s">
        <v>45</v>
      </c>
      <c r="C2789" s="66" t="s">
        <v>46</v>
      </c>
      <c r="D2789" t="s">
        <v>47</v>
      </c>
      <c r="E2789">
        <v>1000</v>
      </c>
      <c r="F2789" s="66" t="s">
        <v>7</v>
      </c>
      <c r="G2789" s="66" t="s">
        <v>9</v>
      </c>
      <c r="H2789" s="66" t="str">
        <f>TEXT(Data[[#This Row],[Buchung]],"MMM")</f>
        <v>Aug</v>
      </c>
      <c r="I2789" s="67">
        <f>YEAR(Data[[#This Row],[Buchung]])</f>
        <v>2022</v>
      </c>
      <c r="J2789" s="2">
        <f>ABS(Data[[#This Row],[Betrag]])</f>
        <v>1000</v>
      </c>
      <c r="K2789" s="66" t="str">
        <f>IF(Data[[#This Row],[Betrag]]&lt;0,"A","E")</f>
        <v>E</v>
      </c>
    </row>
    <row r="2790" spans="1:11" x14ac:dyDescent="0.25">
      <c r="A2790" s="1">
        <v>44793</v>
      </c>
      <c r="B2790" s="66" t="s">
        <v>45</v>
      </c>
      <c r="C2790" s="66" t="s">
        <v>46</v>
      </c>
      <c r="D2790" t="s">
        <v>47</v>
      </c>
      <c r="E2790">
        <v>1000</v>
      </c>
      <c r="F2790" s="66" t="s">
        <v>7</v>
      </c>
      <c r="G2790" s="66" t="s">
        <v>9</v>
      </c>
      <c r="H2790" s="66" t="str">
        <f>TEXT(Data[[#This Row],[Buchung]],"MMM")</f>
        <v>Aug</v>
      </c>
      <c r="I2790" s="67">
        <f>YEAR(Data[[#This Row],[Buchung]])</f>
        <v>2022</v>
      </c>
      <c r="J2790" s="2">
        <f>ABS(Data[[#This Row],[Betrag]])</f>
        <v>1000</v>
      </c>
      <c r="K2790" s="66" t="str">
        <f>IF(Data[[#This Row],[Betrag]]&lt;0,"A","E")</f>
        <v>E</v>
      </c>
    </row>
    <row r="2791" spans="1:11" x14ac:dyDescent="0.25">
      <c r="A2791" s="1">
        <v>44794</v>
      </c>
      <c r="B2791" s="66" t="s">
        <v>48</v>
      </c>
      <c r="C2791" s="66" t="s">
        <v>49</v>
      </c>
      <c r="D2791" t="s">
        <v>50</v>
      </c>
      <c r="E2791">
        <v>-15</v>
      </c>
      <c r="F2791" s="66" t="s">
        <v>7</v>
      </c>
      <c r="G2791" s="66" t="s">
        <v>8</v>
      </c>
      <c r="H2791" s="66" t="str">
        <f>TEXT(Data[[#This Row],[Buchung]],"MMM")</f>
        <v>Aug</v>
      </c>
      <c r="I2791" s="67">
        <f>YEAR(Data[[#This Row],[Buchung]])</f>
        <v>2022</v>
      </c>
      <c r="J2791" s="2">
        <f>ABS(Data[[#This Row],[Betrag]])</f>
        <v>15</v>
      </c>
      <c r="K2791" s="66" t="str">
        <f>IF(Data[[#This Row],[Betrag]]&lt;0,"A","E")</f>
        <v>A</v>
      </c>
    </row>
    <row r="2792" spans="1:11" x14ac:dyDescent="0.25">
      <c r="A2792" s="1">
        <v>44795</v>
      </c>
      <c r="B2792" s="66" t="s">
        <v>51</v>
      </c>
      <c r="C2792" s="66" t="s">
        <v>52</v>
      </c>
      <c r="D2792" t="s">
        <v>53</v>
      </c>
      <c r="E2792">
        <v>-350</v>
      </c>
      <c r="F2792" s="66" t="s">
        <v>7</v>
      </c>
      <c r="G2792" s="66" t="s">
        <v>11</v>
      </c>
      <c r="H2792" s="66" t="str">
        <f>TEXT(Data[[#This Row],[Buchung]],"MMM")</f>
        <v>Aug</v>
      </c>
      <c r="I2792" s="67">
        <f>YEAR(Data[[#This Row],[Buchung]])</f>
        <v>2022</v>
      </c>
      <c r="J2792" s="2">
        <f>ABS(Data[[#This Row],[Betrag]])</f>
        <v>350</v>
      </c>
      <c r="K2792" s="66" t="str">
        <f>IF(Data[[#This Row],[Betrag]]&lt;0,"A","E")</f>
        <v>A</v>
      </c>
    </row>
    <row r="2793" spans="1:11" x14ac:dyDescent="0.25">
      <c r="A2793" s="1">
        <v>44796</v>
      </c>
      <c r="B2793" s="66" t="s">
        <v>54</v>
      </c>
      <c r="C2793" s="66" t="s">
        <v>55</v>
      </c>
      <c r="D2793" t="s">
        <v>56</v>
      </c>
      <c r="E2793">
        <v>-120</v>
      </c>
      <c r="F2793" s="66" t="s">
        <v>7</v>
      </c>
      <c r="G2793" s="66" t="s">
        <v>57</v>
      </c>
      <c r="H2793" s="66" t="str">
        <f>TEXT(Data[[#This Row],[Buchung]],"MMM")</f>
        <v>Aug</v>
      </c>
      <c r="I2793" s="67">
        <f>YEAR(Data[[#This Row],[Buchung]])</f>
        <v>2022</v>
      </c>
      <c r="J2793" s="2">
        <f>ABS(Data[[#This Row],[Betrag]])</f>
        <v>120</v>
      </c>
      <c r="K2793" s="66" t="str">
        <f>IF(Data[[#This Row],[Betrag]]&lt;0,"A","E")</f>
        <v>A</v>
      </c>
    </row>
    <row r="2794" spans="1:11" x14ac:dyDescent="0.25">
      <c r="A2794" s="1">
        <v>44797</v>
      </c>
      <c r="B2794" s="66" t="s">
        <v>58</v>
      </c>
      <c r="C2794" s="66" t="s">
        <v>59</v>
      </c>
      <c r="D2794" t="s">
        <v>60</v>
      </c>
      <c r="E2794">
        <v>-50</v>
      </c>
      <c r="F2794" s="66" t="s">
        <v>7</v>
      </c>
      <c r="G2794" s="66" t="s">
        <v>10</v>
      </c>
      <c r="H2794" s="66" t="str">
        <f>TEXT(Data[[#This Row],[Buchung]],"MMM")</f>
        <v>Aug</v>
      </c>
      <c r="I2794" s="67">
        <f>YEAR(Data[[#This Row],[Buchung]])</f>
        <v>2022</v>
      </c>
      <c r="J2794" s="2">
        <f>ABS(Data[[#This Row],[Betrag]])</f>
        <v>50</v>
      </c>
      <c r="K2794" s="66" t="str">
        <f>IF(Data[[#This Row],[Betrag]]&lt;0,"A","E")</f>
        <v>A</v>
      </c>
    </row>
    <row r="2795" spans="1:11" x14ac:dyDescent="0.25">
      <c r="A2795" s="1">
        <v>44798</v>
      </c>
      <c r="B2795" s="66" t="s">
        <v>45</v>
      </c>
      <c r="C2795" s="66" t="s">
        <v>46</v>
      </c>
      <c r="D2795" t="s">
        <v>47</v>
      </c>
      <c r="E2795">
        <v>1000</v>
      </c>
      <c r="F2795" s="66" t="s">
        <v>7</v>
      </c>
      <c r="G2795" s="66" t="s">
        <v>9</v>
      </c>
      <c r="H2795" s="66" t="str">
        <f>TEXT(Data[[#This Row],[Buchung]],"MMM")</f>
        <v>Aug</v>
      </c>
      <c r="I2795" s="67">
        <f>YEAR(Data[[#This Row],[Buchung]])</f>
        <v>2022</v>
      </c>
      <c r="J2795" s="2">
        <f>ABS(Data[[#This Row],[Betrag]])</f>
        <v>1000</v>
      </c>
      <c r="K2795" s="66" t="str">
        <f>IF(Data[[#This Row],[Betrag]]&lt;0,"A","E")</f>
        <v>E</v>
      </c>
    </row>
    <row r="2796" spans="1:11" x14ac:dyDescent="0.25">
      <c r="A2796" s="1">
        <v>44799</v>
      </c>
      <c r="B2796" s="66" t="s">
        <v>61</v>
      </c>
      <c r="C2796" s="66" t="s">
        <v>49</v>
      </c>
      <c r="D2796" t="s">
        <v>62</v>
      </c>
      <c r="E2796">
        <v>-10</v>
      </c>
      <c r="F2796" s="66" t="s">
        <v>7</v>
      </c>
      <c r="G2796" s="66" t="s">
        <v>8</v>
      </c>
      <c r="H2796" s="66" t="str">
        <f>TEXT(Data[[#This Row],[Buchung]],"MMM")</f>
        <v>Aug</v>
      </c>
      <c r="I2796" s="67">
        <f>YEAR(Data[[#This Row],[Buchung]])</f>
        <v>2022</v>
      </c>
      <c r="J2796" s="2">
        <f>ABS(Data[[#This Row],[Betrag]])</f>
        <v>10</v>
      </c>
      <c r="K2796" s="66" t="str">
        <f>IF(Data[[#This Row],[Betrag]]&lt;0,"A","E")</f>
        <v>A</v>
      </c>
    </row>
    <row r="2797" spans="1:11" x14ac:dyDescent="0.25">
      <c r="A2797" s="1">
        <v>44800</v>
      </c>
      <c r="B2797" s="66" t="s">
        <v>63</v>
      </c>
      <c r="C2797" s="66" t="s">
        <v>64</v>
      </c>
      <c r="D2797" t="s">
        <v>65</v>
      </c>
      <c r="E2797">
        <v>-60</v>
      </c>
      <c r="F2797" s="66" t="s">
        <v>7</v>
      </c>
      <c r="G2797" s="66" t="s">
        <v>11</v>
      </c>
      <c r="H2797" s="66" t="str">
        <f>TEXT(Data[[#This Row],[Buchung]],"MMM")</f>
        <v>Aug</v>
      </c>
      <c r="I2797" s="67">
        <f>YEAR(Data[[#This Row],[Buchung]])</f>
        <v>2022</v>
      </c>
      <c r="J2797" s="2">
        <f>ABS(Data[[#This Row],[Betrag]])</f>
        <v>60</v>
      </c>
      <c r="K2797" s="66" t="str">
        <f>IF(Data[[#This Row],[Betrag]]&lt;0,"A","E")</f>
        <v>A</v>
      </c>
    </row>
    <row r="2798" spans="1:11" x14ac:dyDescent="0.25">
      <c r="A2798" s="1">
        <v>44801</v>
      </c>
      <c r="B2798" s="66" t="s">
        <v>54</v>
      </c>
      <c r="C2798" s="66" t="s">
        <v>55</v>
      </c>
      <c r="D2798" t="s">
        <v>66</v>
      </c>
      <c r="E2798">
        <v>-80</v>
      </c>
      <c r="F2798" s="66" t="s">
        <v>7</v>
      </c>
      <c r="G2798" s="66" t="s">
        <v>57</v>
      </c>
      <c r="H2798" s="66" t="str">
        <f>TEXT(Data[[#This Row],[Buchung]],"MMM")</f>
        <v>Aug</v>
      </c>
      <c r="I2798" s="67">
        <f>YEAR(Data[[#This Row],[Buchung]])</f>
        <v>2022</v>
      </c>
      <c r="J2798" s="2">
        <f>ABS(Data[[#This Row],[Betrag]])</f>
        <v>80</v>
      </c>
      <c r="K2798" s="66" t="str">
        <f>IF(Data[[#This Row],[Betrag]]&lt;0,"A","E")</f>
        <v>A</v>
      </c>
    </row>
    <row r="2799" spans="1:11" x14ac:dyDescent="0.25">
      <c r="A2799" s="1">
        <v>44802</v>
      </c>
      <c r="B2799" s="66" t="s">
        <v>67</v>
      </c>
      <c r="C2799" s="66" t="s">
        <v>59</v>
      </c>
      <c r="D2799" t="s">
        <v>68</v>
      </c>
      <c r="E2799">
        <v>-20</v>
      </c>
      <c r="F2799" s="66" t="s">
        <v>7</v>
      </c>
      <c r="G2799" s="66" t="s">
        <v>10</v>
      </c>
      <c r="H2799" s="66" t="str">
        <f>TEXT(Data[[#This Row],[Buchung]],"MMM")</f>
        <v>Aug</v>
      </c>
      <c r="I2799" s="67">
        <f>YEAR(Data[[#This Row],[Buchung]])</f>
        <v>2022</v>
      </c>
      <c r="J2799" s="2">
        <f>ABS(Data[[#This Row],[Betrag]])</f>
        <v>20</v>
      </c>
      <c r="K2799" s="66" t="str">
        <f>IF(Data[[#This Row],[Betrag]]&lt;0,"A","E")</f>
        <v>A</v>
      </c>
    </row>
    <row r="2800" spans="1:11" x14ac:dyDescent="0.25">
      <c r="A2800" s="1">
        <v>44803</v>
      </c>
      <c r="B2800" s="66" t="s">
        <v>45</v>
      </c>
      <c r="C2800" s="66" t="s">
        <v>46</v>
      </c>
      <c r="D2800" t="s">
        <v>47</v>
      </c>
      <c r="E2800">
        <v>1000</v>
      </c>
      <c r="F2800" s="66" t="s">
        <v>7</v>
      </c>
      <c r="G2800" s="66" t="s">
        <v>9</v>
      </c>
      <c r="H2800" s="66" t="str">
        <f>TEXT(Data[[#This Row],[Buchung]],"MMM")</f>
        <v>Aug</v>
      </c>
      <c r="I2800" s="67">
        <f>YEAR(Data[[#This Row],[Buchung]])</f>
        <v>2022</v>
      </c>
      <c r="J2800" s="2">
        <f>ABS(Data[[#This Row],[Betrag]])</f>
        <v>1000</v>
      </c>
      <c r="K2800" s="66" t="str">
        <f>IF(Data[[#This Row],[Betrag]]&lt;0,"A","E")</f>
        <v>E</v>
      </c>
    </row>
    <row r="2801" spans="1:11" x14ac:dyDescent="0.25">
      <c r="A2801" s="1">
        <v>44804</v>
      </c>
      <c r="B2801" s="66" t="s">
        <v>48</v>
      </c>
      <c r="C2801" s="66" t="s">
        <v>49</v>
      </c>
      <c r="D2801" t="s">
        <v>50</v>
      </c>
      <c r="E2801">
        <v>-15</v>
      </c>
      <c r="F2801" s="66" t="s">
        <v>7</v>
      </c>
      <c r="G2801" s="66" t="s">
        <v>8</v>
      </c>
      <c r="H2801" s="66" t="str">
        <f>TEXT(Data[[#This Row],[Buchung]],"MMM")</f>
        <v>Aug</v>
      </c>
      <c r="I2801" s="67">
        <f>YEAR(Data[[#This Row],[Buchung]])</f>
        <v>2022</v>
      </c>
      <c r="J2801" s="2">
        <f>ABS(Data[[#This Row],[Betrag]])</f>
        <v>15</v>
      </c>
      <c r="K2801" s="66" t="str">
        <f>IF(Data[[#This Row],[Betrag]]&lt;0,"A","E")</f>
        <v>A</v>
      </c>
    </row>
    <row r="2802" spans="1:11" x14ac:dyDescent="0.25">
      <c r="A2802" s="1">
        <v>44805</v>
      </c>
      <c r="B2802" s="66" t="s">
        <v>51</v>
      </c>
      <c r="C2802" s="66" t="s">
        <v>52</v>
      </c>
      <c r="D2802" t="s">
        <v>53</v>
      </c>
      <c r="E2802">
        <v>-350</v>
      </c>
      <c r="F2802" s="66" t="s">
        <v>7</v>
      </c>
      <c r="G2802" s="66" t="s">
        <v>11</v>
      </c>
      <c r="H2802" s="66" t="str">
        <f>TEXT(Data[[#This Row],[Buchung]],"MMM")</f>
        <v>Sep</v>
      </c>
      <c r="I2802" s="67">
        <f>YEAR(Data[[#This Row],[Buchung]])</f>
        <v>2022</v>
      </c>
      <c r="J2802" s="2">
        <f>ABS(Data[[#This Row],[Betrag]])</f>
        <v>350</v>
      </c>
      <c r="K2802" s="66" t="str">
        <f>IF(Data[[#This Row],[Betrag]]&lt;0,"A","E")</f>
        <v>A</v>
      </c>
    </row>
    <row r="2803" spans="1:11" x14ac:dyDescent="0.25">
      <c r="A2803" s="1">
        <v>44806</v>
      </c>
      <c r="B2803" s="66" t="s">
        <v>54</v>
      </c>
      <c r="C2803" s="66" t="s">
        <v>55</v>
      </c>
      <c r="D2803" t="s">
        <v>56</v>
      </c>
      <c r="E2803">
        <v>-120</v>
      </c>
      <c r="F2803" s="66" t="s">
        <v>7</v>
      </c>
      <c r="G2803" s="66" t="s">
        <v>57</v>
      </c>
      <c r="H2803" s="66" t="str">
        <f>TEXT(Data[[#This Row],[Buchung]],"MMM")</f>
        <v>Sep</v>
      </c>
      <c r="I2803" s="67">
        <f>YEAR(Data[[#This Row],[Buchung]])</f>
        <v>2022</v>
      </c>
      <c r="J2803" s="2">
        <f>ABS(Data[[#This Row],[Betrag]])</f>
        <v>120</v>
      </c>
      <c r="K2803" s="66" t="str">
        <f>IF(Data[[#This Row],[Betrag]]&lt;0,"A","E")</f>
        <v>A</v>
      </c>
    </row>
    <row r="2804" spans="1:11" x14ac:dyDescent="0.25">
      <c r="A2804" s="1">
        <v>44807</v>
      </c>
      <c r="B2804" s="66" t="s">
        <v>58</v>
      </c>
      <c r="C2804" s="66" t="s">
        <v>59</v>
      </c>
      <c r="D2804" t="s">
        <v>60</v>
      </c>
      <c r="E2804">
        <v>-60</v>
      </c>
      <c r="F2804" s="66" t="s">
        <v>7</v>
      </c>
      <c r="G2804" s="66" t="s">
        <v>10</v>
      </c>
      <c r="H2804" s="66" t="str">
        <f>TEXT(Data[[#This Row],[Buchung]],"MMM")</f>
        <v>Sep</v>
      </c>
      <c r="I2804" s="67">
        <f>YEAR(Data[[#This Row],[Buchung]])</f>
        <v>2022</v>
      </c>
      <c r="J2804" s="2">
        <f>ABS(Data[[#This Row],[Betrag]])</f>
        <v>60</v>
      </c>
      <c r="K2804" s="66" t="str">
        <f>IF(Data[[#This Row],[Betrag]]&lt;0,"A","E")</f>
        <v>A</v>
      </c>
    </row>
    <row r="2805" spans="1:11" x14ac:dyDescent="0.25">
      <c r="A2805" s="1">
        <v>44808</v>
      </c>
      <c r="B2805" s="66" t="s">
        <v>45</v>
      </c>
      <c r="C2805" s="66" t="s">
        <v>46</v>
      </c>
      <c r="D2805" t="s">
        <v>47</v>
      </c>
      <c r="E2805">
        <v>1000</v>
      </c>
      <c r="F2805" s="66" t="s">
        <v>7</v>
      </c>
      <c r="G2805" s="66" t="s">
        <v>9</v>
      </c>
      <c r="H2805" s="66" t="str">
        <f>TEXT(Data[[#This Row],[Buchung]],"MMM")</f>
        <v>Sep</v>
      </c>
      <c r="I2805" s="67">
        <f>YEAR(Data[[#This Row],[Buchung]])</f>
        <v>2022</v>
      </c>
      <c r="J2805" s="2">
        <f>ABS(Data[[#This Row],[Betrag]])</f>
        <v>1000</v>
      </c>
      <c r="K2805" s="66" t="str">
        <f>IF(Data[[#This Row],[Betrag]]&lt;0,"A","E")</f>
        <v>E</v>
      </c>
    </row>
    <row r="2806" spans="1:11" x14ac:dyDescent="0.25">
      <c r="A2806" s="1">
        <v>44809</v>
      </c>
      <c r="B2806" s="66" t="s">
        <v>61</v>
      </c>
      <c r="C2806" s="66" t="s">
        <v>49</v>
      </c>
      <c r="D2806" t="s">
        <v>62</v>
      </c>
      <c r="E2806">
        <v>-10</v>
      </c>
      <c r="F2806" s="66" t="s">
        <v>7</v>
      </c>
      <c r="G2806" s="66" t="s">
        <v>8</v>
      </c>
      <c r="H2806" s="66" t="str">
        <f>TEXT(Data[[#This Row],[Buchung]],"MMM")</f>
        <v>Sep</v>
      </c>
      <c r="I2806" s="67">
        <f>YEAR(Data[[#This Row],[Buchung]])</f>
        <v>2022</v>
      </c>
      <c r="J2806" s="2">
        <f>ABS(Data[[#This Row],[Betrag]])</f>
        <v>10</v>
      </c>
      <c r="K2806" s="66" t="str">
        <f>IF(Data[[#This Row],[Betrag]]&lt;0,"A","E")</f>
        <v>A</v>
      </c>
    </row>
    <row r="2807" spans="1:11" x14ac:dyDescent="0.25">
      <c r="A2807" s="1">
        <v>44810</v>
      </c>
      <c r="B2807" s="66" t="s">
        <v>63</v>
      </c>
      <c r="C2807" s="66" t="s">
        <v>64</v>
      </c>
      <c r="D2807" t="s">
        <v>65</v>
      </c>
      <c r="E2807">
        <v>-70</v>
      </c>
      <c r="F2807" s="66" t="s">
        <v>7</v>
      </c>
      <c r="G2807" s="66" t="s">
        <v>11</v>
      </c>
      <c r="H2807" s="66" t="str">
        <f>TEXT(Data[[#This Row],[Buchung]],"MMM")</f>
        <v>Sep</v>
      </c>
      <c r="I2807" s="67">
        <f>YEAR(Data[[#This Row],[Buchung]])</f>
        <v>2022</v>
      </c>
      <c r="J2807" s="2">
        <f>ABS(Data[[#This Row],[Betrag]])</f>
        <v>70</v>
      </c>
      <c r="K2807" s="66" t="str">
        <f>IF(Data[[#This Row],[Betrag]]&lt;0,"A","E")</f>
        <v>A</v>
      </c>
    </row>
    <row r="2808" spans="1:11" x14ac:dyDescent="0.25">
      <c r="A2808" s="1">
        <v>44811</v>
      </c>
      <c r="B2808" s="66" t="s">
        <v>54</v>
      </c>
      <c r="C2808" s="66" t="s">
        <v>55</v>
      </c>
      <c r="D2808" t="s">
        <v>66</v>
      </c>
      <c r="E2808">
        <v>-80</v>
      </c>
      <c r="F2808" s="66" t="s">
        <v>7</v>
      </c>
      <c r="G2808" s="66" t="s">
        <v>57</v>
      </c>
      <c r="H2808" s="66" t="str">
        <f>TEXT(Data[[#This Row],[Buchung]],"MMM")</f>
        <v>Sep</v>
      </c>
      <c r="I2808" s="67">
        <f>YEAR(Data[[#This Row],[Buchung]])</f>
        <v>2022</v>
      </c>
      <c r="J2808" s="2">
        <f>ABS(Data[[#This Row],[Betrag]])</f>
        <v>80</v>
      </c>
      <c r="K2808" s="66" t="str">
        <f>IF(Data[[#This Row],[Betrag]]&lt;0,"A","E")</f>
        <v>A</v>
      </c>
    </row>
    <row r="2809" spans="1:11" x14ac:dyDescent="0.25">
      <c r="A2809" s="1">
        <v>44812</v>
      </c>
      <c r="B2809" s="66" t="s">
        <v>67</v>
      </c>
      <c r="C2809" s="66" t="s">
        <v>59</v>
      </c>
      <c r="D2809" t="s">
        <v>68</v>
      </c>
      <c r="E2809">
        <v>-25</v>
      </c>
      <c r="F2809" s="66" t="s">
        <v>7</v>
      </c>
      <c r="G2809" s="66" t="s">
        <v>10</v>
      </c>
      <c r="H2809" s="66" t="str">
        <f>TEXT(Data[[#This Row],[Buchung]],"MMM")</f>
        <v>Sep</v>
      </c>
      <c r="I2809" s="67">
        <f>YEAR(Data[[#This Row],[Buchung]])</f>
        <v>2022</v>
      </c>
      <c r="J2809" s="2">
        <f>ABS(Data[[#This Row],[Betrag]])</f>
        <v>25</v>
      </c>
      <c r="K2809" s="66" t="str">
        <f>IF(Data[[#This Row],[Betrag]]&lt;0,"A","E")</f>
        <v>A</v>
      </c>
    </row>
    <row r="2810" spans="1:11" x14ac:dyDescent="0.25">
      <c r="A2810" s="1">
        <v>44813</v>
      </c>
      <c r="B2810" s="66" t="s">
        <v>45</v>
      </c>
      <c r="C2810" s="66" t="s">
        <v>46</v>
      </c>
      <c r="D2810" t="s">
        <v>47</v>
      </c>
      <c r="E2810">
        <v>1000</v>
      </c>
      <c r="F2810" s="66" t="s">
        <v>7</v>
      </c>
      <c r="G2810" s="66" t="s">
        <v>9</v>
      </c>
      <c r="H2810" s="66" t="str">
        <f>TEXT(Data[[#This Row],[Buchung]],"MMM")</f>
        <v>Sep</v>
      </c>
      <c r="I2810" s="67">
        <f>YEAR(Data[[#This Row],[Buchung]])</f>
        <v>2022</v>
      </c>
      <c r="J2810" s="2">
        <f>ABS(Data[[#This Row],[Betrag]])</f>
        <v>1000</v>
      </c>
      <c r="K2810" s="66" t="str">
        <f>IF(Data[[#This Row],[Betrag]]&lt;0,"A","E")</f>
        <v>E</v>
      </c>
    </row>
    <row r="2811" spans="1:11" x14ac:dyDescent="0.25">
      <c r="A2811" s="1">
        <v>44814</v>
      </c>
      <c r="B2811" s="66" t="s">
        <v>48</v>
      </c>
      <c r="C2811" s="66" t="s">
        <v>49</v>
      </c>
      <c r="D2811" t="s">
        <v>50</v>
      </c>
      <c r="E2811">
        <v>-15</v>
      </c>
      <c r="F2811" s="66" t="s">
        <v>7</v>
      </c>
      <c r="G2811" s="66" t="s">
        <v>8</v>
      </c>
      <c r="H2811" s="66" t="str">
        <f>TEXT(Data[[#This Row],[Buchung]],"MMM")</f>
        <v>Sep</v>
      </c>
      <c r="I2811" s="67">
        <f>YEAR(Data[[#This Row],[Buchung]])</f>
        <v>2022</v>
      </c>
      <c r="J2811" s="2">
        <f>ABS(Data[[#This Row],[Betrag]])</f>
        <v>15</v>
      </c>
      <c r="K2811" s="66" t="str">
        <f>IF(Data[[#This Row],[Betrag]]&lt;0,"A","E")</f>
        <v>A</v>
      </c>
    </row>
    <row r="2812" spans="1:11" x14ac:dyDescent="0.25">
      <c r="A2812" s="1">
        <v>44815</v>
      </c>
      <c r="B2812" s="66" t="s">
        <v>51</v>
      </c>
      <c r="C2812" s="66" t="s">
        <v>52</v>
      </c>
      <c r="D2812" t="s">
        <v>53</v>
      </c>
      <c r="E2812">
        <v>-350</v>
      </c>
      <c r="F2812" s="66" t="s">
        <v>7</v>
      </c>
      <c r="G2812" s="66" t="s">
        <v>11</v>
      </c>
      <c r="H2812" s="66" t="str">
        <f>TEXT(Data[[#This Row],[Buchung]],"MMM")</f>
        <v>Sep</v>
      </c>
      <c r="I2812" s="67">
        <f>YEAR(Data[[#This Row],[Buchung]])</f>
        <v>2022</v>
      </c>
      <c r="J2812" s="2">
        <f>ABS(Data[[#This Row],[Betrag]])</f>
        <v>350</v>
      </c>
      <c r="K2812" s="66" t="str">
        <f>IF(Data[[#This Row],[Betrag]]&lt;0,"A","E")</f>
        <v>A</v>
      </c>
    </row>
    <row r="2813" spans="1:11" x14ac:dyDescent="0.25">
      <c r="A2813" s="1">
        <v>44816</v>
      </c>
      <c r="B2813" s="66" t="s">
        <v>54</v>
      </c>
      <c r="C2813" s="66" t="s">
        <v>55</v>
      </c>
      <c r="D2813" t="s">
        <v>56</v>
      </c>
      <c r="E2813">
        <v>-120</v>
      </c>
      <c r="F2813" s="66" t="s">
        <v>7</v>
      </c>
      <c r="G2813" s="66" t="s">
        <v>57</v>
      </c>
      <c r="H2813" s="66" t="str">
        <f>TEXT(Data[[#This Row],[Buchung]],"MMM")</f>
        <v>Sep</v>
      </c>
      <c r="I2813" s="67">
        <f>YEAR(Data[[#This Row],[Buchung]])</f>
        <v>2022</v>
      </c>
      <c r="J2813" s="2">
        <f>ABS(Data[[#This Row],[Betrag]])</f>
        <v>120</v>
      </c>
      <c r="K2813" s="66" t="str">
        <f>IF(Data[[#This Row],[Betrag]]&lt;0,"A","E")</f>
        <v>A</v>
      </c>
    </row>
    <row r="2814" spans="1:11" x14ac:dyDescent="0.25">
      <c r="A2814" s="1">
        <v>44817</v>
      </c>
      <c r="B2814" s="66" t="s">
        <v>58</v>
      </c>
      <c r="C2814" s="66" t="s">
        <v>59</v>
      </c>
      <c r="D2814" t="s">
        <v>60</v>
      </c>
      <c r="E2814">
        <v>-70</v>
      </c>
      <c r="F2814" s="66" t="s">
        <v>7</v>
      </c>
      <c r="G2814" s="66" t="s">
        <v>10</v>
      </c>
      <c r="H2814" s="66" t="str">
        <f>TEXT(Data[[#This Row],[Buchung]],"MMM")</f>
        <v>Sep</v>
      </c>
      <c r="I2814" s="67">
        <f>YEAR(Data[[#This Row],[Buchung]])</f>
        <v>2022</v>
      </c>
      <c r="J2814" s="2">
        <f>ABS(Data[[#This Row],[Betrag]])</f>
        <v>70</v>
      </c>
      <c r="K2814" s="66" t="str">
        <f>IF(Data[[#This Row],[Betrag]]&lt;0,"A","E")</f>
        <v>A</v>
      </c>
    </row>
    <row r="2815" spans="1:11" x14ac:dyDescent="0.25">
      <c r="A2815" s="1">
        <v>44818</v>
      </c>
      <c r="B2815" s="66" t="s">
        <v>45</v>
      </c>
      <c r="C2815" s="66" t="s">
        <v>46</v>
      </c>
      <c r="D2815" t="s">
        <v>47</v>
      </c>
      <c r="E2815">
        <v>1000</v>
      </c>
      <c r="F2815" s="66" t="s">
        <v>7</v>
      </c>
      <c r="G2815" s="66" t="s">
        <v>9</v>
      </c>
      <c r="H2815" s="66" t="str">
        <f>TEXT(Data[[#This Row],[Buchung]],"MMM")</f>
        <v>Sep</v>
      </c>
      <c r="I2815" s="67">
        <f>YEAR(Data[[#This Row],[Buchung]])</f>
        <v>2022</v>
      </c>
      <c r="J2815" s="2">
        <f>ABS(Data[[#This Row],[Betrag]])</f>
        <v>1000</v>
      </c>
      <c r="K2815" s="66" t="str">
        <f>IF(Data[[#This Row],[Betrag]]&lt;0,"A","E")</f>
        <v>E</v>
      </c>
    </row>
    <row r="2816" spans="1:11" x14ac:dyDescent="0.25">
      <c r="A2816" s="1">
        <v>44819</v>
      </c>
      <c r="B2816" s="66" t="s">
        <v>61</v>
      </c>
      <c r="C2816" s="66" t="s">
        <v>49</v>
      </c>
      <c r="D2816" t="s">
        <v>62</v>
      </c>
      <c r="E2816">
        <v>-10</v>
      </c>
      <c r="F2816" s="66" t="s">
        <v>7</v>
      </c>
      <c r="G2816" s="66" t="s">
        <v>8</v>
      </c>
      <c r="H2816" s="66" t="str">
        <f>TEXT(Data[[#This Row],[Buchung]],"MMM")</f>
        <v>Sep</v>
      </c>
      <c r="I2816" s="67">
        <f>YEAR(Data[[#This Row],[Buchung]])</f>
        <v>2022</v>
      </c>
      <c r="J2816" s="2">
        <f>ABS(Data[[#This Row],[Betrag]])</f>
        <v>10</v>
      </c>
      <c r="K2816" s="66" t="str">
        <f>IF(Data[[#This Row],[Betrag]]&lt;0,"A","E")</f>
        <v>A</v>
      </c>
    </row>
    <row r="2817" spans="1:11" x14ac:dyDescent="0.25">
      <c r="A2817" s="1">
        <v>44820</v>
      </c>
      <c r="B2817" s="66" t="s">
        <v>63</v>
      </c>
      <c r="C2817" s="66" t="s">
        <v>64</v>
      </c>
      <c r="D2817" t="s">
        <v>65</v>
      </c>
      <c r="E2817">
        <v>-60</v>
      </c>
      <c r="F2817" s="66" t="s">
        <v>7</v>
      </c>
      <c r="G2817" s="66" t="s">
        <v>11</v>
      </c>
      <c r="H2817" s="66" t="str">
        <f>TEXT(Data[[#This Row],[Buchung]],"MMM")</f>
        <v>Sep</v>
      </c>
      <c r="I2817" s="67">
        <f>YEAR(Data[[#This Row],[Buchung]])</f>
        <v>2022</v>
      </c>
      <c r="J2817" s="2">
        <f>ABS(Data[[#This Row],[Betrag]])</f>
        <v>60</v>
      </c>
      <c r="K2817" s="66" t="str">
        <f>IF(Data[[#This Row],[Betrag]]&lt;0,"A","E")</f>
        <v>A</v>
      </c>
    </row>
    <row r="2818" spans="1:11" x14ac:dyDescent="0.25">
      <c r="A2818" s="1">
        <v>44821</v>
      </c>
      <c r="B2818" s="66" t="s">
        <v>54</v>
      </c>
      <c r="C2818" s="66" t="s">
        <v>55</v>
      </c>
      <c r="D2818" t="s">
        <v>66</v>
      </c>
      <c r="E2818">
        <v>-80</v>
      </c>
      <c r="F2818" s="66" t="s">
        <v>7</v>
      </c>
      <c r="G2818" s="66" t="s">
        <v>57</v>
      </c>
      <c r="H2818" s="66" t="str">
        <f>TEXT(Data[[#This Row],[Buchung]],"MMM")</f>
        <v>Sep</v>
      </c>
      <c r="I2818" s="67">
        <f>YEAR(Data[[#This Row],[Buchung]])</f>
        <v>2022</v>
      </c>
      <c r="J2818" s="2">
        <f>ABS(Data[[#This Row],[Betrag]])</f>
        <v>80</v>
      </c>
      <c r="K2818" s="66" t="str">
        <f>IF(Data[[#This Row],[Betrag]]&lt;0,"A","E")</f>
        <v>A</v>
      </c>
    </row>
    <row r="2819" spans="1:11" x14ac:dyDescent="0.25">
      <c r="A2819" s="1">
        <v>44822</v>
      </c>
      <c r="B2819" s="66" t="s">
        <v>67</v>
      </c>
      <c r="C2819" s="66" t="s">
        <v>59</v>
      </c>
      <c r="D2819" t="s">
        <v>68</v>
      </c>
      <c r="E2819">
        <v>-30</v>
      </c>
      <c r="F2819" s="66" t="s">
        <v>7</v>
      </c>
      <c r="G2819" s="66" t="s">
        <v>10</v>
      </c>
      <c r="H2819" s="66" t="str">
        <f>TEXT(Data[[#This Row],[Buchung]],"MMM")</f>
        <v>Sep</v>
      </c>
      <c r="I2819" s="67">
        <f>YEAR(Data[[#This Row],[Buchung]])</f>
        <v>2022</v>
      </c>
      <c r="J2819" s="2">
        <f>ABS(Data[[#This Row],[Betrag]])</f>
        <v>30</v>
      </c>
      <c r="K2819" s="66" t="str">
        <f>IF(Data[[#This Row],[Betrag]]&lt;0,"A","E")</f>
        <v>A</v>
      </c>
    </row>
    <row r="2820" spans="1:11" x14ac:dyDescent="0.25">
      <c r="A2820" s="1">
        <v>44823</v>
      </c>
      <c r="B2820" s="66" t="s">
        <v>45</v>
      </c>
      <c r="C2820" s="66" t="s">
        <v>46</v>
      </c>
      <c r="D2820" t="s">
        <v>47</v>
      </c>
      <c r="E2820">
        <v>1000</v>
      </c>
      <c r="F2820" s="66" t="s">
        <v>7</v>
      </c>
      <c r="G2820" s="66" t="s">
        <v>9</v>
      </c>
      <c r="H2820" s="66" t="str">
        <f>TEXT(Data[[#This Row],[Buchung]],"MMM")</f>
        <v>Sep</v>
      </c>
      <c r="I2820" s="67">
        <f>YEAR(Data[[#This Row],[Buchung]])</f>
        <v>2022</v>
      </c>
      <c r="J2820" s="2">
        <f>ABS(Data[[#This Row],[Betrag]])</f>
        <v>1000</v>
      </c>
      <c r="K2820" s="66" t="str">
        <f>IF(Data[[#This Row],[Betrag]]&lt;0,"A","E")</f>
        <v>E</v>
      </c>
    </row>
    <row r="2821" spans="1:11" x14ac:dyDescent="0.25">
      <c r="A2821" s="1">
        <v>44824</v>
      </c>
      <c r="B2821" s="66" t="s">
        <v>48</v>
      </c>
      <c r="C2821" s="66" t="s">
        <v>49</v>
      </c>
      <c r="D2821" t="s">
        <v>50</v>
      </c>
      <c r="E2821">
        <v>-15</v>
      </c>
      <c r="F2821" s="66" t="s">
        <v>7</v>
      </c>
      <c r="G2821" s="66" t="s">
        <v>8</v>
      </c>
      <c r="H2821" s="66" t="str">
        <f>TEXT(Data[[#This Row],[Buchung]],"MMM")</f>
        <v>Sep</v>
      </c>
      <c r="I2821" s="67">
        <f>YEAR(Data[[#This Row],[Buchung]])</f>
        <v>2022</v>
      </c>
      <c r="J2821" s="2">
        <f>ABS(Data[[#This Row],[Betrag]])</f>
        <v>15</v>
      </c>
      <c r="K2821" s="66" t="str">
        <f>IF(Data[[#This Row],[Betrag]]&lt;0,"A","E")</f>
        <v>A</v>
      </c>
    </row>
    <row r="2822" spans="1:11" x14ac:dyDescent="0.25">
      <c r="A2822" s="1">
        <v>44825</v>
      </c>
      <c r="B2822" s="66" t="s">
        <v>51</v>
      </c>
      <c r="C2822" s="66" t="s">
        <v>52</v>
      </c>
      <c r="D2822" t="s">
        <v>53</v>
      </c>
      <c r="E2822">
        <v>-350</v>
      </c>
      <c r="F2822" s="66" t="s">
        <v>7</v>
      </c>
      <c r="G2822" s="66" t="s">
        <v>11</v>
      </c>
      <c r="H2822" s="66" t="str">
        <f>TEXT(Data[[#This Row],[Buchung]],"MMM")</f>
        <v>Sep</v>
      </c>
      <c r="I2822" s="67">
        <f>YEAR(Data[[#This Row],[Buchung]])</f>
        <v>2022</v>
      </c>
      <c r="J2822" s="2">
        <f>ABS(Data[[#This Row],[Betrag]])</f>
        <v>350</v>
      </c>
      <c r="K2822" s="66" t="str">
        <f>IF(Data[[#This Row],[Betrag]]&lt;0,"A","E")</f>
        <v>A</v>
      </c>
    </row>
    <row r="2823" spans="1:11" x14ac:dyDescent="0.25">
      <c r="A2823" s="1">
        <v>44826</v>
      </c>
      <c r="B2823" s="66" t="s">
        <v>54</v>
      </c>
      <c r="C2823" s="66" t="s">
        <v>55</v>
      </c>
      <c r="D2823" t="s">
        <v>56</v>
      </c>
      <c r="E2823">
        <v>-120</v>
      </c>
      <c r="F2823" s="66" t="s">
        <v>7</v>
      </c>
      <c r="G2823" s="66" t="s">
        <v>57</v>
      </c>
      <c r="H2823" s="66" t="str">
        <f>TEXT(Data[[#This Row],[Buchung]],"MMM")</f>
        <v>Sep</v>
      </c>
      <c r="I2823" s="67">
        <f>YEAR(Data[[#This Row],[Buchung]])</f>
        <v>2022</v>
      </c>
      <c r="J2823" s="2">
        <f>ABS(Data[[#This Row],[Betrag]])</f>
        <v>120</v>
      </c>
      <c r="K2823" s="66" t="str">
        <f>IF(Data[[#This Row],[Betrag]]&lt;0,"A","E")</f>
        <v>A</v>
      </c>
    </row>
    <row r="2824" spans="1:11" x14ac:dyDescent="0.25">
      <c r="A2824" s="1">
        <v>44827</v>
      </c>
      <c r="B2824" s="66" t="s">
        <v>58</v>
      </c>
      <c r="C2824" s="66" t="s">
        <v>59</v>
      </c>
      <c r="D2824" t="s">
        <v>60</v>
      </c>
      <c r="E2824">
        <v>-80</v>
      </c>
      <c r="F2824" s="66" t="s">
        <v>7</v>
      </c>
      <c r="G2824" s="66" t="s">
        <v>10</v>
      </c>
      <c r="H2824" s="66" t="str">
        <f>TEXT(Data[[#This Row],[Buchung]],"MMM")</f>
        <v>Sep</v>
      </c>
      <c r="I2824" s="67">
        <f>YEAR(Data[[#This Row],[Buchung]])</f>
        <v>2022</v>
      </c>
      <c r="J2824" s="2">
        <f>ABS(Data[[#This Row],[Betrag]])</f>
        <v>80</v>
      </c>
      <c r="K2824" s="66" t="str">
        <f>IF(Data[[#This Row],[Betrag]]&lt;0,"A","E")</f>
        <v>A</v>
      </c>
    </row>
    <row r="2825" spans="1:11" x14ac:dyDescent="0.25">
      <c r="A2825" s="1">
        <v>44828</v>
      </c>
      <c r="B2825" s="66" t="s">
        <v>45</v>
      </c>
      <c r="C2825" s="66" t="s">
        <v>46</v>
      </c>
      <c r="D2825" t="s">
        <v>47</v>
      </c>
      <c r="E2825">
        <v>1000</v>
      </c>
      <c r="F2825" s="66" t="s">
        <v>7</v>
      </c>
      <c r="G2825" s="66" t="s">
        <v>9</v>
      </c>
      <c r="H2825" s="66" t="str">
        <f>TEXT(Data[[#This Row],[Buchung]],"MMM")</f>
        <v>Sep</v>
      </c>
      <c r="I2825" s="67">
        <f>YEAR(Data[[#This Row],[Buchung]])</f>
        <v>2022</v>
      </c>
      <c r="J2825" s="2">
        <f>ABS(Data[[#This Row],[Betrag]])</f>
        <v>1000</v>
      </c>
      <c r="K2825" s="66" t="str">
        <f>IF(Data[[#This Row],[Betrag]]&lt;0,"A","E")</f>
        <v>E</v>
      </c>
    </row>
    <row r="2826" spans="1:11" x14ac:dyDescent="0.25">
      <c r="A2826" s="1">
        <v>44829</v>
      </c>
      <c r="B2826" s="66" t="s">
        <v>61</v>
      </c>
      <c r="C2826" s="66" t="s">
        <v>49</v>
      </c>
      <c r="D2826" t="s">
        <v>62</v>
      </c>
      <c r="E2826">
        <v>-10</v>
      </c>
      <c r="F2826" s="66" t="s">
        <v>7</v>
      </c>
      <c r="G2826" s="66" t="s">
        <v>8</v>
      </c>
      <c r="H2826" s="66" t="str">
        <f>TEXT(Data[[#This Row],[Buchung]],"MMM")</f>
        <v>Sep</v>
      </c>
      <c r="I2826" s="67">
        <f>YEAR(Data[[#This Row],[Buchung]])</f>
        <v>2022</v>
      </c>
      <c r="J2826" s="2">
        <f>ABS(Data[[#This Row],[Betrag]])</f>
        <v>10</v>
      </c>
      <c r="K2826" s="66" t="str">
        <f>IF(Data[[#This Row],[Betrag]]&lt;0,"A","E")</f>
        <v>A</v>
      </c>
    </row>
    <row r="2827" spans="1:11" x14ac:dyDescent="0.25">
      <c r="A2827" s="1">
        <v>44830</v>
      </c>
      <c r="B2827" s="66" t="s">
        <v>63</v>
      </c>
      <c r="C2827" s="66" t="s">
        <v>64</v>
      </c>
      <c r="D2827" t="s">
        <v>65</v>
      </c>
      <c r="E2827">
        <v>-65</v>
      </c>
      <c r="F2827" s="66" t="s">
        <v>7</v>
      </c>
      <c r="G2827" s="66" t="s">
        <v>11</v>
      </c>
      <c r="H2827" s="66" t="str">
        <f>TEXT(Data[[#This Row],[Buchung]],"MMM")</f>
        <v>Sep</v>
      </c>
      <c r="I2827" s="67">
        <f>YEAR(Data[[#This Row],[Buchung]])</f>
        <v>2022</v>
      </c>
      <c r="J2827" s="2">
        <f>ABS(Data[[#This Row],[Betrag]])</f>
        <v>65</v>
      </c>
      <c r="K2827" s="66" t="str">
        <f>IF(Data[[#This Row],[Betrag]]&lt;0,"A","E")</f>
        <v>A</v>
      </c>
    </row>
    <row r="2828" spans="1:11" x14ac:dyDescent="0.25">
      <c r="A2828" s="1">
        <v>44831</v>
      </c>
      <c r="B2828" s="66" t="s">
        <v>54</v>
      </c>
      <c r="C2828" s="66" t="s">
        <v>55</v>
      </c>
      <c r="D2828" t="s">
        <v>66</v>
      </c>
      <c r="E2828">
        <v>-80</v>
      </c>
      <c r="F2828" s="66" t="s">
        <v>7</v>
      </c>
      <c r="G2828" s="66" t="s">
        <v>57</v>
      </c>
      <c r="H2828" s="66" t="str">
        <f>TEXT(Data[[#This Row],[Buchung]],"MMM")</f>
        <v>Sep</v>
      </c>
      <c r="I2828" s="67">
        <f>YEAR(Data[[#This Row],[Buchung]])</f>
        <v>2022</v>
      </c>
      <c r="J2828" s="2">
        <f>ABS(Data[[#This Row],[Betrag]])</f>
        <v>80</v>
      </c>
      <c r="K2828" s="66" t="str">
        <f>IF(Data[[#This Row],[Betrag]]&lt;0,"A","E")</f>
        <v>A</v>
      </c>
    </row>
    <row r="2829" spans="1:11" x14ac:dyDescent="0.25">
      <c r="A2829" s="1">
        <v>44832</v>
      </c>
      <c r="B2829" s="66" t="s">
        <v>67</v>
      </c>
      <c r="C2829" s="66" t="s">
        <v>59</v>
      </c>
      <c r="D2829" t="s">
        <v>68</v>
      </c>
      <c r="E2829">
        <v>-35</v>
      </c>
      <c r="F2829" s="66" t="s">
        <v>7</v>
      </c>
      <c r="G2829" s="66" t="s">
        <v>10</v>
      </c>
      <c r="H2829" s="66" t="str">
        <f>TEXT(Data[[#This Row],[Buchung]],"MMM")</f>
        <v>Sep</v>
      </c>
      <c r="I2829" s="67">
        <f>YEAR(Data[[#This Row],[Buchung]])</f>
        <v>2022</v>
      </c>
      <c r="J2829" s="2">
        <f>ABS(Data[[#This Row],[Betrag]])</f>
        <v>35</v>
      </c>
      <c r="K2829" s="66" t="str">
        <f>IF(Data[[#This Row],[Betrag]]&lt;0,"A","E")</f>
        <v>A</v>
      </c>
    </row>
    <row r="2830" spans="1:11" x14ac:dyDescent="0.25">
      <c r="A2830" s="1">
        <v>44833</v>
      </c>
      <c r="B2830" s="66" t="s">
        <v>45</v>
      </c>
      <c r="C2830" s="66" t="s">
        <v>46</v>
      </c>
      <c r="D2830" t="s">
        <v>47</v>
      </c>
      <c r="E2830">
        <v>1000</v>
      </c>
      <c r="F2830" s="66" t="s">
        <v>7</v>
      </c>
      <c r="G2830" s="66" t="s">
        <v>9</v>
      </c>
      <c r="H2830" s="66" t="str">
        <f>TEXT(Data[[#This Row],[Buchung]],"MMM")</f>
        <v>Sep</v>
      </c>
      <c r="I2830" s="67">
        <f>YEAR(Data[[#This Row],[Buchung]])</f>
        <v>2022</v>
      </c>
      <c r="J2830" s="2">
        <f>ABS(Data[[#This Row],[Betrag]])</f>
        <v>1000</v>
      </c>
      <c r="K2830" s="66" t="str">
        <f>IF(Data[[#This Row],[Betrag]]&lt;0,"A","E")</f>
        <v>E</v>
      </c>
    </row>
    <row r="2831" spans="1:11" x14ac:dyDescent="0.25">
      <c r="A2831" s="1">
        <v>44834</v>
      </c>
      <c r="B2831" s="66" t="s">
        <v>45</v>
      </c>
      <c r="C2831" s="66" t="s">
        <v>46</v>
      </c>
      <c r="D2831" t="s">
        <v>47</v>
      </c>
      <c r="E2831">
        <v>1000</v>
      </c>
      <c r="F2831" s="66" t="s">
        <v>7</v>
      </c>
      <c r="G2831" s="66" t="s">
        <v>9</v>
      </c>
      <c r="H2831" s="66" t="str">
        <f>TEXT(Data[[#This Row],[Buchung]],"MMM")</f>
        <v>Sep</v>
      </c>
      <c r="I2831" s="67">
        <f>YEAR(Data[[#This Row],[Buchung]])</f>
        <v>2022</v>
      </c>
      <c r="J2831" s="2">
        <f>ABS(Data[[#This Row],[Betrag]])</f>
        <v>1000</v>
      </c>
      <c r="K2831" s="66" t="str">
        <f>IF(Data[[#This Row],[Betrag]]&lt;0,"A","E")</f>
        <v>E</v>
      </c>
    </row>
    <row r="2832" spans="1:11" x14ac:dyDescent="0.25">
      <c r="A2832" s="1">
        <v>44835</v>
      </c>
      <c r="B2832" s="66" t="s">
        <v>48</v>
      </c>
      <c r="C2832" s="66" t="s">
        <v>49</v>
      </c>
      <c r="D2832" t="s">
        <v>50</v>
      </c>
      <c r="E2832">
        <v>-15</v>
      </c>
      <c r="F2832" s="66" t="s">
        <v>7</v>
      </c>
      <c r="G2832" s="66" t="s">
        <v>8</v>
      </c>
      <c r="H2832" s="66" t="str">
        <f>TEXT(Data[[#This Row],[Buchung]],"MMM")</f>
        <v>Okt</v>
      </c>
      <c r="I2832" s="67">
        <f>YEAR(Data[[#This Row],[Buchung]])</f>
        <v>2022</v>
      </c>
      <c r="J2832" s="2">
        <f>ABS(Data[[#This Row],[Betrag]])</f>
        <v>15</v>
      </c>
      <c r="K2832" s="66" t="str">
        <f>IF(Data[[#This Row],[Betrag]]&lt;0,"A","E")</f>
        <v>A</v>
      </c>
    </row>
    <row r="2833" spans="1:11" x14ac:dyDescent="0.25">
      <c r="A2833" s="1">
        <v>44836</v>
      </c>
      <c r="B2833" s="66" t="s">
        <v>51</v>
      </c>
      <c r="C2833" s="66" t="s">
        <v>52</v>
      </c>
      <c r="D2833" t="s">
        <v>53</v>
      </c>
      <c r="E2833">
        <v>-350</v>
      </c>
      <c r="F2833" s="66" t="s">
        <v>7</v>
      </c>
      <c r="G2833" s="66" t="s">
        <v>11</v>
      </c>
      <c r="H2833" s="66" t="str">
        <f>TEXT(Data[[#This Row],[Buchung]],"MMM")</f>
        <v>Okt</v>
      </c>
      <c r="I2833" s="67">
        <f>YEAR(Data[[#This Row],[Buchung]])</f>
        <v>2022</v>
      </c>
      <c r="J2833" s="2">
        <f>ABS(Data[[#This Row],[Betrag]])</f>
        <v>350</v>
      </c>
      <c r="K2833" s="66" t="str">
        <f>IF(Data[[#This Row],[Betrag]]&lt;0,"A","E")</f>
        <v>A</v>
      </c>
    </row>
    <row r="2834" spans="1:11" x14ac:dyDescent="0.25">
      <c r="A2834" s="1">
        <v>44837</v>
      </c>
      <c r="B2834" s="66" t="s">
        <v>54</v>
      </c>
      <c r="C2834" s="66" t="s">
        <v>55</v>
      </c>
      <c r="D2834" t="s">
        <v>56</v>
      </c>
      <c r="E2834">
        <v>-120</v>
      </c>
      <c r="F2834" s="66" t="s">
        <v>7</v>
      </c>
      <c r="G2834" s="66" t="s">
        <v>57</v>
      </c>
      <c r="H2834" s="66" t="str">
        <f>TEXT(Data[[#This Row],[Buchung]],"MMM")</f>
        <v>Okt</v>
      </c>
      <c r="I2834" s="67">
        <f>YEAR(Data[[#This Row],[Buchung]])</f>
        <v>2022</v>
      </c>
      <c r="J2834" s="2">
        <f>ABS(Data[[#This Row],[Betrag]])</f>
        <v>120</v>
      </c>
      <c r="K2834" s="66" t="str">
        <f>IF(Data[[#This Row],[Betrag]]&lt;0,"A","E")</f>
        <v>A</v>
      </c>
    </row>
    <row r="2835" spans="1:11" x14ac:dyDescent="0.25">
      <c r="A2835" s="1">
        <v>44838</v>
      </c>
      <c r="B2835" s="66" t="s">
        <v>58</v>
      </c>
      <c r="C2835" s="66" t="s">
        <v>59</v>
      </c>
      <c r="D2835" t="s">
        <v>60</v>
      </c>
      <c r="E2835">
        <v>-50</v>
      </c>
      <c r="F2835" s="66" t="s">
        <v>7</v>
      </c>
      <c r="G2835" s="66" t="s">
        <v>10</v>
      </c>
      <c r="H2835" s="66" t="str">
        <f>TEXT(Data[[#This Row],[Buchung]],"MMM")</f>
        <v>Okt</v>
      </c>
      <c r="I2835" s="67">
        <f>YEAR(Data[[#This Row],[Buchung]])</f>
        <v>2022</v>
      </c>
      <c r="J2835" s="2">
        <f>ABS(Data[[#This Row],[Betrag]])</f>
        <v>50</v>
      </c>
      <c r="K2835" s="66" t="str">
        <f>IF(Data[[#This Row],[Betrag]]&lt;0,"A","E")</f>
        <v>A</v>
      </c>
    </row>
    <row r="2836" spans="1:11" x14ac:dyDescent="0.25">
      <c r="A2836" s="1">
        <v>44839</v>
      </c>
      <c r="B2836" s="66" t="s">
        <v>45</v>
      </c>
      <c r="C2836" s="66" t="s">
        <v>46</v>
      </c>
      <c r="D2836" t="s">
        <v>47</v>
      </c>
      <c r="E2836">
        <v>1000</v>
      </c>
      <c r="F2836" s="66" t="s">
        <v>7</v>
      </c>
      <c r="G2836" s="66" t="s">
        <v>9</v>
      </c>
      <c r="H2836" s="66" t="str">
        <f>TEXT(Data[[#This Row],[Buchung]],"MMM")</f>
        <v>Okt</v>
      </c>
      <c r="I2836" s="67">
        <f>YEAR(Data[[#This Row],[Buchung]])</f>
        <v>2022</v>
      </c>
      <c r="J2836" s="2">
        <f>ABS(Data[[#This Row],[Betrag]])</f>
        <v>1000</v>
      </c>
      <c r="K2836" s="66" t="str">
        <f>IF(Data[[#This Row],[Betrag]]&lt;0,"A","E")</f>
        <v>E</v>
      </c>
    </row>
    <row r="2837" spans="1:11" x14ac:dyDescent="0.25">
      <c r="A2837" s="1">
        <v>44840</v>
      </c>
      <c r="B2837" s="66" t="s">
        <v>61</v>
      </c>
      <c r="C2837" s="66" t="s">
        <v>49</v>
      </c>
      <c r="D2837" t="s">
        <v>62</v>
      </c>
      <c r="E2837">
        <v>-10</v>
      </c>
      <c r="F2837" s="66" t="s">
        <v>7</v>
      </c>
      <c r="G2837" s="66" t="s">
        <v>8</v>
      </c>
      <c r="H2837" s="66" t="str">
        <f>TEXT(Data[[#This Row],[Buchung]],"MMM")</f>
        <v>Okt</v>
      </c>
      <c r="I2837" s="67">
        <f>YEAR(Data[[#This Row],[Buchung]])</f>
        <v>2022</v>
      </c>
      <c r="J2837" s="2">
        <f>ABS(Data[[#This Row],[Betrag]])</f>
        <v>10</v>
      </c>
      <c r="K2837" s="66" t="str">
        <f>IF(Data[[#This Row],[Betrag]]&lt;0,"A","E")</f>
        <v>A</v>
      </c>
    </row>
    <row r="2838" spans="1:11" x14ac:dyDescent="0.25">
      <c r="A2838" s="1">
        <v>44841</v>
      </c>
      <c r="B2838" s="66" t="s">
        <v>63</v>
      </c>
      <c r="C2838" s="66" t="s">
        <v>64</v>
      </c>
      <c r="D2838" t="s">
        <v>65</v>
      </c>
      <c r="E2838">
        <v>-60</v>
      </c>
      <c r="F2838" s="66" t="s">
        <v>7</v>
      </c>
      <c r="G2838" s="66" t="s">
        <v>11</v>
      </c>
      <c r="H2838" s="66" t="str">
        <f>TEXT(Data[[#This Row],[Buchung]],"MMM")</f>
        <v>Okt</v>
      </c>
      <c r="I2838" s="67">
        <f>YEAR(Data[[#This Row],[Buchung]])</f>
        <v>2022</v>
      </c>
      <c r="J2838" s="2">
        <f>ABS(Data[[#This Row],[Betrag]])</f>
        <v>60</v>
      </c>
      <c r="K2838" s="66" t="str">
        <f>IF(Data[[#This Row],[Betrag]]&lt;0,"A","E")</f>
        <v>A</v>
      </c>
    </row>
    <row r="2839" spans="1:11" x14ac:dyDescent="0.25">
      <c r="A2839" s="1">
        <v>44842</v>
      </c>
      <c r="B2839" s="66" t="s">
        <v>54</v>
      </c>
      <c r="C2839" s="66" t="s">
        <v>55</v>
      </c>
      <c r="D2839" t="s">
        <v>66</v>
      </c>
      <c r="E2839">
        <v>-80</v>
      </c>
      <c r="F2839" s="66" t="s">
        <v>7</v>
      </c>
      <c r="G2839" s="66" t="s">
        <v>57</v>
      </c>
      <c r="H2839" s="66" t="str">
        <f>TEXT(Data[[#This Row],[Buchung]],"MMM")</f>
        <v>Okt</v>
      </c>
      <c r="I2839" s="67">
        <f>YEAR(Data[[#This Row],[Buchung]])</f>
        <v>2022</v>
      </c>
      <c r="J2839" s="2">
        <f>ABS(Data[[#This Row],[Betrag]])</f>
        <v>80</v>
      </c>
      <c r="K2839" s="66" t="str">
        <f>IF(Data[[#This Row],[Betrag]]&lt;0,"A","E")</f>
        <v>A</v>
      </c>
    </row>
    <row r="2840" spans="1:11" x14ac:dyDescent="0.25">
      <c r="A2840" s="1">
        <v>44843</v>
      </c>
      <c r="B2840" s="66" t="s">
        <v>67</v>
      </c>
      <c r="C2840" s="66" t="s">
        <v>59</v>
      </c>
      <c r="D2840" t="s">
        <v>68</v>
      </c>
      <c r="E2840">
        <v>-20</v>
      </c>
      <c r="F2840" s="66" t="s">
        <v>7</v>
      </c>
      <c r="G2840" s="66" t="s">
        <v>10</v>
      </c>
      <c r="H2840" s="66" t="str">
        <f>TEXT(Data[[#This Row],[Buchung]],"MMM")</f>
        <v>Okt</v>
      </c>
      <c r="I2840" s="67">
        <f>YEAR(Data[[#This Row],[Buchung]])</f>
        <v>2022</v>
      </c>
      <c r="J2840" s="2">
        <f>ABS(Data[[#This Row],[Betrag]])</f>
        <v>20</v>
      </c>
      <c r="K2840" s="66" t="str">
        <f>IF(Data[[#This Row],[Betrag]]&lt;0,"A","E")</f>
        <v>A</v>
      </c>
    </row>
    <row r="2841" spans="1:11" x14ac:dyDescent="0.25">
      <c r="A2841" s="1">
        <v>44844</v>
      </c>
      <c r="B2841" s="66" t="s">
        <v>45</v>
      </c>
      <c r="C2841" s="66" t="s">
        <v>46</v>
      </c>
      <c r="D2841" t="s">
        <v>47</v>
      </c>
      <c r="E2841">
        <v>1000</v>
      </c>
      <c r="F2841" s="66" t="s">
        <v>7</v>
      </c>
      <c r="G2841" s="66" t="s">
        <v>9</v>
      </c>
      <c r="H2841" s="66" t="str">
        <f>TEXT(Data[[#This Row],[Buchung]],"MMM")</f>
        <v>Okt</v>
      </c>
      <c r="I2841" s="67">
        <f>YEAR(Data[[#This Row],[Buchung]])</f>
        <v>2022</v>
      </c>
      <c r="J2841" s="2">
        <f>ABS(Data[[#This Row],[Betrag]])</f>
        <v>1000</v>
      </c>
      <c r="K2841" s="66" t="str">
        <f>IF(Data[[#This Row],[Betrag]]&lt;0,"A","E")</f>
        <v>E</v>
      </c>
    </row>
    <row r="2842" spans="1:11" x14ac:dyDescent="0.25">
      <c r="A2842" s="1">
        <v>44845</v>
      </c>
      <c r="B2842" s="66" t="s">
        <v>48</v>
      </c>
      <c r="C2842" s="66" t="s">
        <v>49</v>
      </c>
      <c r="D2842" t="s">
        <v>50</v>
      </c>
      <c r="E2842">
        <v>-15</v>
      </c>
      <c r="F2842" s="66" t="s">
        <v>7</v>
      </c>
      <c r="G2842" s="66" t="s">
        <v>8</v>
      </c>
      <c r="H2842" s="66" t="str">
        <f>TEXT(Data[[#This Row],[Buchung]],"MMM")</f>
        <v>Okt</v>
      </c>
      <c r="I2842" s="67">
        <f>YEAR(Data[[#This Row],[Buchung]])</f>
        <v>2022</v>
      </c>
      <c r="J2842" s="2">
        <f>ABS(Data[[#This Row],[Betrag]])</f>
        <v>15</v>
      </c>
      <c r="K2842" s="66" t="str">
        <f>IF(Data[[#This Row],[Betrag]]&lt;0,"A","E")</f>
        <v>A</v>
      </c>
    </row>
    <row r="2843" spans="1:11" x14ac:dyDescent="0.25">
      <c r="A2843" s="1">
        <v>44846</v>
      </c>
      <c r="B2843" s="66" t="s">
        <v>51</v>
      </c>
      <c r="C2843" s="66" t="s">
        <v>52</v>
      </c>
      <c r="D2843" t="s">
        <v>53</v>
      </c>
      <c r="E2843">
        <v>-350</v>
      </c>
      <c r="F2843" s="66" t="s">
        <v>7</v>
      </c>
      <c r="G2843" s="66" t="s">
        <v>11</v>
      </c>
      <c r="H2843" s="66" t="str">
        <f>TEXT(Data[[#This Row],[Buchung]],"MMM")</f>
        <v>Okt</v>
      </c>
      <c r="I2843" s="67">
        <f>YEAR(Data[[#This Row],[Buchung]])</f>
        <v>2022</v>
      </c>
      <c r="J2843" s="2">
        <f>ABS(Data[[#This Row],[Betrag]])</f>
        <v>350</v>
      </c>
      <c r="K2843" s="66" t="str">
        <f>IF(Data[[#This Row],[Betrag]]&lt;0,"A","E")</f>
        <v>A</v>
      </c>
    </row>
    <row r="2844" spans="1:11" x14ac:dyDescent="0.25">
      <c r="A2844" s="1">
        <v>44847</v>
      </c>
      <c r="B2844" s="66" t="s">
        <v>54</v>
      </c>
      <c r="C2844" s="66" t="s">
        <v>55</v>
      </c>
      <c r="D2844" t="s">
        <v>56</v>
      </c>
      <c r="E2844">
        <v>-120</v>
      </c>
      <c r="F2844" s="66" t="s">
        <v>7</v>
      </c>
      <c r="G2844" s="66" t="s">
        <v>57</v>
      </c>
      <c r="H2844" s="66" t="str">
        <f>TEXT(Data[[#This Row],[Buchung]],"MMM")</f>
        <v>Okt</v>
      </c>
      <c r="I2844" s="67">
        <f>YEAR(Data[[#This Row],[Buchung]])</f>
        <v>2022</v>
      </c>
      <c r="J2844" s="2">
        <f>ABS(Data[[#This Row],[Betrag]])</f>
        <v>120</v>
      </c>
      <c r="K2844" s="66" t="str">
        <f>IF(Data[[#This Row],[Betrag]]&lt;0,"A","E")</f>
        <v>A</v>
      </c>
    </row>
    <row r="2845" spans="1:11" x14ac:dyDescent="0.25">
      <c r="A2845" s="1">
        <v>44848</v>
      </c>
      <c r="B2845" s="66" t="s">
        <v>58</v>
      </c>
      <c r="C2845" s="66" t="s">
        <v>59</v>
      </c>
      <c r="D2845" t="s">
        <v>60</v>
      </c>
      <c r="E2845">
        <v>-60</v>
      </c>
      <c r="F2845" s="66" t="s">
        <v>7</v>
      </c>
      <c r="G2845" s="66" t="s">
        <v>10</v>
      </c>
      <c r="H2845" s="66" t="str">
        <f>TEXT(Data[[#This Row],[Buchung]],"MMM")</f>
        <v>Okt</v>
      </c>
      <c r="I2845" s="67">
        <f>YEAR(Data[[#This Row],[Buchung]])</f>
        <v>2022</v>
      </c>
      <c r="J2845" s="2">
        <f>ABS(Data[[#This Row],[Betrag]])</f>
        <v>60</v>
      </c>
      <c r="K2845" s="66" t="str">
        <f>IF(Data[[#This Row],[Betrag]]&lt;0,"A","E")</f>
        <v>A</v>
      </c>
    </row>
    <row r="2846" spans="1:11" x14ac:dyDescent="0.25">
      <c r="A2846" s="1">
        <v>44849</v>
      </c>
      <c r="B2846" s="66" t="s">
        <v>45</v>
      </c>
      <c r="C2846" s="66" t="s">
        <v>46</v>
      </c>
      <c r="D2846" t="s">
        <v>47</v>
      </c>
      <c r="E2846">
        <v>1000</v>
      </c>
      <c r="F2846" s="66" t="s">
        <v>7</v>
      </c>
      <c r="G2846" s="66" t="s">
        <v>9</v>
      </c>
      <c r="H2846" s="66" t="str">
        <f>TEXT(Data[[#This Row],[Buchung]],"MMM")</f>
        <v>Okt</v>
      </c>
      <c r="I2846" s="67">
        <f>YEAR(Data[[#This Row],[Buchung]])</f>
        <v>2022</v>
      </c>
      <c r="J2846" s="2">
        <f>ABS(Data[[#This Row],[Betrag]])</f>
        <v>1000</v>
      </c>
      <c r="K2846" s="66" t="str">
        <f>IF(Data[[#This Row],[Betrag]]&lt;0,"A","E")</f>
        <v>E</v>
      </c>
    </row>
    <row r="2847" spans="1:11" x14ac:dyDescent="0.25">
      <c r="A2847" s="1">
        <v>44850</v>
      </c>
      <c r="B2847" s="66" t="s">
        <v>61</v>
      </c>
      <c r="C2847" s="66" t="s">
        <v>49</v>
      </c>
      <c r="D2847" t="s">
        <v>62</v>
      </c>
      <c r="E2847">
        <v>-10</v>
      </c>
      <c r="F2847" s="66" t="s">
        <v>7</v>
      </c>
      <c r="G2847" s="66" t="s">
        <v>8</v>
      </c>
      <c r="H2847" s="66" t="str">
        <f>TEXT(Data[[#This Row],[Buchung]],"MMM")</f>
        <v>Okt</v>
      </c>
      <c r="I2847" s="67">
        <f>YEAR(Data[[#This Row],[Buchung]])</f>
        <v>2022</v>
      </c>
      <c r="J2847" s="2">
        <f>ABS(Data[[#This Row],[Betrag]])</f>
        <v>10</v>
      </c>
      <c r="K2847" s="66" t="str">
        <f>IF(Data[[#This Row],[Betrag]]&lt;0,"A","E")</f>
        <v>A</v>
      </c>
    </row>
    <row r="2848" spans="1:11" x14ac:dyDescent="0.25">
      <c r="A2848" s="1">
        <v>44851</v>
      </c>
      <c r="B2848" s="66" t="s">
        <v>63</v>
      </c>
      <c r="C2848" s="66" t="s">
        <v>64</v>
      </c>
      <c r="D2848" t="s">
        <v>65</v>
      </c>
      <c r="E2848">
        <v>-70</v>
      </c>
      <c r="F2848" s="66" t="s">
        <v>7</v>
      </c>
      <c r="G2848" s="66" t="s">
        <v>11</v>
      </c>
      <c r="H2848" s="66" t="str">
        <f>TEXT(Data[[#This Row],[Buchung]],"MMM")</f>
        <v>Okt</v>
      </c>
      <c r="I2848" s="67">
        <f>YEAR(Data[[#This Row],[Buchung]])</f>
        <v>2022</v>
      </c>
      <c r="J2848" s="2">
        <f>ABS(Data[[#This Row],[Betrag]])</f>
        <v>70</v>
      </c>
      <c r="K2848" s="66" t="str">
        <f>IF(Data[[#This Row],[Betrag]]&lt;0,"A","E")</f>
        <v>A</v>
      </c>
    </row>
    <row r="2849" spans="1:11" x14ac:dyDescent="0.25">
      <c r="A2849" s="1">
        <v>44852</v>
      </c>
      <c r="B2849" s="66" t="s">
        <v>54</v>
      </c>
      <c r="C2849" s="66" t="s">
        <v>55</v>
      </c>
      <c r="D2849" t="s">
        <v>66</v>
      </c>
      <c r="E2849">
        <v>-80</v>
      </c>
      <c r="F2849" s="66" t="s">
        <v>7</v>
      </c>
      <c r="G2849" s="66" t="s">
        <v>57</v>
      </c>
      <c r="H2849" s="66" t="str">
        <f>TEXT(Data[[#This Row],[Buchung]],"MMM")</f>
        <v>Okt</v>
      </c>
      <c r="I2849" s="67">
        <f>YEAR(Data[[#This Row],[Buchung]])</f>
        <v>2022</v>
      </c>
      <c r="J2849" s="2">
        <f>ABS(Data[[#This Row],[Betrag]])</f>
        <v>80</v>
      </c>
      <c r="K2849" s="66" t="str">
        <f>IF(Data[[#This Row],[Betrag]]&lt;0,"A","E")</f>
        <v>A</v>
      </c>
    </row>
    <row r="2850" spans="1:11" x14ac:dyDescent="0.25">
      <c r="A2850" s="1">
        <v>44853</v>
      </c>
      <c r="B2850" s="66" t="s">
        <v>67</v>
      </c>
      <c r="C2850" s="66" t="s">
        <v>59</v>
      </c>
      <c r="D2850" t="s">
        <v>68</v>
      </c>
      <c r="E2850">
        <v>-25</v>
      </c>
      <c r="F2850" s="66" t="s">
        <v>7</v>
      </c>
      <c r="G2850" s="66" t="s">
        <v>10</v>
      </c>
      <c r="H2850" s="66" t="str">
        <f>TEXT(Data[[#This Row],[Buchung]],"MMM")</f>
        <v>Okt</v>
      </c>
      <c r="I2850" s="67">
        <f>YEAR(Data[[#This Row],[Buchung]])</f>
        <v>2022</v>
      </c>
      <c r="J2850" s="2">
        <f>ABS(Data[[#This Row],[Betrag]])</f>
        <v>25</v>
      </c>
      <c r="K2850" s="66" t="str">
        <f>IF(Data[[#This Row],[Betrag]]&lt;0,"A","E")</f>
        <v>A</v>
      </c>
    </row>
    <row r="2851" spans="1:11" x14ac:dyDescent="0.25">
      <c r="A2851" s="1">
        <v>44854</v>
      </c>
      <c r="B2851" s="66" t="s">
        <v>45</v>
      </c>
      <c r="C2851" s="66" t="s">
        <v>46</v>
      </c>
      <c r="D2851" t="s">
        <v>47</v>
      </c>
      <c r="E2851">
        <v>1000</v>
      </c>
      <c r="F2851" s="66" t="s">
        <v>7</v>
      </c>
      <c r="G2851" s="66" t="s">
        <v>9</v>
      </c>
      <c r="H2851" s="66" t="str">
        <f>TEXT(Data[[#This Row],[Buchung]],"MMM")</f>
        <v>Okt</v>
      </c>
      <c r="I2851" s="67">
        <f>YEAR(Data[[#This Row],[Buchung]])</f>
        <v>2022</v>
      </c>
      <c r="J2851" s="2">
        <f>ABS(Data[[#This Row],[Betrag]])</f>
        <v>1000</v>
      </c>
      <c r="K2851" s="66" t="str">
        <f>IF(Data[[#This Row],[Betrag]]&lt;0,"A","E")</f>
        <v>E</v>
      </c>
    </row>
    <row r="2852" spans="1:11" x14ac:dyDescent="0.25">
      <c r="A2852" s="1">
        <v>44855</v>
      </c>
      <c r="B2852" s="66" t="s">
        <v>48</v>
      </c>
      <c r="C2852" s="66" t="s">
        <v>49</v>
      </c>
      <c r="D2852" t="s">
        <v>50</v>
      </c>
      <c r="E2852">
        <v>-15</v>
      </c>
      <c r="F2852" s="66" t="s">
        <v>7</v>
      </c>
      <c r="G2852" s="66" t="s">
        <v>8</v>
      </c>
      <c r="H2852" s="66" t="str">
        <f>TEXT(Data[[#This Row],[Buchung]],"MMM")</f>
        <v>Okt</v>
      </c>
      <c r="I2852" s="67">
        <f>YEAR(Data[[#This Row],[Buchung]])</f>
        <v>2022</v>
      </c>
      <c r="J2852" s="2">
        <f>ABS(Data[[#This Row],[Betrag]])</f>
        <v>15</v>
      </c>
      <c r="K2852" s="66" t="str">
        <f>IF(Data[[#This Row],[Betrag]]&lt;0,"A","E")</f>
        <v>A</v>
      </c>
    </row>
    <row r="2853" spans="1:11" x14ac:dyDescent="0.25">
      <c r="A2853" s="1">
        <v>44856</v>
      </c>
      <c r="B2853" s="66" t="s">
        <v>51</v>
      </c>
      <c r="C2853" s="66" t="s">
        <v>52</v>
      </c>
      <c r="D2853" t="s">
        <v>53</v>
      </c>
      <c r="E2853">
        <v>-350</v>
      </c>
      <c r="F2853" s="66" t="s">
        <v>7</v>
      </c>
      <c r="G2853" s="66" t="s">
        <v>11</v>
      </c>
      <c r="H2853" s="66" t="str">
        <f>TEXT(Data[[#This Row],[Buchung]],"MMM")</f>
        <v>Okt</v>
      </c>
      <c r="I2853" s="67">
        <f>YEAR(Data[[#This Row],[Buchung]])</f>
        <v>2022</v>
      </c>
      <c r="J2853" s="2">
        <f>ABS(Data[[#This Row],[Betrag]])</f>
        <v>350</v>
      </c>
      <c r="K2853" s="66" t="str">
        <f>IF(Data[[#This Row],[Betrag]]&lt;0,"A","E")</f>
        <v>A</v>
      </c>
    </row>
    <row r="2854" spans="1:11" x14ac:dyDescent="0.25">
      <c r="A2854" s="1">
        <v>44857</v>
      </c>
      <c r="B2854" s="66" t="s">
        <v>54</v>
      </c>
      <c r="C2854" s="66" t="s">
        <v>55</v>
      </c>
      <c r="D2854" t="s">
        <v>56</v>
      </c>
      <c r="E2854">
        <v>-120</v>
      </c>
      <c r="F2854" s="66" t="s">
        <v>7</v>
      </c>
      <c r="G2854" s="66" t="s">
        <v>57</v>
      </c>
      <c r="H2854" s="66" t="str">
        <f>TEXT(Data[[#This Row],[Buchung]],"MMM")</f>
        <v>Okt</v>
      </c>
      <c r="I2854" s="67">
        <f>YEAR(Data[[#This Row],[Buchung]])</f>
        <v>2022</v>
      </c>
      <c r="J2854" s="2">
        <f>ABS(Data[[#This Row],[Betrag]])</f>
        <v>120</v>
      </c>
      <c r="K2854" s="66" t="str">
        <f>IF(Data[[#This Row],[Betrag]]&lt;0,"A","E")</f>
        <v>A</v>
      </c>
    </row>
    <row r="2855" spans="1:11" x14ac:dyDescent="0.25">
      <c r="A2855" s="1">
        <v>44858</v>
      </c>
      <c r="B2855" s="66" t="s">
        <v>58</v>
      </c>
      <c r="C2855" s="66" t="s">
        <v>59</v>
      </c>
      <c r="D2855" t="s">
        <v>60</v>
      </c>
      <c r="E2855">
        <v>-70</v>
      </c>
      <c r="F2855" s="66" t="s">
        <v>7</v>
      </c>
      <c r="G2855" s="66" t="s">
        <v>10</v>
      </c>
      <c r="H2855" s="66" t="str">
        <f>TEXT(Data[[#This Row],[Buchung]],"MMM")</f>
        <v>Okt</v>
      </c>
      <c r="I2855" s="67">
        <f>YEAR(Data[[#This Row],[Buchung]])</f>
        <v>2022</v>
      </c>
      <c r="J2855" s="2">
        <f>ABS(Data[[#This Row],[Betrag]])</f>
        <v>70</v>
      </c>
      <c r="K2855" s="66" t="str">
        <f>IF(Data[[#This Row],[Betrag]]&lt;0,"A","E")</f>
        <v>A</v>
      </c>
    </row>
    <row r="2856" spans="1:11" x14ac:dyDescent="0.25">
      <c r="A2856" s="1">
        <v>44859</v>
      </c>
      <c r="B2856" s="66" t="s">
        <v>45</v>
      </c>
      <c r="C2856" s="66" t="s">
        <v>46</v>
      </c>
      <c r="D2856" t="s">
        <v>47</v>
      </c>
      <c r="E2856">
        <v>1000</v>
      </c>
      <c r="F2856" s="66" t="s">
        <v>7</v>
      </c>
      <c r="G2856" s="66" t="s">
        <v>9</v>
      </c>
      <c r="H2856" s="66" t="str">
        <f>TEXT(Data[[#This Row],[Buchung]],"MMM")</f>
        <v>Okt</v>
      </c>
      <c r="I2856" s="67">
        <f>YEAR(Data[[#This Row],[Buchung]])</f>
        <v>2022</v>
      </c>
      <c r="J2856" s="2">
        <f>ABS(Data[[#This Row],[Betrag]])</f>
        <v>1000</v>
      </c>
      <c r="K2856" s="66" t="str">
        <f>IF(Data[[#This Row],[Betrag]]&lt;0,"A","E")</f>
        <v>E</v>
      </c>
    </row>
    <row r="2857" spans="1:11" x14ac:dyDescent="0.25">
      <c r="A2857" s="1">
        <v>44860</v>
      </c>
      <c r="B2857" s="66" t="s">
        <v>61</v>
      </c>
      <c r="C2857" s="66" t="s">
        <v>49</v>
      </c>
      <c r="D2857" t="s">
        <v>62</v>
      </c>
      <c r="E2857">
        <v>-10</v>
      </c>
      <c r="F2857" s="66" t="s">
        <v>7</v>
      </c>
      <c r="G2857" s="66" t="s">
        <v>8</v>
      </c>
      <c r="H2857" s="66" t="str">
        <f>TEXT(Data[[#This Row],[Buchung]],"MMM")</f>
        <v>Okt</v>
      </c>
      <c r="I2857" s="67">
        <f>YEAR(Data[[#This Row],[Buchung]])</f>
        <v>2022</v>
      </c>
      <c r="J2857" s="2">
        <f>ABS(Data[[#This Row],[Betrag]])</f>
        <v>10</v>
      </c>
      <c r="K2857" s="66" t="str">
        <f>IF(Data[[#This Row],[Betrag]]&lt;0,"A","E")</f>
        <v>A</v>
      </c>
    </row>
    <row r="2858" spans="1:11" x14ac:dyDescent="0.25">
      <c r="A2858" s="1">
        <v>44861</v>
      </c>
      <c r="B2858" s="66" t="s">
        <v>63</v>
      </c>
      <c r="C2858" s="66" t="s">
        <v>64</v>
      </c>
      <c r="D2858" t="s">
        <v>65</v>
      </c>
      <c r="E2858">
        <v>-60</v>
      </c>
      <c r="F2858" s="66" t="s">
        <v>7</v>
      </c>
      <c r="G2858" s="66" t="s">
        <v>11</v>
      </c>
      <c r="H2858" s="66" t="str">
        <f>TEXT(Data[[#This Row],[Buchung]],"MMM")</f>
        <v>Okt</v>
      </c>
      <c r="I2858" s="67">
        <f>YEAR(Data[[#This Row],[Buchung]])</f>
        <v>2022</v>
      </c>
      <c r="J2858" s="2">
        <f>ABS(Data[[#This Row],[Betrag]])</f>
        <v>60</v>
      </c>
      <c r="K2858" s="66" t="str">
        <f>IF(Data[[#This Row],[Betrag]]&lt;0,"A","E")</f>
        <v>A</v>
      </c>
    </row>
    <row r="2859" spans="1:11" x14ac:dyDescent="0.25">
      <c r="A2859" s="1">
        <v>44862</v>
      </c>
      <c r="B2859" s="66" t="s">
        <v>54</v>
      </c>
      <c r="C2859" s="66" t="s">
        <v>55</v>
      </c>
      <c r="D2859" t="s">
        <v>66</v>
      </c>
      <c r="E2859">
        <v>-80</v>
      </c>
      <c r="F2859" s="66" t="s">
        <v>7</v>
      </c>
      <c r="G2859" s="66" t="s">
        <v>57</v>
      </c>
      <c r="H2859" s="66" t="str">
        <f>TEXT(Data[[#This Row],[Buchung]],"MMM")</f>
        <v>Okt</v>
      </c>
      <c r="I2859" s="67">
        <f>YEAR(Data[[#This Row],[Buchung]])</f>
        <v>2022</v>
      </c>
      <c r="J2859" s="2">
        <f>ABS(Data[[#This Row],[Betrag]])</f>
        <v>80</v>
      </c>
      <c r="K2859" s="66" t="str">
        <f>IF(Data[[#This Row],[Betrag]]&lt;0,"A","E")</f>
        <v>A</v>
      </c>
    </row>
    <row r="2860" spans="1:11" x14ac:dyDescent="0.25">
      <c r="A2860" s="1">
        <v>44863</v>
      </c>
      <c r="B2860" s="66" t="s">
        <v>67</v>
      </c>
      <c r="C2860" s="66" t="s">
        <v>59</v>
      </c>
      <c r="D2860" t="s">
        <v>68</v>
      </c>
      <c r="E2860">
        <v>-30</v>
      </c>
      <c r="F2860" s="66" t="s">
        <v>7</v>
      </c>
      <c r="G2860" s="66" t="s">
        <v>10</v>
      </c>
      <c r="H2860" s="66" t="str">
        <f>TEXT(Data[[#This Row],[Buchung]],"MMM")</f>
        <v>Okt</v>
      </c>
      <c r="I2860" s="67">
        <f>YEAR(Data[[#This Row],[Buchung]])</f>
        <v>2022</v>
      </c>
      <c r="J2860" s="2">
        <f>ABS(Data[[#This Row],[Betrag]])</f>
        <v>30</v>
      </c>
      <c r="K2860" s="66" t="str">
        <f>IF(Data[[#This Row],[Betrag]]&lt;0,"A","E")</f>
        <v>A</v>
      </c>
    </row>
    <row r="2861" spans="1:11" x14ac:dyDescent="0.25">
      <c r="A2861" s="1">
        <v>44864</v>
      </c>
      <c r="B2861" s="66" t="s">
        <v>45</v>
      </c>
      <c r="C2861" s="66" t="s">
        <v>46</v>
      </c>
      <c r="D2861" t="s">
        <v>47</v>
      </c>
      <c r="E2861">
        <v>1000</v>
      </c>
      <c r="F2861" s="66" t="s">
        <v>7</v>
      </c>
      <c r="G2861" s="66" t="s">
        <v>9</v>
      </c>
      <c r="H2861" s="66" t="str">
        <f>TEXT(Data[[#This Row],[Buchung]],"MMM")</f>
        <v>Okt</v>
      </c>
      <c r="I2861" s="67">
        <f>YEAR(Data[[#This Row],[Buchung]])</f>
        <v>2022</v>
      </c>
      <c r="J2861" s="2">
        <f>ABS(Data[[#This Row],[Betrag]])</f>
        <v>1000</v>
      </c>
      <c r="K2861" s="66" t="str">
        <f>IF(Data[[#This Row],[Betrag]]&lt;0,"A","E")</f>
        <v>E</v>
      </c>
    </row>
    <row r="2862" spans="1:11" x14ac:dyDescent="0.25">
      <c r="A2862" s="1">
        <v>44865</v>
      </c>
      <c r="B2862" s="66" t="s">
        <v>48</v>
      </c>
      <c r="C2862" s="66" t="s">
        <v>49</v>
      </c>
      <c r="D2862" t="s">
        <v>50</v>
      </c>
      <c r="E2862">
        <v>-15</v>
      </c>
      <c r="F2862" s="66" t="s">
        <v>7</v>
      </c>
      <c r="G2862" s="66" t="s">
        <v>8</v>
      </c>
      <c r="H2862" s="66" t="str">
        <f>TEXT(Data[[#This Row],[Buchung]],"MMM")</f>
        <v>Okt</v>
      </c>
      <c r="I2862" s="67">
        <f>YEAR(Data[[#This Row],[Buchung]])</f>
        <v>2022</v>
      </c>
      <c r="J2862" s="2">
        <f>ABS(Data[[#This Row],[Betrag]])</f>
        <v>15</v>
      </c>
      <c r="K2862" s="66" t="str">
        <f>IF(Data[[#This Row],[Betrag]]&lt;0,"A","E")</f>
        <v>A</v>
      </c>
    </row>
    <row r="2863" spans="1:11" x14ac:dyDescent="0.25">
      <c r="A2863" s="1">
        <v>44866</v>
      </c>
      <c r="B2863" s="66" t="s">
        <v>51</v>
      </c>
      <c r="C2863" s="66" t="s">
        <v>52</v>
      </c>
      <c r="D2863" t="s">
        <v>53</v>
      </c>
      <c r="E2863">
        <v>-350</v>
      </c>
      <c r="F2863" s="66" t="s">
        <v>7</v>
      </c>
      <c r="G2863" s="66" t="s">
        <v>11</v>
      </c>
      <c r="H2863" s="66" t="str">
        <f>TEXT(Data[[#This Row],[Buchung]],"MMM")</f>
        <v>Nov</v>
      </c>
      <c r="I2863" s="67">
        <f>YEAR(Data[[#This Row],[Buchung]])</f>
        <v>2022</v>
      </c>
      <c r="J2863" s="2">
        <f>ABS(Data[[#This Row],[Betrag]])</f>
        <v>350</v>
      </c>
      <c r="K2863" s="66" t="str">
        <f>IF(Data[[#This Row],[Betrag]]&lt;0,"A","E")</f>
        <v>A</v>
      </c>
    </row>
    <row r="2864" spans="1:11" x14ac:dyDescent="0.25">
      <c r="A2864" s="1">
        <v>44867</v>
      </c>
      <c r="B2864" s="66" t="s">
        <v>54</v>
      </c>
      <c r="C2864" s="66" t="s">
        <v>55</v>
      </c>
      <c r="D2864" t="s">
        <v>56</v>
      </c>
      <c r="E2864">
        <v>-120</v>
      </c>
      <c r="F2864" s="66" t="s">
        <v>7</v>
      </c>
      <c r="G2864" s="66" t="s">
        <v>57</v>
      </c>
      <c r="H2864" s="66" t="str">
        <f>TEXT(Data[[#This Row],[Buchung]],"MMM")</f>
        <v>Nov</v>
      </c>
      <c r="I2864" s="67">
        <f>YEAR(Data[[#This Row],[Buchung]])</f>
        <v>2022</v>
      </c>
      <c r="J2864" s="2">
        <f>ABS(Data[[#This Row],[Betrag]])</f>
        <v>120</v>
      </c>
      <c r="K2864" s="66" t="str">
        <f>IF(Data[[#This Row],[Betrag]]&lt;0,"A","E")</f>
        <v>A</v>
      </c>
    </row>
    <row r="2865" spans="1:11" x14ac:dyDescent="0.25">
      <c r="A2865" s="1">
        <v>44868</v>
      </c>
      <c r="B2865" s="66" t="s">
        <v>58</v>
      </c>
      <c r="C2865" s="66" t="s">
        <v>59</v>
      </c>
      <c r="D2865" t="s">
        <v>60</v>
      </c>
      <c r="E2865">
        <v>-80</v>
      </c>
      <c r="F2865" s="66" t="s">
        <v>7</v>
      </c>
      <c r="G2865" s="66" t="s">
        <v>10</v>
      </c>
      <c r="H2865" s="66" t="str">
        <f>TEXT(Data[[#This Row],[Buchung]],"MMM")</f>
        <v>Nov</v>
      </c>
      <c r="I2865" s="67">
        <f>YEAR(Data[[#This Row],[Buchung]])</f>
        <v>2022</v>
      </c>
      <c r="J2865" s="2">
        <f>ABS(Data[[#This Row],[Betrag]])</f>
        <v>80</v>
      </c>
      <c r="K2865" s="66" t="str">
        <f>IF(Data[[#This Row],[Betrag]]&lt;0,"A","E")</f>
        <v>A</v>
      </c>
    </row>
    <row r="2866" spans="1:11" x14ac:dyDescent="0.25">
      <c r="A2866" s="1">
        <v>44869</v>
      </c>
      <c r="B2866" s="66" t="s">
        <v>45</v>
      </c>
      <c r="C2866" s="66" t="s">
        <v>46</v>
      </c>
      <c r="D2866" t="s">
        <v>47</v>
      </c>
      <c r="E2866">
        <v>1000</v>
      </c>
      <c r="F2866" s="66" t="s">
        <v>7</v>
      </c>
      <c r="G2866" s="66" t="s">
        <v>9</v>
      </c>
      <c r="H2866" s="66" t="str">
        <f>TEXT(Data[[#This Row],[Buchung]],"MMM")</f>
        <v>Nov</v>
      </c>
      <c r="I2866" s="67">
        <f>YEAR(Data[[#This Row],[Buchung]])</f>
        <v>2022</v>
      </c>
      <c r="J2866" s="2">
        <f>ABS(Data[[#This Row],[Betrag]])</f>
        <v>1000</v>
      </c>
      <c r="K2866" s="66" t="str">
        <f>IF(Data[[#This Row],[Betrag]]&lt;0,"A","E")</f>
        <v>E</v>
      </c>
    </row>
    <row r="2867" spans="1:11" x14ac:dyDescent="0.25">
      <c r="A2867" s="1">
        <v>44870</v>
      </c>
      <c r="B2867" s="66" t="s">
        <v>61</v>
      </c>
      <c r="C2867" s="66" t="s">
        <v>49</v>
      </c>
      <c r="D2867" t="s">
        <v>62</v>
      </c>
      <c r="E2867">
        <v>-10</v>
      </c>
      <c r="F2867" s="66" t="s">
        <v>7</v>
      </c>
      <c r="G2867" s="66" t="s">
        <v>8</v>
      </c>
      <c r="H2867" s="66" t="str">
        <f>TEXT(Data[[#This Row],[Buchung]],"MMM")</f>
        <v>Nov</v>
      </c>
      <c r="I2867" s="67">
        <f>YEAR(Data[[#This Row],[Buchung]])</f>
        <v>2022</v>
      </c>
      <c r="J2867" s="2">
        <f>ABS(Data[[#This Row],[Betrag]])</f>
        <v>10</v>
      </c>
      <c r="K2867" s="66" t="str">
        <f>IF(Data[[#This Row],[Betrag]]&lt;0,"A","E")</f>
        <v>A</v>
      </c>
    </row>
    <row r="2868" spans="1:11" x14ac:dyDescent="0.25">
      <c r="A2868" s="1">
        <v>44871</v>
      </c>
      <c r="B2868" s="66" t="s">
        <v>63</v>
      </c>
      <c r="C2868" s="66" t="s">
        <v>64</v>
      </c>
      <c r="D2868" t="s">
        <v>65</v>
      </c>
      <c r="E2868">
        <v>-65</v>
      </c>
      <c r="F2868" s="66" t="s">
        <v>7</v>
      </c>
      <c r="G2868" s="66" t="s">
        <v>11</v>
      </c>
      <c r="H2868" s="66" t="str">
        <f>TEXT(Data[[#This Row],[Buchung]],"MMM")</f>
        <v>Nov</v>
      </c>
      <c r="I2868" s="67">
        <f>YEAR(Data[[#This Row],[Buchung]])</f>
        <v>2022</v>
      </c>
      <c r="J2868" s="2">
        <f>ABS(Data[[#This Row],[Betrag]])</f>
        <v>65</v>
      </c>
      <c r="K2868" s="66" t="str">
        <f>IF(Data[[#This Row],[Betrag]]&lt;0,"A","E")</f>
        <v>A</v>
      </c>
    </row>
    <row r="2869" spans="1:11" x14ac:dyDescent="0.25">
      <c r="A2869" s="1">
        <v>44872</v>
      </c>
      <c r="B2869" s="66" t="s">
        <v>54</v>
      </c>
      <c r="C2869" s="66" t="s">
        <v>55</v>
      </c>
      <c r="D2869" t="s">
        <v>66</v>
      </c>
      <c r="E2869">
        <v>-80</v>
      </c>
      <c r="F2869" s="66" t="s">
        <v>7</v>
      </c>
      <c r="G2869" s="66" t="s">
        <v>57</v>
      </c>
      <c r="H2869" s="66" t="str">
        <f>TEXT(Data[[#This Row],[Buchung]],"MMM")</f>
        <v>Nov</v>
      </c>
      <c r="I2869" s="67">
        <f>YEAR(Data[[#This Row],[Buchung]])</f>
        <v>2022</v>
      </c>
      <c r="J2869" s="2">
        <f>ABS(Data[[#This Row],[Betrag]])</f>
        <v>80</v>
      </c>
      <c r="K2869" s="66" t="str">
        <f>IF(Data[[#This Row],[Betrag]]&lt;0,"A","E")</f>
        <v>A</v>
      </c>
    </row>
    <row r="2870" spans="1:11" x14ac:dyDescent="0.25">
      <c r="A2870" s="1">
        <v>44873</v>
      </c>
      <c r="B2870" s="66" t="s">
        <v>67</v>
      </c>
      <c r="C2870" s="66" t="s">
        <v>59</v>
      </c>
      <c r="D2870" t="s">
        <v>68</v>
      </c>
      <c r="E2870">
        <v>-35</v>
      </c>
      <c r="F2870" s="66" t="s">
        <v>7</v>
      </c>
      <c r="G2870" s="66" t="s">
        <v>10</v>
      </c>
      <c r="H2870" s="66" t="str">
        <f>TEXT(Data[[#This Row],[Buchung]],"MMM")</f>
        <v>Nov</v>
      </c>
      <c r="I2870" s="67">
        <f>YEAR(Data[[#This Row],[Buchung]])</f>
        <v>2022</v>
      </c>
      <c r="J2870" s="2">
        <f>ABS(Data[[#This Row],[Betrag]])</f>
        <v>35</v>
      </c>
      <c r="K2870" s="66" t="str">
        <f>IF(Data[[#This Row],[Betrag]]&lt;0,"A","E")</f>
        <v>A</v>
      </c>
    </row>
    <row r="2871" spans="1:11" x14ac:dyDescent="0.25">
      <c r="A2871" s="1">
        <v>44874</v>
      </c>
      <c r="B2871" s="66" t="s">
        <v>45</v>
      </c>
      <c r="C2871" s="66" t="s">
        <v>46</v>
      </c>
      <c r="D2871" t="s">
        <v>47</v>
      </c>
      <c r="E2871">
        <v>1000</v>
      </c>
      <c r="F2871" s="66" t="s">
        <v>7</v>
      </c>
      <c r="G2871" s="66" t="s">
        <v>9</v>
      </c>
      <c r="H2871" s="66" t="str">
        <f>TEXT(Data[[#This Row],[Buchung]],"MMM")</f>
        <v>Nov</v>
      </c>
      <c r="I2871" s="67">
        <f>YEAR(Data[[#This Row],[Buchung]])</f>
        <v>2022</v>
      </c>
      <c r="J2871" s="2">
        <f>ABS(Data[[#This Row],[Betrag]])</f>
        <v>1000</v>
      </c>
      <c r="K2871" s="66" t="str">
        <f>IF(Data[[#This Row],[Betrag]]&lt;0,"A","E")</f>
        <v>E</v>
      </c>
    </row>
    <row r="2872" spans="1:11" x14ac:dyDescent="0.25">
      <c r="A2872" s="1">
        <v>44875</v>
      </c>
      <c r="B2872" s="66" t="s">
        <v>45</v>
      </c>
      <c r="C2872" s="66" t="s">
        <v>46</v>
      </c>
      <c r="D2872" t="s">
        <v>47</v>
      </c>
      <c r="E2872">
        <v>1000</v>
      </c>
      <c r="F2872" s="66" t="s">
        <v>7</v>
      </c>
      <c r="G2872" s="66" t="s">
        <v>9</v>
      </c>
      <c r="H2872" s="66" t="str">
        <f>TEXT(Data[[#This Row],[Buchung]],"MMM")</f>
        <v>Nov</v>
      </c>
      <c r="I2872" s="67">
        <f>YEAR(Data[[#This Row],[Buchung]])</f>
        <v>2022</v>
      </c>
      <c r="J2872" s="2">
        <f>ABS(Data[[#This Row],[Betrag]])</f>
        <v>1000</v>
      </c>
      <c r="K2872" s="66" t="str">
        <f>IF(Data[[#This Row],[Betrag]]&lt;0,"A","E")</f>
        <v>E</v>
      </c>
    </row>
    <row r="2873" spans="1:11" x14ac:dyDescent="0.25">
      <c r="A2873" s="1">
        <v>44876</v>
      </c>
      <c r="B2873" s="66" t="s">
        <v>48</v>
      </c>
      <c r="C2873" s="66" t="s">
        <v>49</v>
      </c>
      <c r="D2873" t="s">
        <v>50</v>
      </c>
      <c r="E2873">
        <v>-15</v>
      </c>
      <c r="F2873" s="66" t="s">
        <v>7</v>
      </c>
      <c r="G2873" s="66" t="s">
        <v>8</v>
      </c>
      <c r="H2873" s="66" t="str">
        <f>TEXT(Data[[#This Row],[Buchung]],"MMM")</f>
        <v>Nov</v>
      </c>
      <c r="I2873" s="67">
        <f>YEAR(Data[[#This Row],[Buchung]])</f>
        <v>2022</v>
      </c>
      <c r="J2873" s="2">
        <f>ABS(Data[[#This Row],[Betrag]])</f>
        <v>15</v>
      </c>
      <c r="K2873" s="66" t="str">
        <f>IF(Data[[#This Row],[Betrag]]&lt;0,"A","E")</f>
        <v>A</v>
      </c>
    </row>
    <row r="2874" spans="1:11" x14ac:dyDescent="0.25">
      <c r="A2874" s="1">
        <v>44877</v>
      </c>
      <c r="B2874" s="66" t="s">
        <v>51</v>
      </c>
      <c r="C2874" s="66" t="s">
        <v>52</v>
      </c>
      <c r="D2874" t="s">
        <v>53</v>
      </c>
      <c r="E2874">
        <v>-350</v>
      </c>
      <c r="F2874" s="66" t="s">
        <v>7</v>
      </c>
      <c r="G2874" s="66" t="s">
        <v>11</v>
      </c>
      <c r="H2874" s="66" t="str">
        <f>TEXT(Data[[#This Row],[Buchung]],"MMM")</f>
        <v>Nov</v>
      </c>
      <c r="I2874" s="67">
        <f>YEAR(Data[[#This Row],[Buchung]])</f>
        <v>2022</v>
      </c>
      <c r="J2874" s="2">
        <f>ABS(Data[[#This Row],[Betrag]])</f>
        <v>350</v>
      </c>
      <c r="K2874" s="66" t="str">
        <f>IF(Data[[#This Row],[Betrag]]&lt;0,"A","E")</f>
        <v>A</v>
      </c>
    </row>
    <row r="2875" spans="1:11" x14ac:dyDescent="0.25">
      <c r="A2875" s="1">
        <v>44878</v>
      </c>
      <c r="B2875" s="66" t="s">
        <v>54</v>
      </c>
      <c r="C2875" s="66" t="s">
        <v>55</v>
      </c>
      <c r="D2875" t="s">
        <v>56</v>
      </c>
      <c r="E2875">
        <v>-120</v>
      </c>
      <c r="F2875" s="66" t="s">
        <v>7</v>
      </c>
      <c r="G2875" s="66" t="s">
        <v>57</v>
      </c>
      <c r="H2875" s="66" t="str">
        <f>TEXT(Data[[#This Row],[Buchung]],"MMM")</f>
        <v>Nov</v>
      </c>
      <c r="I2875" s="67">
        <f>YEAR(Data[[#This Row],[Buchung]])</f>
        <v>2022</v>
      </c>
      <c r="J2875" s="2">
        <f>ABS(Data[[#This Row],[Betrag]])</f>
        <v>120</v>
      </c>
      <c r="K2875" s="66" t="str">
        <f>IF(Data[[#This Row],[Betrag]]&lt;0,"A","E")</f>
        <v>A</v>
      </c>
    </row>
    <row r="2876" spans="1:11" x14ac:dyDescent="0.25">
      <c r="A2876" s="1">
        <v>44879</v>
      </c>
      <c r="B2876" s="66" t="s">
        <v>58</v>
      </c>
      <c r="C2876" s="66" t="s">
        <v>59</v>
      </c>
      <c r="D2876" t="s">
        <v>60</v>
      </c>
      <c r="E2876">
        <v>-50</v>
      </c>
      <c r="F2876" s="66" t="s">
        <v>7</v>
      </c>
      <c r="G2876" s="66" t="s">
        <v>10</v>
      </c>
      <c r="H2876" s="66" t="str">
        <f>TEXT(Data[[#This Row],[Buchung]],"MMM")</f>
        <v>Nov</v>
      </c>
      <c r="I2876" s="67">
        <f>YEAR(Data[[#This Row],[Buchung]])</f>
        <v>2022</v>
      </c>
      <c r="J2876" s="2">
        <f>ABS(Data[[#This Row],[Betrag]])</f>
        <v>50</v>
      </c>
      <c r="K2876" s="66" t="str">
        <f>IF(Data[[#This Row],[Betrag]]&lt;0,"A","E")</f>
        <v>A</v>
      </c>
    </row>
    <row r="2877" spans="1:11" x14ac:dyDescent="0.25">
      <c r="A2877" s="1">
        <v>44880</v>
      </c>
      <c r="B2877" s="66" t="s">
        <v>45</v>
      </c>
      <c r="C2877" s="66" t="s">
        <v>46</v>
      </c>
      <c r="D2877" t="s">
        <v>47</v>
      </c>
      <c r="E2877">
        <v>1000</v>
      </c>
      <c r="F2877" s="66" t="s">
        <v>7</v>
      </c>
      <c r="G2877" s="66" t="s">
        <v>9</v>
      </c>
      <c r="H2877" s="66" t="str">
        <f>TEXT(Data[[#This Row],[Buchung]],"MMM")</f>
        <v>Nov</v>
      </c>
      <c r="I2877" s="67">
        <f>YEAR(Data[[#This Row],[Buchung]])</f>
        <v>2022</v>
      </c>
      <c r="J2877" s="2">
        <f>ABS(Data[[#This Row],[Betrag]])</f>
        <v>1000</v>
      </c>
      <c r="K2877" s="66" t="str">
        <f>IF(Data[[#This Row],[Betrag]]&lt;0,"A","E")</f>
        <v>E</v>
      </c>
    </row>
    <row r="2878" spans="1:11" x14ac:dyDescent="0.25">
      <c r="A2878" s="1">
        <v>44881</v>
      </c>
      <c r="B2878" s="66" t="s">
        <v>61</v>
      </c>
      <c r="C2878" s="66" t="s">
        <v>49</v>
      </c>
      <c r="D2878" t="s">
        <v>62</v>
      </c>
      <c r="E2878">
        <v>-10</v>
      </c>
      <c r="F2878" s="66" t="s">
        <v>7</v>
      </c>
      <c r="G2878" s="66" t="s">
        <v>8</v>
      </c>
      <c r="H2878" s="66" t="str">
        <f>TEXT(Data[[#This Row],[Buchung]],"MMM")</f>
        <v>Nov</v>
      </c>
      <c r="I2878" s="67">
        <f>YEAR(Data[[#This Row],[Buchung]])</f>
        <v>2022</v>
      </c>
      <c r="J2878" s="2">
        <f>ABS(Data[[#This Row],[Betrag]])</f>
        <v>10</v>
      </c>
      <c r="K2878" s="66" t="str">
        <f>IF(Data[[#This Row],[Betrag]]&lt;0,"A","E")</f>
        <v>A</v>
      </c>
    </row>
    <row r="2879" spans="1:11" x14ac:dyDescent="0.25">
      <c r="A2879" s="1">
        <v>44882</v>
      </c>
      <c r="B2879" s="66" t="s">
        <v>63</v>
      </c>
      <c r="C2879" s="66" t="s">
        <v>64</v>
      </c>
      <c r="D2879" t="s">
        <v>65</v>
      </c>
      <c r="E2879">
        <v>-60</v>
      </c>
      <c r="F2879" s="66" t="s">
        <v>7</v>
      </c>
      <c r="G2879" s="66" t="s">
        <v>11</v>
      </c>
      <c r="H2879" s="66" t="str">
        <f>TEXT(Data[[#This Row],[Buchung]],"MMM")</f>
        <v>Nov</v>
      </c>
      <c r="I2879" s="67">
        <f>YEAR(Data[[#This Row],[Buchung]])</f>
        <v>2022</v>
      </c>
      <c r="J2879" s="2">
        <f>ABS(Data[[#This Row],[Betrag]])</f>
        <v>60</v>
      </c>
      <c r="K2879" s="66" t="str">
        <f>IF(Data[[#This Row],[Betrag]]&lt;0,"A","E")</f>
        <v>A</v>
      </c>
    </row>
    <row r="2880" spans="1:11" x14ac:dyDescent="0.25">
      <c r="A2880" s="1">
        <v>44883</v>
      </c>
      <c r="B2880" s="66" t="s">
        <v>54</v>
      </c>
      <c r="C2880" s="66" t="s">
        <v>55</v>
      </c>
      <c r="D2880" t="s">
        <v>66</v>
      </c>
      <c r="E2880">
        <v>-80</v>
      </c>
      <c r="F2880" s="66" t="s">
        <v>7</v>
      </c>
      <c r="G2880" s="66" t="s">
        <v>57</v>
      </c>
      <c r="H2880" s="66" t="str">
        <f>TEXT(Data[[#This Row],[Buchung]],"MMM")</f>
        <v>Nov</v>
      </c>
      <c r="I2880" s="67">
        <f>YEAR(Data[[#This Row],[Buchung]])</f>
        <v>2022</v>
      </c>
      <c r="J2880" s="2">
        <f>ABS(Data[[#This Row],[Betrag]])</f>
        <v>80</v>
      </c>
      <c r="K2880" s="66" t="str">
        <f>IF(Data[[#This Row],[Betrag]]&lt;0,"A","E")</f>
        <v>A</v>
      </c>
    </row>
    <row r="2881" spans="1:11" x14ac:dyDescent="0.25">
      <c r="A2881" s="1">
        <v>44884</v>
      </c>
      <c r="B2881" s="66" t="s">
        <v>67</v>
      </c>
      <c r="C2881" s="66" t="s">
        <v>59</v>
      </c>
      <c r="D2881" t="s">
        <v>68</v>
      </c>
      <c r="E2881">
        <v>-20</v>
      </c>
      <c r="F2881" s="66" t="s">
        <v>7</v>
      </c>
      <c r="G2881" s="66" t="s">
        <v>10</v>
      </c>
      <c r="H2881" s="66" t="str">
        <f>TEXT(Data[[#This Row],[Buchung]],"MMM")</f>
        <v>Nov</v>
      </c>
      <c r="I2881" s="67">
        <f>YEAR(Data[[#This Row],[Buchung]])</f>
        <v>2022</v>
      </c>
      <c r="J2881" s="2">
        <f>ABS(Data[[#This Row],[Betrag]])</f>
        <v>20</v>
      </c>
      <c r="K2881" s="66" t="str">
        <f>IF(Data[[#This Row],[Betrag]]&lt;0,"A","E")</f>
        <v>A</v>
      </c>
    </row>
    <row r="2882" spans="1:11" x14ac:dyDescent="0.25">
      <c r="A2882" s="1">
        <v>44885</v>
      </c>
      <c r="B2882" s="66" t="s">
        <v>45</v>
      </c>
      <c r="C2882" s="66" t="s">
        <v>46</v>
      </c>
      <c r="D2882" t="s">
        <v>47</v>
      </c>
      <c r="E2882">
        <v>1000</v>
      </c>
      <c r="F2882" s="66" t="s">
        <v>7</v>
      </c>
      <c r="G2882" s="66" t="s">
        <v>9</v>
      </c>
      <c r="H2882" s="66" t="str">
        <f>TEXT(Data[[#This Row],[Buchung]],"MMM")</f>
        <v>Nov</v>
      </c>
      <c r="I2882" s="67">
        <f>YEAR(Data[[#This Row],[Buchung]])</f>
        <v>2022</v>
      </c>
      <c r="J2882" s="2">
        <f>ABS(Data[[#This Row],[Betrag]])</f>
        <v>1000</v>
      </c>
      <c r="K2882" s="66" t="str">
        <f>IF(Data[[#This Row],[Betrag]]&lt;0,"A","E")</f>
        <v>E</v>
      </c>
    </row>
    <row r="2883" spans="1:11" x14ac:dyDescent="0.25">
      <c r="A2883" s="1">
        <v>44886</v>
      </c>
      <c r="B2883" s="66" t="s">
        <v>48</v>
      </c>
      <c r="C2883" s="66" t="s">
        <v>49</v>
      </c>
      <c r="D2883" t="s">
        <v>50</v>
      </c>
      <c r="E2883">
        <v>-15</v>
      </c>
      <c r="F2883" s="66" t="s">
        <v>7</v>
      </c>
      <c r="G2883" s="66" t="s">
        <v>8</v>
      </c>
      <c r="H2883" s="66" t="str">
        <f>TEXT(Data[[#This Row],[Buchung]],"MMM")</f>
        <v>Nov</v>
      </c>
      <c r="I2883" s="67">
        <f>YEAR(Data[[#This Row],[Buchung]])</f>
        <v>2022</v>
      </c>
      <c r="J2883" s="2">
        <f>ABS(Data[[#This Row],[Betrag]])</f>
        <v>15</v>
      </c>
      <c r="K2883" s="66" t="str">
        <f>IF(Data[[#This Row],[Betrag]]&lt;0,"A","E")</f>
        <v>A</v>
      </c>
    </row>
    <row r="2884" spans="1:11" x14ac:dyDescent="0.25">
      <c r="A2884" s="1">
        <v>44887</v>
      </c>
      <c r="B2884" s="66" t="s">
        <v>51</v>
      </c>
      <c r="C2884" s="66" t="s">
        <v>52</v>
      </c>
      <c r="D2884" t="s">
        <v>53</v>
      </c>
      <c r="E2884">
        <v>-350</v>
      </c>
      <c r="F2884" s="66" t="s">
        <v>7</v>
      </c>
      <c r="G2884" s="66" t="s">
        <v>11</v>
      </c>
      <c r="H2884" s="66" t="str">
        <f>TEXT(Data[[#This Row],[Buchung]],"MMM")</f>
        <v>Nov</v>
      </c>
      <c r="I2884" s="67">
        <f>YEAR(Data[[#This Row],[Buchung]])</f>
        <v>2022</v>
      </c>
      <c r="J2884" s="2">
        <f>ABS(Data[[#This Row],[Betrag]])</f>
        <v>350</v>
      </c>
      <c r="K2884" s="66" t="str">
        <f>IF(Data[[#This Row],[Betrag]]&lt;0,"A","E")</f>
        <v>A</v>
      </c>
    </row>
    <row r="2885" spans="1:11" x14ac:dyDescent="0.25">
      <c r="A2885" s="1">
        <v>44888</v>
      </c>
      <c r="B2885" s="66" t="s">
        <v>54</v>
      </c>
      <c r="C2885" s="66" t="s">
        <v>55</v>
      </c>
      <c r="D2885" t="s">
        <v>56</v>
      </c>
      <c r="E2885">
        <v>-120</v>
      </c>
      <c r="F2885" s="66" t="s">
        <v>7</v>
      </c>
      <c r="G2885" s="66" t="s">
        <v>57</v>
      </c>
      <c r="H2885" s="66" t="str">
        <f>TEXT(Data[[#This Row],[Buchung]],"MMM")</f>
        <v>Nov</v>
      </c>
      <c r="I2885" s="67">
        <f>YEAR(Data[[#This Row],[Buchung]])</f>
        <v>2022</v>
      </c>
      <c r="J2885" s="2">
        <f>ABS(Data[[#This Row],[Betrag]])</f>
        <v>120</v>
      </c>
      <c r="K2885" s="66" t="str">
        <f>IF(Data[[#This Row],[Betrag]]&lt;0,"A","E")</f>
        <v>A</v>
      </c>
    </row>
    <row r="2886" spans="1:11" x14ac:dyDescent="0.25">
      <c r="A2886" s="1">
        <v>44889</v>
      </c>
      <c r="B2886" s="66" t="s">
        <v>58</v>
      </c>
      <c r="C2886" s="66" t="s">
        <v>59</v>
      </c>
      <c r="D2886" t="s">
        <v>60</v>
      </c>
      <c r="E2886">
        <v>-60</v>
      </c>
      <c r="F2886" s="66" t="s">
        <v>7</v>
      </c>
      <c r="G2886" s="66" t="s">
        <v>10</v>
      </c>
      <c r="H2886" s="66" t="str">
        <f>TEXT(Data[[#This Row],[Buchung]],"MMM")</f>
        <v>Nov</v>
      </c>
      <c r="I2886" s="67">
        <f>YEAR(Data[[#This Row],[Buchung]])</f>
        <v>2022</v>
      </c>
      <c r="J2886" s="2">
        <f>ABS(Data[[#This Row],[Betrag]])</f>
        <v>60</v>
      </c>
      <c r="K2886" s="66" t="str">
        <f>IF(Data[[#This Row],[Betrag]]&lt;0,"A","E")</f>
        <v>A</v>
      </c>
    </row>
    <row r="2887" spans="1:11" x14ac:dyDescent="0.25">
      <c r="A2887" s="1">
        <v>44890</v>
      </c>
      <c r="B2887" s="66" t="s">
        <v>45</v>
      </c>
      <c r="C2887" s="66" t="s">
        <v>46</v>
      </c>
      <c r="D2887" t="s">
        <v>47</v>
      </c>
      <c r="E2887">
        <v>1000</v>
      </c>
      <c r="F2887" s="66" t="s">
        <v>7</v>
      </c>
      <c r="G2887" s="66" t="s">
        <v>9</v>
      </c>
      <c r="H2887" s="66" t="str">
        <f>TEXT(Data[[#This Row],[Buchung]],"MMM")</f>
        <v>Nov</v>
      </c>
      <c r="I2887" s="67">
        <f>YEAR(Data[[#This Row],[Buchung]])</f>
        <v>2022</v>
      </c>
      <c r="J2887" s="2">
        <f>ABS(Data[[#This Row],[Betrag]])</f>
        <v>1000</v>
      </c>
      <c r="K2887" s="66" t="str">
        <f>IF(Data[[#This Row],[Betrag]]&lt;0,"A","E")</f>
        <v>E</v>
      </c>
    </row>
    <row r="2888" spans="1:11" x14ac:dyDescent="0.25">
      <c r="A2888" s="1">
        <v>44891</v>
      </c>
      <c r="B2888" s="66" t="s">
        <v>61</v>
      </c>
      <c r="C2888" s="66" t="s">
        <v>49</v>
      </c>
      <c r="D2888" t="s">
        <v>62</v>
      </c>
      <c r="E2888">
        <v>-10</v>
      </c>
      <c r="F2888" s="66" t="s">
        <v>7</v>
      </c>
      <c r="G2888" s="66" t="s">
        <v>8</v>
      </c>
      <c r="H2888" s="66" t="str">
        <f>TEXT(Data[[#This Row],[Buchung]],"MMM")</f>
        <v>Nov</v>
      </c>
      <c r="I2888" s="67">
        <f>YEAR(Data[[#This Row],[Buchung]])</f>
        <v>2022</v>
      </c>
      <c r="J2888" s="2">
        <f>ABS(Data[[#This Row],[Betrag]])</f>
        <v>10</v>
      </c>
      <c r="K2888" s="66" t="str">
        <f>IF(Data[[#This Row],[Betrag]]&lt;0,"A","E")</f>
        <v>A</v>
      </c>
    </row>
    <row r="2889" spans="1:11" x14ac:dyDescent="0.25">
      <c r="A2889" s="1">
        <v>44892</v>
      </c>
      <c r="B2889" s="66" t="s">
        <v>63</v>
      </c>
      <c r="C2889" s="66" t="s">
        <v>64</v>
      </c>
      <c r="D2889" t="s">
        <v>65</v>
      </c>
      <c r="E2889">
        <v>-70</v>
      </c>
      <c r="F2889" s="66" t="s">
        <v>7</v>
      </c>
      <c r="G2889" s="66" t="s">
        <v>11</v>
      </c>
      <c r="H2889" s="66" t="str">
        <f>TEXT(Data[[#This Row],[Buchung]],"MMM")</f>
        <v>Nov</v>
      </c>
      <c r="I2889" s="67">
        <f>YEAR(Data[[#This Row],[Buchung]])</f>
        <v>2022</v>
      </c>
      <c r="J2889" s="2">
        <f>ABS(Data[[#This Row],[Betrag]])</f>
        <v>70</v>
      </c>
      <c r="K2889" s="66" t="str">
        <f>IF(Data[[#This Row],[Betrag]]&lt;0,"A","E")</f>
        <v>A</v>
      </c>
    </row>
    <row r="2890" spans="1:11" x14ac:dyDescent="0.25">
      <c r="A2890" s="1">
        <v>44893</v>
      </c>
      <c r="B2890" s="66" t="s">
        <v>54</v>
      </c>
      <c r="C2890" s="66" t="s">
        <v>55</v>
      </c>
      <c r="D2890" t="s">
        <v>66</v>
      </c>
      <c r="E2890">
        <v>-80</v>
      </c>
      <c r="F2890" s="66" t="s">
        <v>7</v>
      </c>
      <c r="G2890" s="66" t="s">
        <v>57</v>
      </c>
      <c r="H2890" s="66" t="str">
        <f>TEXT(Data[[#This Row],[Buchung]],"MMM")</f>
        <v>Nov</v>
      </c>
      <c r="I2890" s="67">
        <f>YEAR(Data[[#This Row],[Buchung]])</f>
        <v>2022</v>
      </c>
      <c r="J2890" s="2">
        <f>ABS(Data[[#This Row],[Betrag]])</f>
        <v>80</v>
      </c>
      <c r="K2890" s="66" t="str">
        <f>IF(Data[[#This Row],[Betrag]]&lt;0,"A","E")</f>
        <v>A</v>
      </c>
    </row>
    <row r="2891" spans="1:11" x14ac:dyDescent="0.25">
      <c r="A2891" s="1">
        <v>44894</v>
      </c>
      <c r="B2891" s="66" t="s">
        <v>67</v>
      </c>
      <c r="C2891" s="66" t="s">
        <v>59</v>
      </c>
      <c r="D2891" t="s">
        <v>68</v>
      </c>
      <c r="E2891">
        <v>-25</v>
      </c>
      <c r="F2891" s="66" t="s">
        <v>7</v>
      </c>
      <c r="G2891" s="66" t="s">
        <v>10</v>
      </c>
      <c r="H2891" s="66" t="str">
        <f>TEXT(Data[[#This Row],[Buchung]],"MMM")</f>
        <v>Nov</v>
      </c>
      <c r="I2891" s="67">
        <f>YEAR(Data[[#This Row],[Buchung]])</f>
        <v>2022</v>
      </c>
      <c r="J2891" s="2">
        <f>ABS(Data[[#This Row],[Betrag]])</f>
        <v>25</v>
      </c>
      <c r="K2891" s="66" t="str">
        <f>IF(Data[[#This Row],[Betrag]]&lt;0,"A","E")</f>
        <v>A</v>
      </c>
    </row>
    <row r="2892" spans="1:11" x14ac:dyDescent="0.25">
      <c r="A2892" s="1">
        <v>44895</v>
      </c>
      <c r="B2892" s="66" t="s">
        <v>45</v>
      </c>
      <c r="C2892" s="66" t="s">
        <v>46</v>
      </c>
      <c r="D2892" t="s">
        <v>47</v>
      </c>
      <c r="E2892">
        <v>1000</v>
      </c>
      <c r="F2892" s="66" t="s">
        <v>7</v>
      </c>
      <c r="G2892" s="66" t="s">
        <v>9</v>
      </c>
      <c r="H2892" s="66" t="str">
        <f>TEXT(Data[[#This Row],[Buchung]],"MMM")</f>
        <v>Nov</v>
      </c>
      <c r="I2892" s="67">
        <f>YEAR(Data[[#This Row],[Buchung]])</f>
        <v>2022</v>
      </c>
      <c r="J2892" s="2">
        <f>ABS(Data[[#This Row],[Betrag]])</f>
        <v>1000</v>
      </c>
      <c r="K2892" s="66" t="str">
        <f>IF(Data[[#This Row],[Betrag]]&lt;0,"A","E")</f>
        <v>E</v>
      </c>
    </row>
    <row r="2893" spans="1:11" x14ac:dyDescent="0.25">
      <c r="A2893" s="1">
        <v>44896</v>
      </c>
      <c r="B2893" s="66" t="s">
        <v>48</v>
      </c>
      <c r="C2893" s="66" t="s">
        <v>49</v>
      </c>
      <c r="D2893" t="s">
        <v>50</v>
      </c>
      <c r="E2893">
        <v>-15</v>
      </c>
      <c r="F2893" s="66" t="s">
        <v>7</v>
      </c>
      <c r="G2893" s="66" t="s">
        <v>8</v>
      </c>
      <c r="H2893" s="66" t="str">
        <f>TEXT(Data[[#This Row],[Buchung]],"MMM")</f>
        <v>Dez</v>
      </c>
      <c r="I2893" s="67">
        <f>YEAR(Data[[#This Row],[Buchung]])</f>
        <v>2022</v>
      </c>
      <c r="J2893" s="2">
        <f>ABS(Data[[#This Row],[Betrag]])</f>
        <v>15</v>
      </c>
      <c r="K2893" s="66" t="str">
        <f>IF(Data[[#This Row],[Betrag]]&lt;0,"A","E")</f>
        <v>A</v>
      </c>
    </row>
    <row r="2894" spans="1:11" x14ac:dyDescent="0.25">
      <c r="A2894" s="1">
        <v>44897</v>
      </c>
      <c r="B2894" s="66" t="s">
        <v>51</v>
      </c>
      <c r="C2894" s="66" t="s">
        <v>52</v>
      </c>
      <c r="D2894" t="s">
        <v>53</v>
      </c>
      <c r="E2894">
        <v>-350</v>
      </c>
      <c r="F2894" s="66" t="s">
        <v>7</v>
      </c>
      <c r="G2894" s="66" t="s">
        <v>11</v>
      </c>
      <c r="H2894" s="66" t="str">
        <f>TEXT(Data[[#This Row],[Buchung]],"MMM")</f>
        <v>Dez</v>
      </c>
      <c r="I2894" s="67">
        <f>YEAR(Data[[#This Row],[Buchung]])</f>
        <v>2022</v>
      </c>
      <c r="J2894" s="2">
        <f>ABS(Data[[#This Row],[Betrag]])</f>
        <v>350</v>
      </c>
      <c r="K2894" s="66" t="str">
        <f>IF(Data[[#This Row],[Betrag]]&lt;0,"A","E")</f>
        <v>A</v>
      </c>
    </row>
    <row r="2895" spans="1:11" x14ac:dyDescent="0.25">
      <c r="A2895" s="1">
        <v>44898</v>
      </c>
      <c r="B2895" s="66" t="s">
        <v>54</v>
      </c>
      <c r="C2895" s="66" t="s">
        <v>55</v>
      </c>
      <c r="D2895" t="s">
        <v>56</v>
      </c>
      <c r="E2895">
        <v>-120</v>
      </c>
      <c r="F2895" s="66" t="s">
        <v>7</v>
      </c>
      <c r="G2895" s="66" t="s">
        <v>57</v>
      </c>
      <c r="H2895" s="66" t="str">
        <f>TEXT(Data[[#This Row],[Buchung]],"MMM")</f>
        <v>Dez</v>
      </c>
      <c r="I2895" s="67">
        <f>YEAR(Data[[#This Row],[Buchung]])</f>
        <v>2022</v>
      </c>
      <c r="J2895" s="2">
        <f>ABS(Data[[#This Row],[Betrag]])</f>
        <v>120</v>
      </c>
      <c r="K2895" s="66" t="str">
        <f>IF(Data[[#This Row],[Betrag]]&lt;0,"A","E")</f>
        <v>A</v>
      </c>
    </row>
    <row r="2896" spans="1:11" x14ac:dyDescent="0.25">
      <c r="A2896" s="1">
        <v>44899</v>
      </c>
      <c r="B2896" s="66" t="s">
        <v>58</v>
      </c>
      <c r="C2896" s="66" t="s">
        <v>59</v>
      </c>
      <c r="D2896" t="s">
        <v>60</v>
      </c>
      <c r="E2896">
        <v>-70</v>
      </c>
      <c r="F2896" s="66" t="s">
        <v>7</v>
      </c>
      <c r="G2896" s="66" t="s">
        <v>10</v>
      </c>
      <c r="H2896" s="66" t="str">
        <f>TEXT(Data[[#This Row],[Buchung]],"MMM")</f>
        <v>Dez</v>
      </c>
      <c r="I2896" s="67">
        <f>YEAR(Data[[#This Row],[Buchung]])</f>
        <v>2022</v>
      </c>
      <c r="J2896" s="2">
        <f>ABS(Data[[#This Row],[Betrag]])</f>
        <v>70</v>
      </c>
      <c r="K2896" s="66" t="str">
        <f>IF(Data[[#This Row],[Betrag]]&lt;0,"A","E")</f>
        <v>A</v>
      </c>
    </row>
    <row r="2897" spans="1:11" x14ac:dyDescent="0.25">
      <c r="A2897" s="1">
        <v>44900</v>
      </c>
      <c r="B2897" s="66" t="s">
        <v>45</v>
      </c>
      <c r="C2897" s="66" t="s">
        <v>46</v>
      </c>
      <c r="D2897" t="s">
        <v>47</v>
      </c>
      <c r="E2897">
        <v>1000</v>
      </c>
      <c r="F2897" s="66" t="s">
        <v>7</v>
      </c>
      <c r="G2897" s="66" t="s">
        <v>9</v>
      </c>
      <c r="H2897" s="66" t="str">
        <f>TEXT(Data[[#This Row],[Buchung]],"MMM")</f>
        <v>Dez</v>
      </c>
      <c r="I2897" s="67">
        <f>YEAR(Data[[#This Row],[Buchung]])</f>
        <v>2022</v>
      </c>
      <c r="J2897" s="2">
        <f>ABS(Data[[#This Row],[Betrag]])</f>
        <v>1000</v>
      </c>
      <c r="K2897" s="66" t="str">
        <f>IF(Data[[#This Row],[Betrag]]&lt;0,"A","E")</f>
        <v>E</v>
      </c>
    </row>
    <row r="2898" spans="1:11" x14ac:dyDescent="0.25">
      <c r="A2898" s="1">
        <v>44901</v>
      </c>
      <c r="B2898" s="66" t="s">
        <v>61</v>
      </c>
      <c r="C2898" s="66" t="s">
        <v>49</v>
      </c>
      <c r="D2898" t="s">
        <v>62</v>
      </c>
      <c r="E2898">
        <v>-10</v>
      </c>
      <c r="F2898" s="66" t="s">
        <v>7</v>
      </c>
      <c r="G2898" s="66" t="s">
        <v>8</v>
      </c>
      <c r="H2898" s="66" t="str">
        <f>TEXT(Data[[#This Row],[Buchung]],"MMM")</f>
        <v>Dez</v>
      </c>
      <c r="I2898" s="67">
        <f>YEAR(Data[[#This Row],[Buchung]])</f>
        <v>2022</v>
      </c>
      <c r="J2898" s="2">
        <f>ABS(Data[[#This Row],[Betrag]])</f>
        <v>10</v>
      </c>
      <c r="K2898" s="66" t="str">
        <f>IF(Data[[#This Row],[Betrag]]&lt;0,"A","E")</f>
        <v>A</v>
      </c>
    </row>
    <row r="2899" spans="1:11" x14ac:dyDescent="0.25">
      <c r="A2899" s="1">
        <v>44902</v>
      </c>
      <c r="B2899" s="66" t="s">
        <v>63</v>
      </c>
      <c r="C2899" s="66" t="s">
        <v>64</v>
      </c>
      <c r="D2899" t="s">
        <v>65</v>
      </c>
      <c r="E2899">
        <v>-60</v>
      </c>
      <c r="F2899" s="66" t="s">
        <v>7</v>
      </c>
      <c r="G2899" s="66" t="s">
        <v>11</v>
      </c>
      <c r="H2899" s="66" t="str">
        <f>TEXT(Data[[#This Row],[Buchung]],"MMM")</f>
        <v>Dez</v>
      </c>
      <c r="I2899" s="67">
        <f>YEAR(Data[[#This Row],[Buchung]])</f>
        <v>2022</v>
      </c>
      <c r="J2899" s="2">
        <f>ABS(Data[[#This Row],[Betrag]])</f>
        <v>60</v>
      </c>
      <c r="K2899" s="66" t="str">
        <f>IF(Data[[#This Row],[Betrag]]&lt;0,"A","E")</f>
        <v>A</v>
      </c>
    </row>
    <row r="2900" spans="1:11" x14ac:dyDescent="0.25">
      <c r="A2900" s="1">
        <v>44903</v>
      </c>
      <c r="B2900" s="66" t="s">
        <v>54</v>
      </c>
      <c r="C2900" s="66" t="s">
        <v>55</v>
      </c>
      <c r="D2900" t="s">
        <v>66</v>
      </c>
      <c r="E2900">
        <v>-80</v>
      </c>
      <c r="F2900" s="66" t="s">
        <v>7</v>
      </c>
      <c r="G2900" s="66" t="s">
        <v>57</v>
      </c>
      <c r="H2900" s="66" t="str">
        <f>TEXT(Data[[#This Row],[Buchung]],"MMM")</f>
        <v>Dez</v>
      </c>
      <c r="I2900" s="67">
        <f>YEAR(Data[[#This Row],[Buchung]])</f>
        <v>2022</v>
      </c>
      <c r="J2900" s="2">
        <f>ABS(Data[[#This Row],[Betrag]])</f>
        <v>80</v>
      </c>
      <c r="K2900" s="66" t="str">
        <f>IF(Data[[#This Row],[Betrag]]&lt;0,"A","E")</f>
        <v>A</v>
      </c>
    </row>
    <row r="2901" spans="1:11" x14ac:dyDescent="0.25">
      <c r="A2901" s="1">
        <v>44904</v>
      </c>
      <c r="B2901" s="66" t="s">
        <v>67</v>
      </c>
      <c r="C2901" s="66" t="s">
        <v>59</v>
      </c>
      <c r="D2901" t="s">
        <v>68</v>
      </c>
      <c r="E2901">
        <v>-30</v>
      </c>
      <c r="F2901" s="66" t="s">
        <v>7</v>
      </c>
      <c r="G2901" s="66" t="s">
        <v>10</v>
      </c>
      <c r="H2901" s="66" t="str">
        <f>TEXT(Data[[#This Row],[Buchung]],"MMM")</f>
        <v>Dez</v>
      </c>
      <c r="I2901" s="67">
        <f>YEAR(Data[[#This Row],[Buchung]])</f>
        <v>2022</v>
      </c>
      <c r="J2901" s="2">
        <f>ABS(Data[[#This Row],[Betrag]])</f>
        <v>30</v>
      </c>
      <c r="K2901" s="66" t="str">
        <f>IF(Data[[#This Row],[Betrag]]&lt;0,"A","E")</f>
        <v>A</v>
      </c>
    </row>
    <row r="2902" spans="1:11" x14ac:dyDescent="0.25">
      <c r="A2902" s="1">
        <v>44905</v>
      </c>
      <c r="B2902" s="66" t="s">
        <v>45</v>
      </c>
      <c r="C2902" s="66" t="s">
        <v>46</v>
      </c>
      <c r="D2902" t="s">
        <v>47</v>
      </c>
      <c r="E2902">
        <v>1000</v>
      </c>
      <c r="F2902" s="66" t="s">
        <v>7</v>
      </c>
      <c r="G2902" s="66" t="s">
        <v>9</v>
      </c>
      <c r="H2902" s="66" t="str">
        <f>TEXT(Data[[#This Row],[Buchung]],"MMM")</f>
        <v>Dez</v>
      </c>
      <c r="I2902" s="67">
        <f>YEAR(Data[[#This Row],[Buchung]])</f>
        <v>2022</v>
      </c>
      <c r="J2902" s="2">
        <f>ABS(Data[[#This Row],[Betrag]])</f>
        <v>1000</v>
      </c>
      <c r="K2902" s="66" t="str">
        <f>IF(Data[[#This Row],[Betrag]]&lt;0,"A","E")</f>
        <v>E</v>
      </c>
    </row>
    <row r="2903" spans="1:11" x14ac:dyDescent="0.25">
      <c r="A2903" s="1">
        <v>44906</v>
      </c>
      <c r="B2903" s="66" t="s">
        <v>48</v>
      </c>
      <c r="C2903" s="66" t="s">
        <v>49</v>
      </c>
      <c r="D2903" t="s">
        <v>50</v>
      </c>
      <c r="E2903">
        <v>-15</v>
      </c>
      <c r="F2903" s="66" t="s">
        <v>7</v>
      </c>
      <c r="G2903" s="66" t="s">
        <v>8</v>
      </c>
      <c r="H2903" s="66" t="str">
        <f>TEXT(Data[[#This Row],[Buchung]],"MMM")</f>
        <v>Dez</v>
      </c>
      <c r="I2903" s="67">
        <f>YEAR(Data[[#This Row],[Buchung]])</f>
        <v>2022</v>
      </c>
      <c r="J2903" s="2">
        <f>ABS(Data[[#This Row],[Betrag]])</f>
        <v>15</v>
      </c>
      <c r="K2903" s="66" t="str">
        <f>IF(Data[[#This Row],[Betrag]]&lt;0,"A","E")</f>
        <v>A</v>
      </c>
    </row>
    <row r="2904" spans="1:11" x14ac:dyDescent="0.25">
      <c r="A2904" s="1">
        <v>44907</v>
      </c>
      <c r="B2904" s="66" t="s">
        <v>51</v>
      </c>
      <c r="C2904" s="66" t="s">
        <v>52</v>
      </c>
      <c r="D2904" t="s">
        <v>53</v>
      </c>
      <c r="E2904">
        <v>-350</v>
      </c>
      <c r="F2904" s="66" t="s">
        <v>7</v>
      </c>
      <c r="G2904" s="66" t="s">
        <v>11</v>
      </c>
      <c r="H2904" s="66" t="str">
        <f>TEXT(Data[[#This Row],[Buchung]],"MMM")</f>
        <v>Dez</v>
      </c>
      <c r="I2904" s="67">
        <f>YEAR(Data[[#This Row],[Buchung]])</f>
        <v>2022</v>
      </c>
      <c r="J2904" s="2">
        <f>ABS(Data[[#This Row],[Betrag]])</f>
        <v>350</v>
      </c>
      <c r="K2904" s="66" t="str">
        <f>IF(Data[[#This Row],[Betrag]]&lt;0,"A","E")</f>
        <v>A</v>
      </c>
    </row>
    <row r="2905" spans="1:11" x14ac:dyDescent="0.25">
      <c r="A2905" s="1">
        <v>44908</v>
      </c>
      <c r="B2905" s="66" t="s">
        <v>54</v>
      </c>
      <c r="C2905" s="66" t="s">
        <v>55</v>
      </c>
      <c r="D2905" t="s">
        <v>56</v>
      </c>
      <c r="E2905">
        <v>-120</v>
      </c>
      <c r="F2905" s="66" t="s">
        <v>7</v>
      </c>
      <c r="G2905" s="66" t="s">
        <v>57</v>
      </c>
      <c r="H2905" s="66" t="str">
        <f>TEXT(Data[[#This Row],[Buchung]],"MMM")</f>
        <v>Dez</v>
      </c>
      <c r="I2905" s="67">
        <f>YEAR(Data[[#This Row],[Buchung]])</f>
        <v>2022</v>
      </c>
      <c r="J2905" s="2">
        <f>ABS(Data[[#This Row],[Betrag]])</f>
        <v>120</v>
      </c>
      <c r="K2905" s="66" t="str">
        <f>IF(Data[[#This Row],[Betrag]]&lt;0,"A","E")</f>
        <v>A</v>
      </c>
    </row>
    <row r="2906" spans="1:11" x14ac:dyDescent="0.25">
      <c r="A2906" s="1">
        <v>44909</v>
      </c>
      <c r="B2906" s="66" t="s">
        <v>58</v>
      </c>
      <c r="C2906" s="66" t="s">
        <v>59</v>
      </c>
      <c r="D2906" t="s">
        <v>60</v>
      </c>
      <c r="E2906">
        <v>-80</v>
      </c>
      <c r="F2906" s="66" t="s">
        <v>7</v>
      </c>
      <c r="G2906" s="66" t="s">
        <v>10</v>
      </c>
      <c r="H2906" s="66" t="str">
        <f>TEXT(Data[[#This Row],[Buchung]],"MMM")</f>
        <v>Dez</v>
      </c>
      <c r="I2906" s="67">
        <f>YEAR(Data[[#This Row],[Buchung]])</f>
        <v>2022</v>
      </c>
      <c r="J2906" s="2">
        <f>ABS(Data[[#This Row],[Betrag]])</f>
        <v>80</v>
      </c>
      <c r="K2906" s="66" t="str">
        <f>IF(Data[[#This Row],[Betrag]]&lt;0,"A","E")</f>
        <v>A</v>
      </c>
    </row>
    <row r="2907" spans="1:11" x14ac:dyDescent="0.25">
      <c r="A2907" s="1">
        <v>44910</v>
      </c>
      <c r="B2907" s="66" t="s">
        <v>45</v>
      </c>
      <c r="C2907" s="66" t="s">
        <v>46</v>
      </c>
      <c r="D2907" t="s">
        <v>47</v>
      </c>
      <c r="E2907">
        <v>1000</v>
      </c>
      <c r="F2907" s="66" t="s">
        <v>7</v>
      </c>
      <c r="G2907" s="66" t="s">
        <v>9</v>
      </c>
      <c r="H2907" s="66" t="str">
        <f>TEXT(Data[[#This Row],[Buchung]],"MMM")</f>
        <v>Dez</v>
      </c>
      <c r="I2907" s="67">
        <f>YEAR(Data[[#This Row],[Buchung]])</f>
        <v>2022</v>
      </c>
      <c r="J2907" s="2">
        <f>ABS(Data[[#This Row],[Betrag]])</f>
        <v>1000</v>
      </c>
      <c r="K2907" s="66" t="str">
        <f>IF(Data[[#This Row],[Betrag]]&lt;0,"A","E")</f>
        <v>E</v>
      </c>
    </row>
    <row r="2908" spans="1:11" x14ac:dyDescent="0.25">
      <c r="A2908" s="1">
        <v>44911</v>
      </c>
      <c r="B2908" s="66" t="s">
        <v>61</v>
      </c>
      <c r="C2908" s="66" t="s">
        <v>49</v>
      </c>
      <c r="D2908" t="s">
        <v>62</v>
      </c>
      <c r="E2908">
        <v>-10</v>
      </c>
      <c r="F2908" s="66" t="s">
        <v>7</v>
      </c>
      <c r="G2908" s="66" t="s">
        <v>8</v>
      </c>
      <c r="H2908" s="66" t="str">
        <f>TEXT(Data[[#This Row],[Buchung]],"MMM")</f>
        <v>Dez</v>
      </c>
      <c r="I2908" s="67">
        <f>YEAR(Data[[#This Row],[Buchung]])</f>
        <v>2022</v>
      </c>
      <c r="J2908" s="2">
        <f>ABS(Data[[#This Row],[Betrag]])</f>
        <v>10</v>
      </c>
      <c r="K2908" s="66" t="str">
        <f>IF(Data[[#This Row],[Betrag]]&lt;0,"A","E")</f>
        <v>A</v>
      </c>
    </row>
    <row r="2909" spans="1:11" x14ac:dyDescent="0.25">
      <c r="A2909" s="1">
        <v>44912</v>
      </c>
      <c r="B2909" s="66" t="s">
        <v>63</v>
      </c>
      <c r="C2909" s="66" t="s">
        <v>64</v>
      </c>
      <c r="D2909" t="s">
        <v>65</v>
      </c>
      <c r="E2909">
        <v>-65</v>
      </c>
      <c r="F2909" s="66" t="s">
        <v>7</v>
      </c>
      <c r="G2909" s="66" t="s">
        <v>11</v>
      </c>
      <c r="H2909" s="66" t="str">
        <f>TEXT(Data[[#This Row],[Buchung]],"MMM")</f>
        <v>Dez</v>
      </c>
      <c r="I2909" s="67">
        <f>YEAR(Data[[#This Row],[Buchung]])</f>
        <v>2022</v>
      </c>
      <c r="J2909" s="2">
        <f>ABS(Data[[#This Row],[Betrag]])</f>
        <v>65</v>
      </c>
      <c r="K2909" s="66" t="str">
        <f>IF(Data[[#This Row],[Betrag]]&lt;0,"A","E")</f>
        <v>A</v>
      </c>
    </row>
    <row r="2910" spans="1:11" x14ac:dyDescent="0.25">
      <c r="A2910" s="1">
        <v>44913</v>
      </c>
      <c r="B2910" s="66" t="s">
        <v>54</v>
      </c>
      <c r="C2910" s="66" t="s">
        <v>55</v>
      </c>
      <c r="D2910" t="s">
        <v>66</v>
      </c>
      <c r="E2910">
        <v>-80</v>
      </c>
      <c r="F2910" s="66" t="s">
        <v>7</v>
      </c>
      <c r="G2910" s="66" t="s">
        <v>57</v>
      </c>
      <c r="H2910" s="66" t="str">
        <f>TEXT(Data[[#This Row],[Buchung]],"MMM")</f>
        <v>Dez</v>
      </c>
      <c r="I2910" s="67">
        <f>YEAR(Data[[#This Row],[Buchung]])</f>
        <v>2022</v>
      </c>
      <c r="J2910" s="2">
        <f>ABS(Data[[#This Row],[Betrag]])</f>
        <v>80</v>
      </c>
      <c r="K2910" s="66" t="str">
        <f>IF(Data[[#This Row],[Betrag]]&lt;0,"A","E")</f>
        <v>A</v>
      </c>
    </row>
    <row r="2911" spans="1:11" x14ac:dyDescent="0.25">
      <c r="A2911" s="1">
        <v>44914</v>
      </c>
      <c r="B2911" s="66" t="s">
        <v>67</v>
      </c>
      <c r="C2911" s="66" t="s">
        <v>59</v>
      </c>
      <c r="D2911" t="s">
        <v>68</v>
      </c>
      <c r="E2911">
        <v>-35</v>
      </c>
      <c r="F2911" s="66" t="s">
        <v>7</v>
      </c>
      <c r="G2911" s="66" t="s">
        <v>10</v>
      </c>
      <c r="H2911" s="66" t="str">
        <f>TEXT(Data[[#This Row],[Buchung]],"MMM")</f>
        <v>Dez</v>
      </c>
      <c r="I2911" s="67">
        <f>YEAR(Data[[#This Row],[Buchung]])</f>
        <v>2022</v>
      </c>
      <c r="J2911" s="2">
        <f>ABS(Data[[#This Row],[Betrag]])</f>
        <v>35</v>
      </c>
      <c r="K2911" s="66" t="str">
        <f>IF(Data[[#This Row],[Betrag]]&lt;0,"A","E")</f>
        <v>A</v>
      </c>
    </row>
    <row r="2912" spans="1:11" x14ac:dyDescent="0.25">
      <c r="A2912" s="1">
        <v>44915</v>
      </c>
      <c r="B2912" s="66" t="s">
        <v>45</v>
      </c>
      <c r="C2912" s="66" t="s">
        <v>46</v>
      </c>
      <c r="D2912" t="s">
        <v>47</v>
      </c>
      <c r="E2912">
        <v>1000</v>
      </c>
      <c r="F2912" s="66" t="s">
        <v>7</v>
      </c>
      <c r="G2912" s="66" t="s">
        <v>9</v>
      </c>
      <c r="H2912" s="66" t="str">
        <f>TEXT(Data[[#This Row],[Buchung]],"MMM")</f>
        <v>Dez</v>
      </c>
      <c r="I2912" s="67">
        <f>YEAR(Data[[#This Row],[Buchung]])</f>
        <v>2022</v>
      </c>
      <c r="J2912" s="2">
        <f>ABS(Data[[#This Row],[Betrag]])</f>
        <v>1000</v>
      </c>
      <c r="K2912" s="66" t="str">
        <f>IF(Data[[#This Row],[Betrag]]&lt;0,"A","E")</f>
        <v>E</v>
      </c>
    </row>
    <row r="2913" spans="1:11" x14ac:dyDescent="0.25">
      <c r="A2913" s="1">
        <v>44916</v>
      </c>
      <c r="B2913" s="66" t="s">
        <v>45</v>
      </c>
      <c r="C2913" s="66" t="s">
        <v>46</v>
      </c>
      <c r="D2913" t="s">
        <v>47</v>
      </c>
      <c r="E2913">
        <v>1000</v>
      </c>
      <c r="F2913" s="66" t="s">
        <v>7</v>
      </c>
      <c r="G2913" s="66" t="s">
        <v>9</v>
      </c>
      <c r="H2913" s="66" t="str">
        <f>TEXT(Data[[#This Row],[Buchung]],"MMM")</f>
        <v>Dez</v>
      </c>
      <c r="I2913" s="67">
        <f>YEAR(Data[[#This Row],[Buchung]])</f>
        <v>2022</v>
      </c>
      <c r="J2913" s="2">
        <f>ABS(Data[[#This Row],[Betrag]])</f>
        <v>1000</v>
      </c>
      <c r="K2913" s="66" t="str">
        <f>IF(Data[[#This Row],[Betrag]]&lt;0,"A","E")</f>
        <v>E</v>
      </c>
    </row>
    <row r="2914" spans="1:11" x14ac:dyDescent="0.25">
      <c r="A2914" s="1">
        <v>44917</v>
      </c>
      <c r="B2914" s="66" t="s">
        <v>48</v>
      </c>
      <c r="C2914" s="66" t="s">
        <v>49</v>
      </c>
      <c r="D2914" t="s">
        <v>50</v>
      </c>
      <c r="E2914">
        <v>-15</v>
      </c>
      <c r="F2914" s="66" t="s">
        <v>7</v>
      </c>
      <c r="G2914" s="66" t="s">
        <v>8</v>
      </c>
      <c r="H2914" s="66" t="str">
        <f>TEXT(Data[[#This Row],[Buchung]],"MMM")</f>
        <v>Dez</v>
      </c>
      <c r="I2914" s="67">
        <f>YEAR(Data[[#This Row],[Buchung]])</f>
        <v>2022</v>
      </c>
      <c r="J2914" s="2">
        <f>ABS(Data[[#This Row],[Betrag]])</f>
        <v>15</v>
      </c>
      <c r="K2914" s="66" t="str">
        <f>IF(Data[[#This Row],[Betrag]]&lt;0,"A","E")</f>
        <v>A</v>
      </c>
    </row>
    <row r="2915" spans="1:11" x14ac:dyDescent="0.25">
      <c r="A2915" s="1">
        <v>44918</v>
      </c>
      <c r="B2915" s="66" t="s">
        <v>51</v>
      </c>
      <c r="C2915" s="66" t="s">
        <v>52</v>
      </c>
      <c r="D2915" t="s">
        <v>53</v>
      </c>
      <c r="E2915">
        <v>-350</v>
      </c>
      <c r="F2915" s="66" t="s">
        <v>7</v>
      </c>
      <c r="G2915" s="66" t="s">
        <v>11</v>
      </c>
      <c r="H2915" s="66" t="str">
        <f>TEXT(Data[[#This Row],[Buchung]],"MMM")</f>
        <v>Dez</v>
      </c>
      <c r="I2915" s="67">
        <f>YEAR(Data[[#This Row],[Buchung]])</f>
        <v>2022</v>
      </c>
      <c r="J2915" s="2">
        <f>ABS(Data[[#This Row],[Betrag]])</f>
        <v>350</v>
      </c>
      <c r="K2915" s="66" t="str">
        <f>IF(Data[[#This Row],[Betrag]]&lt;0,"A","E")</f>
        <v>A</v>
      </c>
    </row>
    <row r="2916" spans="1:11" x14ac:dyDescent="0.25">
      <c r="A2916" s="1">
        <v>44919</v>
      </c>
      <c r="B2916" s="66" t="s">
        <v>54</v>
      </c>
      <c r="C2916" s="66" t="s">
        <v>55</v>
      </c>
      <c r="D2916" t="s">
        <v>56</v>
      </c>
      <c r="E2916">
        <v>-120</v>
      </c>
      <c r="F2916" s="66" t="s">
        <v>7</v>
      </c>
      <c r="G2916" s="66" t="s">
        <v>57</v>
      </c>
      <c r="H2916" s="66" t="str">
        <f>TEXT(Data[[#This Row],[Buchung]],"MMM")</f>
        <v>Dez</v>
      </c>
      <c r="I2916" s="67">
        <f>YEAR(Data[[#This Row],[Buchung]])</f>
        <v>2022</v>
      </c>
      <c r="J2916" s="2">
        <f>ABS(Data[[#This Row],[Betrag]])</f>
        <v>120</v>
      </c>
      <c r="K2916" s="66" t="str">
        <f>IF(Data[[#This Row],[Betrag]]&lt;0,"A","E")</f>
        <v>A</v>
      </c>
    </row>
    <row r="2917" spans="1:11" x14ac:dyDescent="0.25">
      <c r="A2917" s="1">
        <v>44920</v>
      </c>
      <c r="B2917" s="66" t="s">
        <v>58</v>
      </c>
      <c r="C2917" s="66" t="s">
        <v>59</v>
      </c>
      <c r="D2917" t="s">
        <v>60</v>
      </c>
      <c r="E2917">
        <v>-50</v>
      </c>
      <c r="F2917" s="66" t="s">
        <v>7</v>
      </c>
      <c r="G2917" s="66" t="s">
        <v>10</v>
      </c>
      <c r="H2917" s="66" t="str">
        <f>TEXT(Data[[#This Row],[Buchung]],"MMM")</f>
        <v>Dez</v>
      </c>
      <c r="I2917" s="67">
        <f>YEAR(Data[[#This Row],[Buchung]])</f>
        <v>2022</v>
      </c>
      <c r="J2917" s="2">
        <f>ABS(Data[[#This Row],[Betrag]])</f>
        <v>50</v>
      </c>
      <c r="K2917" s="66" t="str">
        <f>IF(Data[[#This Row],[Betrag]]&lt;0,"A","E")</f>
        <v>A</v>
      </c>
    </row>
    <row r="2918" spans="1:11" x14ac:dyDescent="0.25">
      <c r="A2918" s="1">
        <v>44921</v>
      </c>
      <c r="B2918" s="66" t="s">
        <v>45</v>
      </c>
      <c r="C2918" s="66" t="s">
        <v>46</v>
      </c>
      <c r="D2918" t="s">
        <v>47</v>
      </c>
      <c r="E2918">
        <v>1000</v>
      </c>
      <c r="F2918" s="66" t="s">
        <v>7</v>
      </c>
      <c r="G2918" s="66" t="s">
        <v>9</v>
      </c>
      <c r="H2918" s="66" t="str">
        <f>TEXT(Data[[#This Row],[Buchung]],"MMM")</f>
        <v>Dez</v>
      </c>
      <c r="I2918" s="67">
        <f>YEAR(Data[[#This Row],[Buchung]])</f>
        <v>2022</v>
      </c>
      <c r="J2918" s="2">
        <f>ABS(Data[[#This Row],[Betrag]])</f>
        <v>1000</v>
      </c>
      <c r="K2918" s="66" t="str">
        <f>IF(Data[[#This Row],[Betrag]]&lt;0,"A","E")</f>
        <v>E</v>
      </c>
    </row>
    <row r="2919" spans="1:11" x14ac:dyDescent="0.25">
      <c r="A2919" s="1">
        <v>44922</v>
      </c>
      <c r="B2919" s="66" t="s">
        <v>61</v>
      </c>
      <c r="C2919" s="66" t="s">
        <v>49</v>
      </c>
      <c r="D2919" t="s">
        <v>62</v>
      </c>
      <c r="E2919">
        <v>-10</v>
      </c>
      <c r="F2919" s="66" t="s">
        <v>7</v>
      </c>
      <c r="G2919" s="66" t="s">
        <v>8</v>
      </c>
      <c r="H2919" s="66" t="str">
        <f>TEXT(Data[[#This Row],[Buchung]],"MMM")</f>
        <v>Dez</v>
      </c>
      <c r="I2919" s="67">
        <f>YEAR(Data[[#This Row],[Buchung]])</f>
        <v>2022</v>
      </c>
      <c r="J2919" s="2">
        <f>ABS(Data[[#This Row],[Betrag]])</f>
        <v>10</v>
      </c>
      <c r="K2919" s="66" t="str">
        <f>IF(Data[[#This Row],[Betrag]]&lt;0,"A","E")</f>
        <v>A</v>
      </c>
    </row>
    <row r="2920" spans="1:11" x14ac:dyDescent="0.25">
      <c r="A2920" s="1">
        <v>44923</v>
      </c>
      <c r="B2920" s="66" t="s">
        <v>63</v>
      </c>
      <c r="C2920" s="66" t="s">
        <v>64</v>
      </c>
      <c r="D2920" t="s">
        <v>65</v>
      </c>
      <c r="E2920">
        <v>-60</v>
      </c>
      <c r="F2920" s="66" t="s">
        <v>7</v>
      </c>
      <c r="G2920" s="66" t="s">
        <v>11</v>
      </c>
      <c r="H2920" s="66" t="str">
        <f>TEXT(Data[[#This Row],[Buchung]],"MMM")</f>
        <v>Dez</v>
      </c>
      <c r="I2920" s="67">
        <f>YEAR(Data[[#This Row],[Buchung]])</f>
        <v>2022</v>
      </c>
      <c r="J2920" s="2">
        <f>ABS(Data[[#This Row],[Betrag]])</f>
        <v>60</v>
      </c>
      <c r="K2920" s="66" t="str">
        <f>IF(Data[[#This Row],[Betrag]]&lt;0,"A","E")</f>
        <v>A</v>
      </c>
    </row>
    <row r="2921" spans="1:11" x14ac:dyDescent="0.25">
      <c r="A2921" s="1">
        <v>44924</v>
      </c>
      <c r="B2921" s="66" t="s">
        <v>54</v>
      </c>
      <c r="C2921" s="66" t="s">
        <v>55</v>
      </c>
      <c r="D2921" t="s">
        <v>66</v>
      </c>
      <c r="E2921">
        <v>-80</v>
      </c>
      <c r="F2921" s="66" t="s">
        <v>7</v>
      </c>
      <c r="G2921" s="66" t="s">
        <v>57</v>
      </c>
      <c r="H2921" s="66" t="str">
        <f>TEXT(Data[[#This Row],[Buchung]],"MMM")</f>
        <v>Dez</v>
      </c>
      <c r="I2921" s="67">
        <f>YEAR(Data[[#This Row],[Buchung]])</f>
        <v>2022</v>
      </c>
      <c r="J2921" s="2">
        <f>ABS(Data[[#This Row],[Betrag]])</f>
        <v>80</v>
      </c>
      <c r="K2921" s="66" t="str">
        <f>IF(Data[[#This Row],[Betrag]]&lt;0,"A","E")</f>
        <v>A</v>
      </c>
    </row>
    <row r="2922" spans="1:11" x14ac:dyDescent="0.25">
      <c r="A2922" s="1">
        <v>44925</v>
      </c>
      <c r="B2922" s="66" t="s">
        <v>67</v>
      </c>
      <c r="C2922" s="66" t="s">
        <v>59</v>
      </c>
      <c r="D2922" t="s">
        <v>68</v>
      </c>
      <c r="E2922">
        <v>-20</v>
      </c>
      <c r="F2922" s="66" t="s">
        <v>7</v>
      </c>
      <c r="G2922" s="66" t="s">
        <v>10</v>
      </c>
      <c r="H2922" s="66" t="str">
        <f>TEXT(Data[[#This Row],[Buchung]],"MMM")</f>
        <v>Dez</v>
      </c>
      <c r="I2922" s="67">
        <f>YEAR(Data[[#This Row],[Buchung]])</f>
        <v>2022</v>
      </c>
      <c r="J2922" s="2">
        <f>ABS(Data[[#This Row],[Betrag]])</f>
        <v>20</v>
      </c>
      <c r="K2922" s="66" t="str">
        <f>IF(Data[[#This Row],[Betrag]]&lt;0,"A","E")</f>
        <v>A</v>
      </c>
    </row>
    <row r="2923" spans="1:11" x14ac:dyDescent="0.25">
      <c r="A2923" s="1">
        <v>44926</v>
      </c>
      <c r="B2923" s="66" t="s">
        <v>45</v>
      </c>
      <c r="C2923" s="66" t="s">
        <v>46</v>
      </c>
      <c r="D2923" t="s">
        <v>47</v>
      </c>
      <c r="E2923">
        <v>1000</v>
      </c>
      <c r="F2923" s="66" t="s">
        <v>7</v>
      </c>
      <c r="G2923" s="66" t="s">
        <v>9</v>
      </c>
      <c r="H2923" s="66" t="str">
        <f>TEXT(Data[[#This Row],[Buchung]],"MMM")</f>
        <v>Dez</v>
      </c>
      <c r="I2923" s="67">
        <f>YEAR(Data[[#This Row],[Buchung]])</f>
        <v>2022</v>
      </c>
      <c r="J2923" s="2">
        <f>ABS(Data[[#This Row],[Betrag]])</f>
        <v>1000</v>
      </c>
      <c r="K2923" s="66" t="str">
        <f>IF(Data[[#This Row],[Betrag]]&lt;0,"A","E")</f>
        <v>E</v>
      </c>
    </row>
    <row r="2924" spans="1:11" x14ac:dyDescent="0.25">
      <c r="A2924" s="1"/>
    </row>
    <row r="2925" spans="1:11" x14ac:dyDescent="0.25">
      <c r="A2925" s="1"/>
    </row>
    <row r="2926" spans="1:11" x14ac:dyDescent="0.25">
      <c r="A2926" s="1"/>
    </row>
    <row r="2927" spans="1:11" x14ac:dyDescent="0.25">
      <c r="A2927" s="1"/>
    </row>
  </sheetData>
  <sheetProtection autoFilter="0" pivotTables="0"/>
  <dataConsolidate/>
  <phoneticPr fontId="1" type="noConversion"/>
  <pageMargins left="0.7" right="0.7" top="0.78740157499999996" bottom="0.78740157499999996" header="0.3" footer="0.3"/>
  <pageSetup paperSize="9"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6A76A-7623-4669-A695-25A4B5B5669F}">
  <sheetPr codeName="Tabelle2"/>
  <dimension ref="A1:AZ402"/>
  <sheetViews>
    <sheetView workbookViewId="0">
      <selection activeCell="B12" sqref="B12"/>
    </sheetView>
  </sheetViews>
  <sheetFormatPr baseColWidth="10" defaultRowHeight="15" x14ac:dyDescent="0.25"/>
  <cols>
    <col min="1" max="1" width="20.28515625" style="5" bestFit="1" customWidth="1"/>
    <col min="2" max="2" width="22.42578125" style="5" bestFit="1" customWidth="1"/>
    <col min="3" max="4" width="24.85546875" style="5" bestFit="1" customWidth="1"/>
    <col min="5" max="5" width="22.42578125" style="5" bestFit="1" customWidth="1"/>
    <col min="6" max="6" width="24.85546875" style="5" bestFit="1" customWidth="1"/>
    <col min="7" max="7" width="11.42578125" style="5"/>
    <col min="8" max="8" width="22.42578125" style="5" bestFit="1" customWidth="1"/>
    <col min="9" max="9" width="24.85546875" style="5" bestFit="1" customWidth="1"/>
    <col min="10" max="10" width="11.42578125" style="5"/>
    <col min="11" max="11" width="15.5703125" style="5" bestFit="1" customWidth="1"/>
    <col min="12" max="12" width="12.7109375" style="5" bestFit="1" customWidth="1"/>
    <col min="13" max="52" width="24.85546875" style="5" bestFit="1" customWidth="1"/>
    <col min="53" max="16384" width="11.42578125" style="5"/>
  </cols>
  <sheetData>
    <row r="1" spans="1:26" x14ac:dyDescent="0.25">
      <c r="K1" s="57" t="s">
        <v>9</v>
      </c>
      <c r="L1" s="57"/>
      <c r="N1" s="57" t="s">
        <v>19</v>
      </c>
      <c r="O1" s="57"/>
      <c r="Q1" s="57" t="s">
        <v>20</v>
      </c>
      <c r="R1" s="57"/>
      <c r="U1" s="5" t="s">
        <v>70</v>
      </c>
      <c r="X1" s="57" t="s">
        <v>77</v>
      </c>
      <c r="Y1" s="57"/>
      <c r="Z1" s="57"/>
    </row>
    <row r="2" spans="1:26" x14ac:dyDescent="0.25">
      <c r="A2" s="57" t="s">
        <v>24</v>
      </c>
      <c r="B2" s="57"/>
      <c r="K2" s="63" t="s">
        <v>18</v>
      </c>
      <c r="L2" s="63" t="s">
        <v>79</v>
      </c>
      <c r="N2" s="63" t="s">
        <v>18</v>
      </c>
      <c r="O2" s="63" t="s">
        <v>78</v>
      </c>
      <c r="Q2" s="63" t="s">
        <v>18</v>
      </c>
      <c r="R2" s="63" t="s">
        <v>78</v>
      </c>
      <c r="X2" s="63" t="s">
        <v>15</v>
      </c>
      <c r="Y2" s="65">
        <v>2022</v>
      </c>
    </row>
    <row r="4" spans="1:26" x14ac:dyDescent="0.25">
      <c r="A4" s="5" t="s">
        <v>22</v>
      </c>
      <c r="B4" s="6">
        <f>GETPIVOTDATA("absolut Betrag",$K$4)</f>
        <v>81000</v>
      </c>
      <c r="H4" s="63" t="s">
        <v>6</v>
      </c>
      <c r="I4" s="63" t="s">
        <v>17</v>
      </c>
      <c r="K4" s="63" t="s">
        <v>6</v>
      </c>
      <c r="L4" s="63" t="s">
        <v>17</v>
      </c>
      <c r="N4" s="63" t="s">
        <v>6</v>
      </c>
      <c r="O4" s="63" t="s">
        <v>17</v>
      </c>
      <c r="Q4" s="63" t="s">
        <v>6</v>
      </c>
      <c r="R4" s="63" t="s">
        <v>17</v>
      </c>
      <c r="T4" s="20" t="s">
        <v>26</v>
      </c>
      <c r="U4"/>
      <c r="V4"/>
      <c r="X4" s="63" t="s">
        <v>14</v>
      </c>
      <c r="Y4" s="63" t="s">
        <v>13</v>
      </c>
      <c r="Z4"/>
    </row>
    <row r="5" spans="1:26" x14ac:dyDescent="0.25">
      <c r="A5" s="5" t="s">
        <v>23</v>
      </c>
      <c r="B5" s="6">
        <f>GETPIVOTDATA("absolut Betrag",$N$4)</f>
        <v>25780</v>
      </c>
      <c r="H5" s="63" t="s">
        <v>9</v>
      </c>
      <c r="I5" s="64">
        <v>81000</v>
      </c>
      <c r="K5" s="63" t="s">
        <v>9</v>
      </c>
      <c r="L5" s="64">
        <v>81000</v>
      </c>
      <c r="N5" s="63" t="s">
        <v>11</v>
      </c>
      <c r="O5" s="64">
        <v>14545</v>
      </c>
      <c r="Q5" s="63" t="s">
        <v>8</v>
      </c>
      <c r="R5" s="64">
        <v>885</v>
      </c>
      <c r="T5" s="21">
        <v>2022</v>
      </c>
      <c r="U5"/>
      <c r="V5"/>
      <c r="X5" s="63" t="s">
        <v>80</v>
      </c>
      <c r="Y5" s="64">
        <v>4790</v>
      </c>
      <c r="Z5"/>
    </row>
    <row r="6" spans="1:26" x14ac:dyDescent="0.25">
      <c r="A6" s="5" t="s">
        <v>21</v>
      </c>
      <c r="B6" s="7">
        <f>GETPIVOTDATA("Betrag",$X$4)</f>
        <v>55220</v>
      </c>
      <c r="H6" s="63" t="s">
        <v>11</v>
      </c>
      <c r="I6" s="64">
        <v>14545</v>
      </c>
      <c r="K6" s="63" t="s">
        <v>12</v>
      </c>
      <c r="L6" s="64">
        <v>81000</v>
      </c>
      <c r="N6" s="63" t="s">
        <v>57</v>
      </c>
      <c r="O6" s="64">
        <v>7080</v>
      </c>
      <c r="Q6" s="63" t="s">
        <v>10</v>
      </c>
      <c r="R6" s="64">
        <v>3270</v>
      </c>
      <c r="T6" s="21">
        <v>2015</v>
      </c>
      <c r="U6"/>
      <c r="V6"/>
      <c r="X6" s="63" t="s">
        <v>81</v>
      </c>
      <c r="Y6" s="64">
        <v>4000</v>
      </c>
      <c r="Z6"/>
    </row>
    <row r="7" spans="1:26" x14ac:dyDescent="0.25">
      <c r="A7" s="5" t="s">
        <v>39</v>
      </c>
      <c r="B7" s="49">
        <v>0</v>
      </c>
      <c r="H7" s="63" t="s">
        <v>57</v>
      </c>
      <c r="I7" s="64">
        <v>7080</v>
      </c>
      <c r="K7"/>
      <c r="L7"/>
      <c r="N7" s="63" t="s">
        <v>10</v>
      </c>
      <c r="O7" s="64">
        <v>3270</v>
      </c>
      <c r="Q7" s="63" t="s">
        <v>57</v>
      </c>
      <c r="R7" s="64">
        <v>7080</v>
      </c>
      <c r="T7" s="21">
        <v>2016</v>
      </c>
      <c r="U7"/>
      <c r="V7"/>
      <c r="X7" s="63" t="s">
        <v>82</v>
      </c>
      <c r="Y7" s="64">
        <v>4810</v>
      </c>
      <c r="Z7"/>
    </row>
    <row r="8" spans="1:26" x14ac:dyDescent="0.25">
      <c r="H8" s="63" t="s">
        <v>10</v>
      </c>
      <c r="I8" s="64">
        <v>3270</v>
      </c>
      <c r="K8"/>
      <c r="L8"/>
      <c r="N8" s="63" t="s">
        <v>8</v>
      </c>
      <c r="O8" s="64">
        <v>885</v>
      </c>
      <c r="Q8" s="63" t="s">
        <v>11</v>
      </c>
      <c r="R8" s="64">
        <v>14545</v>
      </c>
      <c r="T8" s="21">
        <v>2017</v>
      </c>
      <c r="U8"/>
      <c r="V8"/>
      <c r="X8" s="63" t="s">
        <v>83</v>
      </c>
      <c r="Y8" s="64">
        <v>5155</v>
      </c>
      <c r="Z8"/>
    </row>
    <row r="9" spans="1:26" x14ac:dyDescent="0.25">
      <c r="H9" s="63" t="s">
        <v>8</v>
      </c>
      <c r="I9" s="64">
        <v>885</v>
      </c>
      <c r="K9"/>
      <c r="L9"/>
      <c r="N9" s="63" t="s">
        <v>12</v>
      </c>
      <c r="O9" s="64">
        <v>25780</v>
      </c>
      <c r="Q9" s="63" t="s">
        <v>12</v>
      </c>
      <c r="R9" s="64">
        <v>25780</v>
      </c>
      <c r="T9" s="21">
        <v>2018</v>
      </c>
      <c r="U9"/>
      <c r="V9"/>
      <c r="X9" s="63" t="s">
        <v>84</v>
      </c>
      <c r="Y9" s="64">
        <v>4780</v>
      </c>
      <c r="Z9"/>
    </row>
    <row r="10" spans="1:26" x14ac:dyDescent="0.25">
      <c r="H10"/>
      <c r="I10"/>
      <c r="K10"/>
      <c r="L10"/>
      <c r="N10"/>
      <c r="O10"/>
      <c r="Q10"/>
      <c r="R10"/>
      <c r="T10" s="21">
        <v>2019</v>
      </c>
      <c r="U10"/>
      <c r="V10"/>
      <c r="X10" s="63" t="s">
        <v>85</v>
      </c>
      <c r="Y10" s="64">
        <v>3830</v>
      </c>
      <c r="Z10"/>
    </row>
    <row r="11" spans="1:26" x14ac:dyDescent="0.25">
      <c r="H11"/>
      <c r="I11"/>
      <c r="N11"/>
      <c r="O11"/>
      <c r="T11" s="21">
        <v>2020</v>
      </c>
      <c r="U11"/>
      <c r="V11"/>
      <c r="X11" s="63" t="s">
        <v>86</v>
      </c>
      <c r="Y11" s="64">
        <v>4810</v>
      </c>
      <c r="Z11"/>
    </row>
    <row r="12" spans="1:26" x14ac:dyDescent="0.25">
      <c r="H12"/>
      <c r="I12"/>
      <c r="N12"/>
      <c r="O12"/>
      <c r="T12" s="21">
        <v>2021</v>
      </c>
      <c r="U12"/>
      <c r="V12"/>
      <c r="X12" s="63" t="s">
        <v>87</v>
      </c>
      <c r="Y12" s="64">
        <v>4805</v>
      </c>
      <c r="Z12"/>
    </row>
    <row r="13" spans="1:26" x14ac:dyDescent="0.25">
      <c r="H13"/>
      <c r="I13"/>
      <c r="N13"/>
      <c r="O13"/>
      <c r="T13"/>
      <c r="U13"/>
      <c r="V13"/>
      <c r="X13" s="63" t="s">
        <v>88</v>
      </c>
      <c r="Y13" s="64">
        <v>4795</v>
      </c>
      <c r="Z13"/>
    </row>
    <row r="14" spans="1:26" x14ac:dyDescent="0.25">
      <c r="H14"/>
      <c r="I14"/>
      <c r="N14"/>
      <c r="O14"/>
      <c r="T14"/>
      <c r="U14"/>
      <c r="V14"/>
      <c r="X14" s="63" t="s">
        <v>89</v>
      </c>
      <c r="Y14" s="64">
        <v>3815</v>
      </c>
      <c r="Z14"/>
    </row>
    <row r="15" spans="1:26" x14ac:dyDescent="0.25">
      <c r="H15"/>
      <c r="I15"/>
      <c r="N15"/>
      <c r="O15"/>
      <c r="T15"/>
      <c r="U15"/>
      <c r="V15"/>
      <c r="X15" s="63" t="s">
        <v>90</v>
      </c>
      <c r="Y15" s="64">
        <v>4825</v>
      </c>
      <c r="Z15"/>
    </row>
    <row r="16" spans="1:26" x14ac:dyDescent="0.25">
      <c r="H16"/>
      <c r="I16"/>
      <c r="N16"/>
      <c r="O16"/>
      <c r="T16"/>
      <c r="U16"/>
      <c r="V16"/>
      <c r="X16" s="63" t="s">
        <v>91</v>
      </c>
      <c r="Y16" s="64">
        <v>4805</v>
      </c>
      <c r="Z16"/>
    </row>
    <row r="17" spans="4:26" x14ac:dyDescent="0.25">
      <c r="H17"/>
      <c r="I17"/>
      <c r="N17"/>
      <c r="O17"/>
      <c r="T17"/>
      <c r="U17"/>
      <c r="V17"/>
      <c r="X17" s="63" t="s">
        <v>12</v>
      </c>
      <c r="Y17" s="64">
        <v>55220</v>
      </c>
      <c r="Z17"/>
    </row>
    <row r="18" spans="4:26" x14ac:dyDescent="0.25">
      <c r="H18"/>
      <c r="I18"/>
      <c r="N18"/>
      <c r="O18"/>
      <c r="T18"/>
      <c r="U18"/>
      <c r="V18"/>
      <c r="X18"/>
      <c r="Y18"/>
      <c r="Z18"/>
    </row>
    <row r="19" spans="4:26" x14ac:dyDescent="0.25">
      <c r="H19"/>
      <c r="I19"/>
      <c r="N19"/>
      <c r="O19"/>
      <c r="T19"/>
      <c r="U19"/>
      <c r="V19"/>
      <c r="X19"/>
      <c r="Y19"/>
      <c r="Z19"/>
    </row>
    <row r="20" spans="4:26" x14ac:dyDescent="0.25">
      <c r="H20"/>
      <c r="I20"/>
      <c r="N20"/>
      <c r="O20"/>
      <c r="T20"/>
      <c r="U20"/>
      <c r="V20"/>
      <c r="X20"/>
      <c r="Y20"/>
      <c r="Z20"/>
    </row>
    <row r="21" spans="4:26" x14ac:dyDescent="0.25">
      <c r="H21"/>
      <c r="I21"/>
      <c r="N21"/>
      <c r="O21"/>
      <c r="T21"/>
      <c r="U21"/>
      <c r="V21"/>
      <c r="X21"/>
      <c r="Y21"/>
      <c r="Z21"/>
    </row>
    <row r="22" spans="4:26" x14ac:dyDescent="0.25">
      <c r="H22"/>
      <c r="I22"/>
      <c r="N22"/>
      <c r="O22"/>
      <c r="X22"/>
      <c r="Y22"/>
      <c r="Z22"/>
    </row>
    <row r="23" spans="4:26" x14ac:dyDescent="0.25">
      <c r="H23"/>
      <c r="I23"/>
      <c r="N23"/>
      <c r="O23"/>
      <c r="X23"/>
      <c r="Y23"/>
      <c r="Z23"/>
    </row>
    <row r="24" spans="4:26" x14ac:dyDescent="0.25">
      <c r="H24"/>
      <c r="I24"/>
      <c r="N24"/>
      <c r="O24"/>
      <c r="X24"/>
      <c r="Y24"/>
      <c r="Z24"/>
    </row>
    <row r="25" spans="4:26" x14ac:dyDescent="0.25">
      <c r="H25"/>
      <c r="I25"/>
      <c r="N25"/>
      <c r="O25"/>
      <c r="X25"/>
      <c r="Y25"/>
      <c r="Z25"/>
    </row>
    <row r="26" spans="4:26" x14ac:dyDescent="0.25">
      <c r="H26"/>
      <c r="I26"/>
      <c r="N26"/>
      <c r="O26"/>
      <c r="X26"/>
      <c r="Y26"/>
      <c r="Z26"/>
    </row>
    <row r="27" spans="4:26" x14ac:dyDescent="0.25">
      <c r="H27"/>
      <c r="I27"/>
      <c r="N27"/>
      <c r="O27"/>
      <c r="X27"/>
      <c r="Y27"/>
      <c r="Z27"/>
    </row>
    <row r="28" spans="4:26" x14ac:dyDescent="0.25">
      <c r="H28"/>
      <c r="I28"/>
      <c r="N28"/>
      <c r="O28"/>
      <c r="X28"/>
      <c r="Y28"/>
      <c r="Z28"/>
    </row>
    <row r="29" spans="4:26" x14ac:dyDescent="0.25">
      <c r="H29"/>
      <c r="I29"/>
      <c r="N29"/>
      <c r="O29"/>
      <c r="X29"/>
      <c r="Y29"/>
      <c r="Z29"/>
    </row>
    <row r="30" spans="4:26" x14ac:dyDescent="0.25">
      <c r="H30"/>
      <c r="I30"/>
      <c r="N30"/>
      <c r="O30"/>
      <c r="X30"/>
      <c r="Y30"/>
      <c r="Z30"/>
    </row>
    <row r="31" spans="4:26" x14ac:dyDescent="0.25">
      <c r="H31"/>
      <c r="I31"/>
      <c r="N31"/>
      <c r="O31"/>
      <c r="X31"/>
      <c r="Y31"/>
      <c r="Z31"/>
    </row>
    <row r="32" spans="4:26" x14ac:dyDescent="0.25">
      <c r="D32"/>
      <c r="E32"/>
      <c r="F32"/>
      <c r="H32"/>
      <c r="I32"/>
      <c r="N32"/>
      <c r="O32"/>
      <c r="X32"/>
      <c r="Y32"/>
      <c r="Z32"/>
    </row>
    <row r="33" spans="4:26" x14ac:dyDescent="0.25">
      <c r="D33"/>
      <c r="E33"/>
      <c r="F33"/>
      <c r="H33"/>
      <c r="I33"/>
      <c r="N33"/>
      <c r="O33"/>
      <c r="X33"/>
      <c r="Y33"/>
      <c r="Z33"/>
    </row>
    <row r="34" spans="4:26" x14ac:dyDescent="0.25">
      <c r="D34"/>
      <c r="E34"/>
      <c r="F34"/>
      <c r="H34"/>
      <c r="I34"/>
      <c r="N34"/>
      <c r="O34"/>
      <c r="X34"/>
      <c r="Y34"/>
      <c r="Z34"/>
    </row>
    <row r="35" spans="4:26" x14ac:dyDescent="0.25">
      <c r="D35"/>
      <c r="E35"/>
      <c r="F35"/>
      <c r="H35"/>
      <c r="I35"/>
      <c r="N35"/>
      <c r="O35"/>
      <c r="X35"/>
      <c r="Y35"/>
      <c r="Z35"/>
    </row>
    <row r="36" spans="4:26" x14ac:dyDescent="0.25">
      <c r="D36"/>
      <c r="E36"/>
      <c r="F36"/>
      <c r="H36"/>
      <c r="I36"/>
      <c r="N36"/>
      <c r="O36"/>
      <c r="X36"/>
      <c r="Y36"/>
      <c r="Z36"/>
    </row>
    <row r="37" spans="4:26" x14ac:dyDescent="0.25">
      <c r="D37"/>
      <c r="E37"/>
      <c r="F37"/>
      <c r="H37"/>
      <c r="I37"/>
      <c r="N37"/>
      <c r="O37"/>
      <c r="X37"/>
      <c r="Y37"/>
      <c r="Z37"/>
    </row>
    <row r="38" spans="4:26" x14ac:dyDescent="0.25">
      <c r="D38"/>
      <c r="E38"/>
      <c r="F38"/>
      <c r="H38"/>
      <c r="I38"/>
      <c r="N38"/>
      <c r="O38"/>
      <c r="X38"/>
      <c r="Y38"/>
      <c r="Z38"/>
    </row>
    <row r="39" spans="4:26" x14ac:dyDescent="0.25">
      <c r="D39"/>
      <c r="E39"/>
      <c r="F39"/>
      <c r="H39"/>
      <c r="I39"/>
      <c r="N39"/>
      <c r="O39"/>
      <c r="X39"/>
      <c r="Y39"/>
      <c r="Z39"/>
    </row>
    <row r="40" spans="4:26" x14ac:dyDescent="0.25">
      <c r="D40"/>
      <c r="E40"/>
      <c r="F40"/>
      <c r="H40"/>
      <c r="I40"/>
      <c r="N40"/>
      <c r="O40"/>
      <c r="X40"/>
      <c r="Y40"/>
      <c r="Z40"/>
    </row>
    <row r="41" spans="4:26" x14ac:dyDescent="0.25">
      <c r="D41"/>
      <c r="E41"/>
      <c r="F41"/>
      <c r="H41"/>
      <c r="I41"/>
      <c r="N41"/>
      <c r="O41"/>
      <c r="X41"/>
      <c r="Y41"/>
      <c r="Z41"/>
    </row>
    <row r="42" spans="4:26" x14ac:dyDescent="0.25">
      <c r="D42"/>
      <c r="E42"/>
      <c r="F42"/>
      <c r="H42"/>
      <c r="I42"/>
      <c r="N42"/>
      <c r="O42"/>
      <c r="X42"/>
      <c r="Y42"/>
      <c r="Z42"/>
    </row>
    <row r="43" spans="4:26" x14ac:dyDescent="0.25">
      <c r="D43"/>
      <c r="E43"/>
      <c r="F43"/>
      <c r="H43"/>
      <c r="I43"/>
      <c r="N43"/>
      <c r="O43"/>
      <c r="X43"/>
      <c r="Y43"/>
      <c r="Z43"/>
    </row>
    <row r="44" spans="4:26" x14ac:dyDescent="0.25">
      <c r="D44"/>
      <c r="E44"/>
      <c r="F44"/>
      <c r="H44"/>
      <c r="I44"/>
      <c r="N44"/>
      <c r="O44"/>
      <c r="X44"/>
      <c r="Y44"/>
      <c r="Z44"/>
    </row>
    <row r="45" spans="4:26" x14ac:dyDescent="0.25">
      <c r="D45"/>
      <c r="E45"/>
      <c r="F45"/>
      <c r="H45"/>
      <c r="I45"/>
      <c r="N45"/>
      <c r="O45"/>
      <c r="X45"/>
      <c r="Y45"/>
      <c r="Z45"/>
    </row>
    <row r="46" spans="4:26" x14ac:dyDescent="0.25">
      <c r="D46"/>
      <c r="E46"/>
      <c r="F46"/>
      <c r="H46"/>
      <c r="I46"/>
      <c r="N46"/>
      <c r="O46"/>
      <c r="X46"/>
      <c r="Y46"/>
      <c r="Z46"/>
    </row>
    <row r="47" spans="4:26" x14ac:dyDescent="0.25">
      <c r="D47"/>
      <c r="E47"/>
      <c r="F47"/>
      <c r="H47"/>
      <c r="I47"/>
      <c r="N47"/>
      <c r="O47"/>
      <c r="X47"/>
      <c r="Y47"/>
      <c r="Z47"/>
    </row>
    <row r="48" spans="4:26" x14ac:dyDescent="0.25">
      <c r="D48"/>
      <c r="E48"/>
      <c r="F48"/>
      <c r="H48"/>
      <c r="I48"/>
      <c r="N48"/>
      <c r="O48"/>
      <c r="X48"/>
      <c r="Y48"/>
      <c r="Z48"/>
    </row>
    <row r="49" spans="1:52" s="9" customFormat="1" ht="15.75" thickBot="1" x14ac:dyDescent="0.3">
      <c r="D49" s="10"/>
      <c r="E49" s="10"/>
      <c r="F49" s="10"/>
      <c r="H49" s="10"/>
      <c r="I49" s="10"/>
      <c r="N49" s="10"/>
      <c r="O49" s="10"/>
      <c r="X49"/>
      <c r="Y49"/>
      <c r="Z49"/>
    </row>
    <row r="50" spans="1:52" s="8" customFormat="1" ht="16.5" thickTop="1" thickBot="1" x14ac:dyDescent="0.3">
      <c r="D50"/>
      <c r="E50"/>
      <c r="F50"/>
      <c r="H50"/>
      <c r="I50"/>
      <c r="N50"/>
      <c r="O50"/>
      <c r="X50"/>
      <c r="Y50"/>
      <c r="Z50"/>
    </row>
    <row r="51" spans="1:52" ht="15.75" thickTop="1" x14ac:dyDescent="0.25">
      <c r="A51" s="58" t="s">
        <v>25</v>
      </c>
      <c r="B51" s="58"/>
      <c r="D51"/>
      <c r="E51"/>
      <c r="F51"/>
      <c r="H51"/>
      <c r="I51"/>
      <c r="N51"/>
      <c r="O51"/>
      <c r="X51"/>
      <c r="Y51"/>
      <c r="Z51"/>
    </row>
    <row r="52" spans="1:52" x14ac:dyDescent="0.25">
      <c r="A52" s="59"/>
      <c r="B52" s="59"/>
      <c r="D52"/>
      <c r="E52"/>
      <c r="F52"/>
      <c r="X52"/>
      <c r="Y52"/>
      <c r="Z52"/>
    </row>
    <row r="53" spans="1:52" x14ac:dyDescent="0.25">
      <c r="D53"/>
      <c r="E53"/>
      <c r="F53"/>
      <c r="X53"/>
      <c r="Y53"/>
      <c r="Z53"/>
    </row>
    <row r="54" spans="1:52" x14ac:dyDescent="0.25">
      <c r="B54" s="57" t="s">
        <v>27</v>
      </c>
      <c r="C54" s="57"/>
      <c r="D54"/>
      <c r="E54" s="57" t="s">
        <v>28</v>
      </c>
      <c r="F54" s="57"/>
      <c r="H54" s="57" t="s">
        <v>29</v>
      </c>
      <c r="I54" s="57"/>
      <c r="L54"/>
      <c r="M54"/>
      <c r="N54" s="5" t="s">
        <v>34</v>
      </c>
      <c r="X54"/>
      <c r="Y54"/>
      <c r="Z54"/>
    </row>
    <row r="55" spans="1:52" x14ac:dyDescent="0.25">
      <c r="D55"/>
      <c r="E55"/>
      <c r="F55"/>
      <c r="X55"/>
      <c r="Y55"/>
      <c r="Z55"/>
    </row>
    <row r="56" spans="1:52" x14ac:dyDescent="0.25">
      <c r="B56" s="63" t="s">
        <v>26</v>
      </c>
      <c r="C56" s="63" t="s">
        <v>17</v>
      </c>
      <c r="E56" s="63" t="s">
        <v>26</v>
      </c>
      <c r="F56" s="63" t="s">
        <v>17</v>
      </c>
      <c r="H56" s="20" t="s">
        <v>26</v>
      </c>
      <c r="I56" t="s">
        <v>17</v>
      </c>
      <c r="J56"/>
      <c r="L56"/>
      <c r="M56" s="20" t="s">
        <v>15</v>
      </c>
      <c r="N56" s="20" t="s">
        <v>33</v>
      </c>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x14ac:dyDescent="0.25">
      <c r="B57" s="65" t="s">
        <v>8</v>
      </c>
      <c r="C57" s="64">
        <v>7125</v>
      </c>
      <c r="E57" s="65" t="s">
        <v>8</v>
      </c>
      <c r="F57" s="64">
        <v>7125</v>
      </c>
      <c r="H57" s="21" t="s">
        <v>8</v>
      </c>
      <c r="I57" s="32">
        <v>7125</v>
      </c>
      <c r="J57"/>
      <c r="L57"/>
      <c r="M57">
        <v>2022</v>
      </c>
      <c r="N57">
        <v>2022</v>
      </c>
      <c r="O57">
        <v>2015</v>
      </c>
      <c r="P57">
        <v>2015</v>
      </c>
      <c r="Q57">
        <v>2016</v>
      </c>
      <c r="R57">
        <v>2016</v>
      </c>
      <c r="S57">
        <v>2017</v>
      </c>
      <c r="T57">
        <v>2017</v>
      </c>
      <c r="U57">
        <v>2018</v>
      </c>
      <c r="V57">
        <v>2018</v>
      </c>
      <c r="W57">
        <v>2019</v>
      </c>
      <c r="X57">
        <v>2019</v>
      </c>
      <c r="Y57">
        <v>2020</v>
      </c>
      <c r="Z57">
        <v>2020</v>
      </c>
      <c r="AA57">
        <v>2021</v>
      </c>
      <c r="AB57">
        <v>2021</v>
      </c>
      <c r="AC57"/>
      <c r="AD57"/>
      <c r="AE57"/>
      <c r="AF57"/>
      <c r="AG57"/>
      <c r="AH57"/>
      <c r="AI57"/>
      <c r="AJ57"/>
      <c r="AK57"/>
      <c r="AL57"/>
      <c r="AM57"/>
      <c r="AN57"/>
      <c r="AO57"/>
      <c r="AP57"/>
      <c r="AQ57"/>
      <c r="AR57"/>
      <c r="AS57"/>
      <c r="AT57"/>
      <c r="AU57"/>
      <c r="AV57"/>
      <c r="AW57"/>
      <c r="AX57"/>
      <c r="AY57"/>
      <c r="AZ57"/>
    </row>
    <row r="58" spans="1:52" x14ac:dyDescent="0.25">
      <c r="B58" s="65" t="s">
        <v>9</v>
      </c>
      <c r="C58" s="64">
        <v>642000</v>
      </c>
      <c r="E58" s="65" t="s">
        <v>9</v>
      </c>
      <c r="F58" s="64">
        <v>642000</v>
      </c>
      <c r="H58" s="21" t="s">
        <v>9</v>
      </c>
      <c r="I58" s="32">
        <v>642000</v>
      </c>
      <c r="J58"/>
      <c r="L58" s="20" t="s">
        <v>6</v>
      </c>
      <c r="M58" t="s">
        <v>32</v>
      </c>
      <c r="N58" t="s">
        <v>17</v>
      </c>
      <c r="O58" t="s">
        <v>32</v>
      </c>
      <c r="P58" t="s">
        <v>17</v>
      </c>
      <c r="Q58" t="s">
        <v>32</v>
      </c>
      <c r="R58" t="s">
        <v>17</v>
      </c>
      <c r="S58" t="s">
        <v>32</v>
      </c>
      <c r="T58" t="s">
        <v>17</v>
      </c>
      <c r="U58" t="s">
        <v>32</v>
      </c>
      <c r="V58" t="s">
        <v>17</v>
      </c>
      <c r="W58" t="s">
        <v>32</v>
      </c>
      <c r="X58" t="s">
        <v>17</v>
      </c>
      <c r="Y58" t="s">
        <v>32</v>
      </c>
      <c r="Z58" t="s">
        <v>17</v>
      </c>
      <c r="AA58" t="s">
        <v>32</v>
      </c>
      <c r="AB58" t="s">
        <v>17</v>
      </c>
      <c r="AC58"/>
      <c r="AD58"/>
      <c r="AE58"/>
      <c r="AF58"/>
      <c r="AG58"/>
      <c r="AH58"/>
      <c r="AI58"/>
      <c r="AJ58"/>
      <c r="AK58"/>
      <c r="AL58"/>
      <c r="AM58"/>
      <c r="AN58"/>
      <c r="AO58"/>
      <c r="AP58"/>
      <c r="AQ58"/>
      <c r="AR58"/>
      <c r="AS58"/>
      <c r="AT58"/>
      <c r="AU58"/>
      <c r="AV58"/>
      <c r="AW58"/>
      <c r="AX58"/>
      <c r="AY58"/>
      <c r="AZ58"/>
    </row>
    <row r="59" spans="1:52" x14ac:dyDescent="0.25">
      <c r="B59" s="65" t="s">
        <v>11</v>
      </c>
      <c r="C59" s="64">
        <v>117915</v>
      </c>
      <c r="E59" s="65" t="s">
        <v>11</v>
      </c>
      <c r="F59" s="64">
        <v>117915</v>
      </c>
      <c r="H59" s="21" t="s">
        <v>11</v>
      </c>
      <c r="I59" s="32">
        <v>117915</v>
      </c>
      <c r="J59"/>
      <c r="L59" t="s">
        <v>8</v>
      </c>
      <c r="M59" s="66">
        <v>71</v>
      </c>
      <c r="N59" s="66">
        <v>885</v>
      </c>
      <c r="O59" s="66">
        <v>72</v>
      </c>
      <c r="P59" s="66">
        <v>900</v>
      </c>
      <c r="Q59" s="66">
        <v>71</v>
      </c>
      <c r="R59" s="66">
        <v>890</v>
      </c>
      <c r="S59" s="66">
        <v>71</v>
      </c>
      <c r="T59" s="66">
        <v>885</v>
      </c>
      <c r="U59" s="66">
        <v>71</v>
      </c>
      <c r="V59" s="66">
        <v>890</v>
      </c>
      <c r="W59" s="66">
        <v>72</v>
      </c>
      <c r="X59" s="66">
        <v>900</v>
      </c>
      <c r="Y59" s="66">
        <v>71</v>
      </c>
      <c r="Z59" s="66">
        <v>885</v>
      </c>
      <c r="AA59" s="66">
        <v>71</v>
      </c>
      <c r="AB59" s="66">
        <v>890</v>
      </c>
      <c r="AC59"/>
      <c r="AD59"/>
      <c r="AE59"/>
      <c r="AF59"/>
      <c r="AG59"/>
      <c r="AH59"/>
      <c r="AI59"/>
      <c r="AJ59"/>
      <c r="AK59"/>
      <c r="AL59"/>
      <c r="AM59"/>
      <c r="AN59"/>
      <c r="AO59"/>
      <c r="AP59"/>
      <c r="AQ59"/>
      <c r="AR59"/>
      <c r="AS59"/>
      <c r="AT59"/>
      <c r="AU59"/>
      <c r="AV59"/>
      <c r="AW59"/>
      <c r="AX59"/>
      <c r="AY59"/>
      <c r="AZ59"/>
    </row>
    <row r="60" spans="1:52" x14ac:dyDescent="0.25">
      <c r="B60" s="65" t="s">
        <v>10</v>
      </c>
      <c r="C60" s="64">
        <v>26340</v>
      </c>
      <c r="E60" s="65" t="s">
        <v>10</v>
      </c>
      <c r="F60" s="64">
        <v>26340</v>
      </c>
      <c r="H60" s="21" t="s">
        <v>10</v>
      </c>
      <c r="I60" s="32">
        <v>26340</v>
      </c>
      <c r="J60"/>
      <c r="L60" t="s">
        <v>9</v>
      </c>
      <c r="M60" s="66">
        <v>81</v>
      </c>
      <c r="N60" s="66">
        <v>81000</v>
      </c>
      <c r="O60" s="66">
        <v>80</v>
      </c>
      <c r="P60" s="66">
        <v>80000</v>
      </c>
      <c r="Q60" s="66">
        <v>80</v>
      </c>
      <c r="R60" s="66">
        <v>80000</v>
      </c>
      <c r="S60" s="66">
        <v>80</v>
      </c>
      <c r="T60" s="66">
        <v>80000</v>
      </c>
      <c r="U60" s="66">
        <v>81</v>
      </c>
      <c r="V60" s="66">
        <v>81000</v>
      </c>
      <c r="W60" s="66">
        <v>80</v>
      </c>
      <c r="X60" s="66">
        <v>80000</v>
      </c>
      <c r="Y60" s="66">
        <v>80</v>
      </c>
      <c r="Z60" s="66">
        <v>80000</v>
      </c>
      <c r="AA60" s="66">
        <v>80</v>
      </c>
      <c r="AB60" s="66">
        <v>80000</v>
      </c>
      <c r="AC60"/>
      <c r="AD60"/>
      <c r="AE60"/>
      <c r="AF60"/>
      <c r="AG60"/>
      <c r="AH60"/>
      <c r="AI60"/>
      <c r="AJ60"/>
      <c r="AK60"/>
      <c r="AL60"/>
      <c r="AM60"/>
      <c r="AN60"/>
      <c r="AO60"/>
      <c r="AP60"/>
      <c r="AQ60"/>
      <c r="AR60"/>
      <c r="AS60"/>
      <c r="AT60"/>
      <c r="AU60"/>
      <c r="AV60"/>
      <c r="AW60"/>
      <c r="AX60"/>
      <c r="AY60"/>
      <c r="AZ60"/>
    </row>
    <row r="61" spans="1:52" x14ac:dyDescent="0.25">
      <c r="B61" s="65" t="s">
        <v>57</v>
      </c>
      <c r="C61" s="64">
        <v>57000</v>
      </c>
      <c r="E61" s="65" t="s">
        <v>57</v>
      </c>
      <c r="F61" s="64">
        <v>57000</v>
      </c>
      <c r="H61" s="21" t="s">
        <v>57</v>
      </c>
      <c r="I61" s="32">
        <v>57000</v>
      </c>
      <c r="J61"/>
      <c r="L61" t="s">
        <v>11</v>
      </c>
      <c r="M61" s="66">
        <v>71</v>
      </c>
      <c r="N61" s="66">
        <v>14545</v>
      </c>
      <c r="O61" s="66">
        <v>71</v>
      </c>
      <c r="P61" s="66">
        <v>14830</v>
      </c>
      <c r="Q61" s="66">
        <v>72</v>
      </c>
      <c r="R61" s="66">
        <v>14895</v>
      </c>
      <c r="S61" s="66">
        <v>71</v>
      </c>
      <c r="T61" s="66">
        <v>14545</v>
      </c>
      <c r="U61" s="66">
        <v>71</v>
      </c>
      <c r="V61" s="66">
        <v>14835</v>
      </c>
      <c r="W61" s="66">
        <v>71</v>
      </c>
      <c r="X61" s="66">
        <v>14545</v>
      </c>
      <c r="Y61" s="66">
        <v>72</v>
      </c>
      <c r="Z61" s="66">
        <v>14895</v>
      </c>
      <c r="AA61" s="66">
        <v>71</v>
      </c>
      <c r="AB61" s="66">
        <v>14825</v>
      </c>
      <c r="AC61"/>
      <c r="AD61"/>
      <c r="AE61"/>
      <c r="AF61"/>
    </row>
    <row r="62" spans="1:52" x14ac:dyDescent="0.25">
      <c r="B62"/>
      <c r="C62"/>
      <c r="E62"/>
      <c r="F62"/>
      <c r="H62"/>
      <c r="I62"/>
      <c r="J62"/>
      <c r="L62" t="s">
        <v>10</v>
      </c>
      <c r="M62" s="66">
        <v>71</v>
      </c>
      <c r="N62" s="66">
        <v>3270</v>
      </c>
      <c r="O62" s="66">
        <v>71</v>
      </c>
      <c r="P62" s="66">
        <v>3295</v>
      </c>
      <c r="Q62" s="66">
        <v>71</v>
      </c>
      <c r="R62" s="66">
        <v>3250</v>
      </c>
      <c r="S62" s="66">
        <v>72</v>
      </c>
      <c r="T62" s="66">
        <v>3330</v>
      </c>
      <c r="U62" s="66">
        <v>71</v>
      </c>
      <c r="V62" s="66">
        <v>3300</v>
      </c>
      <c r="W62" s="66">
        <v>71</v>
      </c>
      <c r="X62" s="66">
        <v>3260</v>
      </c>
      <c r="Y62" s="66">
        <v>71</v>
      </c>
      <c r="Z62" s="66">
        <v>3305</v>
      </c>
      <c r="AA62" s="66">
        <v>72</v>
      </c>
      <c r="AB62" s="66">
        <v>3330</v>
      </c>
      <c r="AC62"/>
      <c r="AD62"/>
      <c r="AE62"/>
      <c r="AF62"/>
    </row>
    <row r="63" spans="1:52" x14ac:dyDescent="0.25">
      <c r="B63"/>
      <c r="C63"/>
      <c r="E63"/>
      <c r="F63"/>
      <c r="H63"/>
      <c r="I63"/>
      <c r="J63"/>
      <c r="L63" t="s">
        <v>57</v>
      </c>
      <c r="M63" s="66">
        <v>71</v>
      </c>
      <c r="N63" s="66">
        <v>7080</v>
      </c>
      <c r="O63" s="66">
        <v>71</v>
      </c>
      <c r="P63" s="66">
        <v>7120</v>
      </c>
      <c r="Q63" s="66">
        <v>72</v>
      </c>
      <c r="R63" s="66">
        <v>7200</v>
      </c>
      <c r="S63" s="66">
        <v>71</v>
      </c>
      <c r="T63" s="66">
        <v>7080</v>
      </c>
      <c r="U63" s="66">
        <v>71</v>
      </c>
      <c r="V63" s="66">
        <v>7120</v>
      </c>
      <c r="W63" s="66">
        <v>71</v>
      </c>
      <c r="X63" s="66">
        <v>7080</v>
      </c>
      <c r="Y63" s="66">
        <v>72</v>
      </c>
      <c r="Z63" s="66">
        <v>7200</v>
      </c>
      <c r="AA63" s="66">
        <v>71</v>
      </c>
      <c r="AB63" s="66">
        <v>7120</v>
      </c>
      <c r="AC63"/>
      <c r="AD63"/>
      <c r="AE63"/>
      <c r="AF63"/>
    </row>
    <row r="64" spans="1:52" x14ac:dyDescent="0.25">
      <c r="B64"/>
      <c r="C64"/>
      <c r="E64"/>
      <c r="F64"/>
      <c r="H64"/>
      <c r="I64"/>
      <c r="J64"/>
      <c r="L64"/>
      <c r="M64"/>
      <c r="N64"/>
      <c r="O64"/>
      <c r="P64"/>
      <c r="Q64"/>
      <c r="R64"/>
      <c r="S64"/>
      <c r="T64"/>
      <c r="U64"/>
      <c r="V64"/>
      <c r="W64"/>
      <c r="X64"/>
      <c r="Y64"/>
      <c r="Z64"/>
      <c r="AA64"/>
      <c r="AB64"/>
      <c r="AC64"/>
      <c r="AD64"/>
      <c r="AE64"/>
      <c r="AF64"/>
    </row>
    <row r="65" spans="2:16" x14ac:dyDescent="0.25">
      <c r="B65"/>
      <c r="C65"/>
      <c r="E65"/>
      <c r="F65"/>
      <c r="H65"/>
      <c r="I65"/>
      <c r="J65"/>
      <c r="L65"/>
      <c r="M65"/>
      <c r="N65"/>
      <c r="O65"/>
      <c r="P65"/>
    </row>
    <row r="66" spans="2:16" x14ac:dyDescent="0.25">
      <c r="B66"/>
      <c r="C66"/>
      <c r="E66"/>
      <c r="F66"/>
      <c r="H66"/>
      <c r="I66"/>
      <c r="J66"/>
      <c r="L66"/>
      <c r="M66"/>
      <c r="N66"/>
      <c r="O66"/>
      <c r="P66"/>
    </row>
    <row r="67" spans="2:16" x14ac:dyDescent="0.25">
      <c r="B67"/>
      <c r="C67"/>
      <c r="E67"/>
      <c r="F67"/>
      <c r="H67"/>
      <c r="I67"/>
      <c r="J67"/>
      <c r="L67"/>
      <c r="M67"/>
      <c r="N67"/>
      <c r="O67"/>
      <c r="P67"/>
    </row>
    <row r="68" spans="2:16" x14ac:dyDescent="0.25">
      <c r="B68"/>
      <c r="C68"/>
      <c r="E68"/>
      <c r="F68"/>
      <c r="H68"/>
      <c r="I68"/>
      <c r="J68"/>
      <c r="L68"/>
      <c r="M68"/>
      <c r="N68"/>
      <c r="O68"/>
      <c r="P68"/>
    </row>
    <row r="69" spans="2:16" x14ac:dyDescent="0.25">
      <c r="B69"/>
      <c r="C69"/>
      <c r="E69"/>
      <c r="F69"/>
      <c r="H69"/>
      <c r="I69"/>
      <c r="J69"/>
      <c r="L69"/>
      <c r="M69"/>
      <c r="N69"/>
      <c r="O69"/>
      <c r="P69"/>
    </row>
    <row r="70" spans="2:16" x14ac:dyDescent="0.25">
      <c r="B70"/>
      <c r="C70"/>
      <c r="E70"/>
      <c r="F70"/>
      <c r="H70"/>
      <c r="I70"/>
      <c r="J70"/>
      <c r="L70"/>
      <c r="M70"/>
      <c r="N70"/>
      <c r="O70"/>
      <c r="P70"/>
    </row>
    <row r="71" spans="2:16" x14ac:dyDescent="0.25">
      <c r="B71"/>
      <c r="C71"/>
      <c r="E71"/>
      <c r="F71"/>
      <c r="H71"/>
      <c r="I71"/>
      <c r="J71"/>
      <c r="L71"/>
      <c r="M71"/>
      <c r="N71"/>
      <c r="O71"/>
      <c r="P71"/>
    </row>
    <row r="72" spans="2:16" x14ac:dyDescent="0.25">
      <c r="B72"/>
      <c r="C72"/>
      <c r="E72"/>
      <c r="F72"/>
      <c r="H72"/>
      <c r="I72"/>
      <c r="J72"/>
      <c r="L72"/>
      <c r="M72"/>
      <c r="N72"/>
      <c r="O72"/>
      <c r="P72"/>
    </row>
    <row r="73" spans="2:16" x14ac:dyDescent="0.25">
      <c r="B73"/>
      <c r="C73"/>
      <c r="E73"/>
      <c r="F73"/>
      <c r="H73"/>
      <c r="I73"/>
      <c r="J73"/>
      <c r="L73"/>
      <c r="M73"/>
      <c r="N73"/>
      <c r="O73"/>
      <c r="P73"/>
    </row>
    <row r="74" spans="2:16" x14ac:dyDescent="0.25">
      <c r="B74"/>
      <c r="C74"/>
      <c r="E74"/>
      <c r="F74"/>
      <c r="H74"/>
      <c r="I74"/>
      <c r="L74"/>
      <c r="M74"/>
      <c r="N74"/>
      <c r="O74"/>
      <c r="P74"/>
    </row>
    <row r="75" spans="2:16" x14ac:dyDescent="0.25">
      <c r="B75"/>
      <c r="C75"/>
      <c r="E75"/>
      <c r="F75"/>
      <c r="H75"/>
      <c r="I75"/>
      <c r="L75"/>
      <c r="M75"/>
      <c r="N75"/>
      <c r="O75"/>
      <c r="P75"/>
    </row>
    <row r="76" spans="2:16" x14ac:dyDescent="0.25">
      <c r="B76"/>
      <c r="C76"/>
      <c r="E76"/>
      <c r="F76"/>
      <c r="H76"/>
      <c r="I76"/>
      <c r="L76"/>
      <c r="M76"/>
      <c r="N76"/>
      <c r="O76"/>
      <c r="P76"/>
    </row>
    <row r="77" spans="2:16" x14ac:dyDescent="0.25">
      <c r="H77"/>
      <c r="I77"/>
      <c r="L77"/>
      <c r="M77"/>
      <c r="N77"/>
      <c r="O77"/>
      <c r="P77"/>
    </row>
    <row r="78" spans="2:16" x14ac:dyDescent="0.25">
      <c r="L78"/>
      <c r="M78"/>
      <c r="N78"/>
      <c r="O78"/>
      <c r="P78"/>
    </row>
    <row r="79" spans="2:16" x14ac:dyDescent="0.25">
      <c r="L79"/>
      <c r="M79"/>
      <c r="N79"/>
      <c r="O79"/>
    </row>
    <row r="80" spans="2:16" x14ac:dyDescent="0.25">
      <c r="L80"/>
      <c r="M80"/>
      <c r="N80"/>
      <c r="O80"/>
    </row>
    <row r="81" spans="1:22" x14ac:dyDescent="0.25">
      <c r="L81"/>
      <c r="M81"/>
      <c r="N81"/>
      <c r="O81"/>
    </row>
    <row r="82" spans="1:22" x14ac:dyDescent="0.25">
      <c r="L82"/>
      <c r="M82"/>
      <c r="N82"/>
      <c r="O82"/>
    </row>
    <row r="83" spans="1:22" x14ac:dyDescent="0.25">
      <c r="L83"/>
      <c r="M83"/>
      <c r="N83"/>
      <c r="O83"/>
    </row>
    <row r="84" spans="1:22" x14ac:dyDescent="0.25">
      <c r="L84"/>
      <c r="M84"/>
      <c r="N84"/>
      <c r="O84"/>
    </row>
    <row r="85" spans="1:22" x14ac:dyDescent="0.25">
      <c r="L85"/>
      <c r="M85"/>
      <c r="N85"/>
      <c r="O85"/>
    </row>
    <row r="86" spans="1:22" x14ac:dyDescent="0.25">
      <c r="L86"/>
      <c r="M86"/>
      <c r="N86"/>
      <c r="O86"/>
    </row>
    <row r="87" spans="1:22" x14ac:dyDescent="0.25">
      <c r="L87"/>
      <c r="M87"/>
      <c r="N87"/>
      <c r="O87"/>
    </row>
    <row r="88" spans="1:22" x14ac:dyDescent="0.25">
      <c r="L88"/>
      <c r="M88"/>
      <c r="N88"/>
      <c r="O88"/>
    </row>
    <row r="89" spans="1:22" s="9" customFormat="1" ht="15.75" thickBot="1" x14ac:dyDescent="0.3">
      <c r="D89" s="10"/>
      <c r="E89" s="10"/>
      <c r="F89" s="10"/>
      <c r="H89" s="10"/>
      <c r="I89" s="10"/>
      <c r="L89"/>
      <c r="M89"/>
      <c r="N89"/>
      <c r="O89"/>
    </row>
    <row r="90" spans="1:22" s="8" customFormat="1" ht="16.5" thickTop="1" thickBot="1" x14ac:dyDescent="0.3">
      <c r="D90"/>
      <c r="E90"/>
      <c r="F90"/>
      <c r="H90"/>
      <c r="I90"/>
      <c r="L90"/>
      <c r="M90"/>
      <c r="N90"/>
      <c r="O90"/>
    </row>
    <row r="91" spans="1:22" ht="15.75" thickTop="1" x14ac:dyDescent="0.25">
      <c r="A91" s="58" t="s">
        <v>30</v>
      </c>
      <c r="B91" s="58"/>
      <c r="D91"/>
      <c r="E91"/>
      <c r="F91"/>
      <c r="H91"/>
      <c r="I91"/>
      <c r="L91"/>
      <c r="M91"/>
      <c r="N91"/>
      <c r="O91"/>
    </row>
    <row r="92" spans="1:22" x14ac:dyDescent="0.25">
      <c r="A92" s="59"/>
      <c r="B92" s="59"/>
      <c r="D92"/>
      <c r="E92"/>
      <c r="F92"/>
      <c r="L92"/>
      <c r="M92"/>
      <c r="N92"/>
      <c r="O92"/>
    </row>
    <row r="93" spans="1:22" x14ac:dyDescent="0.25">
      <c r="L93" t="s">
        <v>35</v>
      </c>
      <c r="M93"/>
      <c r="N93"/>
      <c r="O93"/>
    </row>
    <row r="94" spans="1:22" x14ac:dyDescent="0.25">
      <c r="A94" s="5" t="s">
        <v>25</v>
      </c>
      <c r="B94" s="5" t="s">
        <v>37</v>
      </c>
      <c r="C94" s="5" t="s">
        <v>69</v>
      </c>
      <c r="D94" s="5" t="s">
        <v>74</v>
      </c>
      <c r="L94"/>
      <c r="M94"/>
      <c r="N94"/>
      <c r="O94"/>
    </row>
    <row r="95" spans="1:22" x14ac:dyDescent="0.25">
      <c r="C95" s="5" t="s">
        <v>92</v>
      </c>
      <c r="D95" s="55">
        <v>44562</v>
      </c>
      <c r="E95" s="55"/>
      <c r="L95" s="20" t="s">
        <v>17</v>
      </c>
      <c r="M95" s="20" t="s">
        <v>36</v>
      </c>
      <c r="N95"/>
      <c r="O95"/>
      <c r="P95"/>
      <c r="Q95"/>
      <c r="R95"/>
      <c r="S95"/>
      <c r="T95"/>
      <c r="U95"/>
      <c r="V95"/>
    </row>
    <row r="96" spans="1:22" x14ac:dyDescent="0.25">
      <c r="A96" s="5" t="s">
        <v>31</v>
      </c>
      <c r="B96" s="5" t="s">
        <v>38</v>
      </c>
      <c r="D96" s="55">
        <v>45291</v>
      </c>
      <c r="E96" s="55"/>
      <c r="L96" s="20" t="s">
        <v>26</v>
      </c>
      <c r="M96">
        <v>2022</v>
      </c>
      <c r="N96">
        <v>2015</v>
      </c>
      <c r="O96">
        <v>2016</v>
      </c>
      <c r="P96">
        <v>2017</v>
      </c>
      <c r="Q96">
        <v>2018</v>
      </c>
      <c r="R96">
        <v>2019</v>
      </c>
      <c r="S96">
        <v>2020</v>
      </c>
      <c r="T96">
        <v>2021</v>
      </c>
      <c r="U96"/>
      <c r="V96"/>
    </row>
    <row r="97" spans="12:22" x14ac:dyDescent="0.25">
      <c r="L97" s="21" t="s">
        <v>78</v>
      </c>
      <c r="M97" s="66">
        <v>25780</v>
      </c>
      <c r="N97" s="66">
        <v>26145</v>
      </c>
      <c r="O97" s="66">
        <v>26235</v>
      </c>
      <c r="P97" s="66">
        <v>25840</v>
      </c>
      <c r="Q97" s="66">
        <v>26145</v>
      </c>
      <c r="R97" s="66">
        <v>25785</v>
      </c>
      <c r="S97" s="66">
        <v>26285</v>
      </c>
      <c r="T97" s="66">
        <v>26165</v>
      </c>
      <c r="U97"/>
      <c r="V97"/>
    </row>
    <row r="98" spans="12:22" x14ac:dyDescent="0.25">
      <c r="L98" s="21" t="s">
        <v>79</v>
      </c>
      <c r="M98" s="66">
        <v>81000</v>
      </c>
      <c r="N98" s="66">
        <v>80000</v>
      </c>
      <c r="O98" s="66">
        <v>80000</v>
      </c>
      <c r="P98" s="66">
        <v>80000</v>
      </c>
      <c r="Q98" s="66">
        <v>81000</v>
      </c>
      <c r="R98" s="66">
        <v>80000</v>
      </c>
      <c r="S98" s="66">
        <v>80000</v>
      </c>
      <c r="T98" s="66">
        <v>80000</v>
      </c>
      <c r="U98"/>
      <c r="V98"/>
    </row>
    <row r="99" spans="12:22" x14ac:dyDescent="0.25">
      <c r="L99"/>
      <c r="M99"/>
      <c r="N99"/>
      <c r="O99"/>
    </row>
    <row r="100" spans="12:22" x14ac:dyDescent="0.25">
      <c r="L100"/>
      <c r="M100"/>
      <c r="N100"/>
      <c r="O100"/>
    </row>
    <row r="101" spans="12:22" x14ac:dyDescent="0.25">
      <c r="L101"/>
      <c r="M101"/>
      <c r="N101"/>
      <c r="O101"/>
    </row>
    <row r="102" spans="12:22" x14ac:dyDescent="0.25">
      <c r="L102"/>
      <c r="M102"/>
      <c r="N102"/>
      <c r="O102"/>
    </row>
    <row r="103" spans="12:22" x14ac:dyDescent="0.25">
      <c r="L103"/>
      <c r="M103"/>
      <c r="N103"/>
      <c r="O103"/>
    </row>
    <row r="104" spans="12:22" x14ac:dyDescent="0.25">
      <c r="L104"/>
      <c r="M104"/>
      <c r="N104"/>
      <c r="O104"/>
    </row>
    <row r="105" spans="12:22" x14ac:dyDescent="0.25">
      <c r="L105"/>
      <c r="M105"/>
      <c r="N105"/>
      <c r="O105"/>
    </row>
    <row r="106" spans="12:22" x14ac:dyDescent="0.25">
      <c r="L106"/>
      <c r="M106"/>
      <c r="N106"/>
      <c r="O106"/>
    </row>
    <row r="107" spans="12:22" x14ac:dyDescent="0.25">
      <c r="L107"/>
      <c r="M107"/>
      <c r="N107"/>
      <c r="O107"/>
    </row>
    <row r="108" spans="12:22" x14ac:dyDescent="0.25">
      <c r="L108"/>
      <c r="M108"/>
      <c r="N108"/>
      <c r="O108"/>
    </row>
    <row r="109" spans="12:22" x14ac:dyDescent="0.25">
      <c r="L109"/>
      <c r="M109"/>
      <c r="N109"/>
      <c r="O109"/>
    </row>
    <row r="110" spans="12:22" x14ac:dyDescent="0.25">
      <c r="L110"/>
      <c r="M110"/>
      <c r="N110"/>
      <c r="O110"/>
    </row>
    <row r="111" spans="12:22" x14ac:dyDescent="0.25">
      <c r="L111"/>
      <c r="M111"/>
      <c r="N111"/>
      <c r="O111"/>
    </row>
    <row r="112" spans="12:22" x14ac:dyDescent="0.25">
      <c r="L112"/>
      <c r="M112"/>
      <c r="N112"/>
      <c r="O112"/>
    </row>
    <row r="113" spans="2:15" x14ac:dyDescent="0.25">
      <c r="L113"/>
      <c r="M113"/>
      <c r="N113"/>
      <c r="O113"/>
    </row>
    <row r="114" spans="2:15" x14ac:dyDescent="0.25">
      <c r="L114"/>
      <c r="M114"/>
      <c r="N114"/>
      <c r="O114"/>
    </row>
    <row r="115" spans="2:15" x14ac:dyDescent="0.25">
      <c r="L115"/>
      <c r="M115"/>
      <c r="N115"/>
      <c r="O115"/>
    </row>
    <row r="116" spans="2:15" x14ac:dyDescent="0.25">
      <c r="L116"/>
      <c r="M116"/>
      <c r="N116"/>
      <c r="O116"/>
    </row>
    <row r="117" spans="2:15" x14ac:dyDescent="0.25">
      <c r="L117"/>
      <c r="M117"/>
      <c r="N117"/>
      <c r="O117"/>
    </row>
    <row r="118" spans="2:15" x14ac:dyDescent="0.25">
      <c r="L118"/>
      <c r="M118"/>
      <c r="N118"/>
      <c r="O118"/>
    </row>
    <row r="119" spans="2:15" x14ac:dyDescent="0.25">
      <c r="L119"/>
      <c r="M119"/>
      <c r="N119"/>
      <c r="O119"/>
    </row>
    <row r="120" spans="2:15" x14ac:dyDescent="0.25">
      <c r="L120"/>
      <c r="M120"/>
      <c r="N120"/>
      <c r="O120"/>
    </row>
    <row r="121" spans="2:15" x14ac:dyDescent="0.25">
      <c r="B121"/>
      <c r="C121"/>
      <c r="D121"/>
      <c r="L121"/>
      <c r="M121"/>
      <c r="N121"/>
      <c r="O121"/>
    </row>
    <row r="122" spans="2:15" x14ac:dyDescent="0.25">
      <c r="B122"/>
      <c r="C122"/>
      <c r="D122"/>
      <c r="L122"/>
      <c r="M122"/>
      <c r="N122"/>
      <c r="O122"/>
    </row>
    <row r="123" spans="2:15" x14ac:dyDescent="0.25">
      <c r="B123"/>
      <c r="C123"/>
      <c r="D123"/>
      <c r="L123"/>
      <c r="M123"/>
      <c r="N123"/>
      <c r="O123"/>
    </row>
    <row r="124" spans="2:15" x14ac:dyDescent="0.25">
      <c r="B124"/>
      <c r="C124"/>
      <c r="D124"/>
      <c r="L124"/>
      <c r="M124"/>
      <c r="N124"/>
      <c r="O124"/>
    </row>
    <row r="125" spans="2:15" x14ac:dyDescent="0.25">
      <c r="B125"/>
      <c r="C125"/>
      <c r="D125"/>
      <c r="L125"/>
      <c r="M125"/>
      <c r="N125"/>
      <c r="O125"/>
    </row>
    <row r="126" spans="2:15" x14ac:dyDescent="0.25">
      <c r="B126"/>
      <c r="C126"/>
      <c r="D126"/>
      <c r="L126"/>
      <c r="M126"/>
      <c r="N126"/>
      <c r="O126"/>
    </row>
    <row r="127" spans="2:15" x14ac:dyDescent="0.25">
      <c r="B127"/>
      <c r="C127"/>
      <c r="D127"/>
      <c r="L127"/>
      <c r="M127"/>
      <c r="N127"/>
      <c r="O127"/>
    </row>
    <row r="128" spans="2:15" x14ac:dyDescent="0.25">
      <c r="B128"/>
      <c r="C128"/>
      <c r="D128"/>
      <c r="L128"/>
      <c r="M128"/>
      <c r="N128"/>
      <c r="O128"/>
    </row>
    <row r="129" spans="2:15" x14ac:dyDescent="0.25">
      <c r="B129"/>
      <c r="C129"/>
      <c r="D129"/>
      <c r="L129"/>
      <c r="M129"/>
      <c r="N129"/>
      <c r="O129"/>
    </row>
    <row r="130" spans="2:15" x14ac:dyDescent="0.25">
      <c r="B130"/>
      <c r="C130"/>
      <c r="D130"/>
      <c r="L130"/>
      <c r="M130"/>
      <c r="N130"/>
      <c r="O130"/>
    </row>
    <row r="131" spans="2:15" x14ac:dyDescent="0.25">
      <c r="B131"/>
      <c r="C131"/>
      <c r="D131"/>
      <c r="L131"/>
      <c r="M131"/>
      <c r="N131"/>
      <c r="O131"/>
    </row>
    <row r="132" spans="2:15" x14ac:dyDescent="0.25">
      <c r="B132"/>
      <c r="C132"/>
      <c r="D132"/>
      <c r="L132"/>
      <c r="M132"/>
      <c r="N132"/>
      <c r="O132"/>
    </row>
    <row r="133" spans="2:15" x14ac:dyDescent="0.25">
      <c r="B133"/>
      <c r="C133"/>
      <c r="D133"/>
      <c r="L133"/>
      <c r="M133"/>
      <c r="N133"/>
      <c r="O133"/>
    </row>
    <row r="134" spans="2:15" x14ac:dyDescent="0.25">
      <c r="B134"/>
      <c r="C134"/>
      <c r="D134"/>
      <c r="L134"/>
      <c r="M134"/>
      <c r="N134"/>
      <c r="O134"/>
    </row>
    <row r="135" spans="2:15" x14ac:dyDescent="0.25">
      <c r="B135"/>
      <c r="C135"/>
      <c r="D135"/>
      <c r="L135"/>
      <c r="M135"/>
      <c r="N135"/>
      <c r="O135"/>
    </row>
    <row r="136" spans="2:15" x14ac:dyDescent="0.25">
      <c r="B136"/>
      <c r="C136"/>
      <c r="D136"/>
      <c r="L136"/>
      <c r="M136"/>
      <c r="N136"/>
      <c r="O136"/>
    </row>
    <row r="137" spans="2:15" x14ac:dyDescent="0.25">
      <c r="B137"/>
      <c r="C137"/>
      <c r="D137"/>
      <c r="L137"/>
      <c r="M137"/>
      <c r="N137"/>
      <c r="O137"/>
    </row>
    <row r="138" spans="2:15" x14ac:dyDescent="0.25">
      <c r="B138"/>
      <c r="C138"/>
      <c r="D138"/>
      <c r="L138"/>
      <c r="M138"/>
      <c r="N138"/>
      <c r="O138"/>
    </row>
    <row r="139" spans="2:15" x14ac:dyDescent="0.25">
      <c r="B139"/>
      <c r="C139"/>
      <c r="D139"/>
      <c r="L139"/>
      <c r="M139"/>
      <c r="N139"/>
      <c r="O139"/>
    </row>
    <row r="140" spans="2:15" x14ac:dyDescent="0.25">
      <c r="B140"/>
      <c r="C140"/>
      <c r="D140"/>
      <c r="L140"/>
      <c r="M140"/>
      <c r="N140"/>
      <c r="O140"/>
    </row>
    <row r="141" spans="2:15" x14ac:dyDescent="0.25">
      <c r="B141"/>
      <c r="C141"/>
      <c r="L141"/>
      <c r="M141"/>
      <c r="N141"/>
      <c r="O141"/>
    </row>
    <row r="142" spans="2:15" x14ac:dyDescent="0.25">
      <c r="L142"/>
      <c r="M142"/>
      <c r="N142"/>
      <c r="O142"/>
    </row>
    <row r="143" spans="2:15" x14ac:dyDescent="0.25">
      <c r="L143"/>
      <c r="M143"/>
      <c r="N143"/>
      <c r="O143"/>
    </row>
    <row r="144" spans="2:15" x14ac:dyDescent="0.25">
      <c r="L144"/>
      <c r="M144"/>
      <c r="N144"/>
      <c r="O144"/>
    </row>
    <row r="145" spans="12:15" x14ac:dyDescent="0.25">
      <c r="L145"/>
      <c r="M145"/>
      <c r="N145"/>
      <c r="O145"/>
    </row>
    <row r="146" spans="12:15" x14ac:dyDescent="0.25">
      <c r="L146"/>
      <c r="M146"/>
      <c r="N146"/>
      <c r="O146"/>
    </row>
    <row r="147" spans="12:15" x14ac:dyDescent="0.25">
      <c r="L147"/>
      <c r="M147"/>
      <c r="N147"/>
      <c r="O147"/>
    </row>
    <row r="148" spans="12:15" x14ac:dyDescent="0.25">
      <c r="L148"/>
      <c r="M148"/>
      <c r="N148"/>
      <c r="O148"/>
    </row>
    <row r="149" spans="12:15" x14ac:dyDescent="0.25">
      <c r="L149"/>
      <c r="M149"/>
      <c r="N149"/>
      <c r="O149"/>
    </row>
    <row r="150" spans="12:15" x14ac:dyDescent="0.25">
      <c r="L150"/>
      <c r="M150"/>
      <c r="N150"/>
      <c r="O150"/>
    </row>
    <row r="151" spans="12:15" x14ac:dyDescent="0.25">
      <c r="L151"/>
      <c r="M151"/>
      <c r="N151"/>
      <c r="O151"/>
    </row>
    <row r="152" spans="12:15" x14ac:dyDescent="0.25">
      <c r="L152"/>
      <c r="M152"/>
      <c r="N152"/>
      <c r="O152"/>
    </row>
    <row r="153" spans="12:15" x14ac:dyDescent="0.25">
      <c r="L153"/>
      <c r="M153"/>
      <c r="N153"/>
      <c r="O153"/>
    </row>
    <row r="154" spans="12:15" x14ac:dyDescent="0.25">
      <c r="L154"/>
      <c r="M154"/>
      <c r="N154"/>
      <c r="O154"/>
    </row>
    <row r="155" spans="12:15" x14ac:dyDescent="0.25">
      <c r="L155"/>
      <c r="M155"/>
      <c r="N155"/>
      <c r="O155"/>
    </row>
    <row r="156" spans="12:15" x14ac:dyDescent="0.25">
      <c r="L156"/>
      <c r="M156"/>
      <c r="N156"/>
      <c r="O156"/>
    </row>
    <row r="157" spans="12:15" x14ac:dyDescent="0.25">
      <c r="L157"/>
      <c r="M157"/>
      <c r="N157"/>
      <c r="O157"/>
    </row>
    <row r="158" spans="12:15" x14ac:dyDescent="0.25">
      <c r="L158"/>
      <c r="M158"/>
      <c r="N158"/>
      <c r="O158"/>
    </row>
    <row r="159" spans="12:15" x14ac:dyDescent="0.25">
      <c r="L159"/>
      <c r="M159"/>
      <c r="N159"/>
      <c r="O159"/>
    </row>
    <row r="160" spans="12:15" x14ac:dyDescent="0.25">
      <c r="L160"/>
      <c r="M160"/>
      <c r="N160"/>
      <c r="O160"/>
    </row>
    <row r="161" spans="12:15" x14ac:dyDescent="0.25">
      <c r="L161"/>
      <c r="M161"/>
      <c r="N161"/>
      <c r="O161"/>
    </row>
    <row r="162" spans="12:15" x14ac:dyDescent="0.25">
      <c r="L162"/>
      <c r="M162"/>
      <c r="N162"/>
      <c r="O162"/>
    </row>
    <row r="163" spans="12:15" x14ac:dyDescent="0.25">
      <c r="L163"/>
      <c r="M163"/>
      <c r="N163"/>
      <c r="O163"/>
    </row>
    <row r="164" spans="12:15" x14ac:dyDescent="0.25">
      <c r="L164"/>
      <c r="M164"/>
      <c r="N164"/>
      <c r="O164"/>
    </row>
    <row r="165" spans="12:15" x14ac:dyDescent="0.25">
      <c r="L165"/>
      <c r="M165"/>
      <c r="N165"/>
      <c r="O165"/>
    </row>
    <row r="166" spans="12:15" x14ac:dyDescent="0.25">
      <c r="L166"/>
      <c r="M166"/>
      <c r="N166"/>
      <c r="O166"/>
    </row>
    <row r="167" spans="12:15" x14ac:dyDescent="0.25">
      <c r="L167"/>
      <c r="M167"/>
      <c r="N167"/>
      <c r="O167"/>
    </row>
    <row r="168" spans="12:15" x14ac:dyDescent="0.25">
      <c r="L168"/>
      <c r="M168"/>
      <c r="N168"/>
      <c r="O168"/>
    </row>
    <row r="169" spans="12:15" x14ac:dyDescent="0.25">
      <c r="L169"/>
      <c r="M169"/>
      <c r="N169"/>
      <c r="O169"/>
    </row>
    <row r="170" spans="12:15" x14ac:dyDescent="0.25">
      <c r="L170"/>
      <c r="M170"/>
      <c r="N170"/>
      <c r="O170"/>
    </row>
    <row r="171" spans="12:15" x14ac:dyDescent="0.25">
      <c r="L171"/>
      <c r="M171"/>
      <c r="N171"/>
      <c r="O171"/>
    </row>
    <row r="172" spans="12:15" x14ac:dyDescent="0.25">
      <c r="L172"/>
      <c r="M172"/>
      <c r="N172"/>
      <c r="O172"/>
    </row>
    <row r="173" spans="12:15" x14ac:dyDescent="0.25">
      <c r="L173"/>
      <c r="M173"/>
      <c r="N173"/>
      <c r="O173"/>
    </row>
    <row r="174" spans="12:15" x14ac:dyDescent="0.25">
      <c r="L174"/>
      <c r="M174"/>
      <c r="N174"/>
      <c r="O174"/>
    </row>
    <row r="175" spans="12:15" x14ac:dyDescent="0.25">
      <c r="L175"/>
      <c r="M175"/>
      <c r="N175"/>
      <c r="O175"/>
    </row>
    <row r="176" spans="12:15" x14ac:dyDescent="0.25">
      <c r="L176"/>
      <c r="M176"/>
      <c r="N176"/>
      <c r="O176"/>
    </row>
    <row r="177" spans="12:15" x14ac:dyDescent="0.25">
      <c r="L177"/>
      <c r="M177"/>
      <c r="N177"/>
      <c r="O177"/>
    </row>
    <row r="178" spans="12:15" x14ac:dyDescent="0.25">
      <c r="L178"/>
      <c r="M178"/>
      <c r="N178"/>
      <c r="O178"/>
    </row>
    <row r="179" spans="12:15" x14ac:dyDescent="0.25">
      <c r="L179"/>
      <c r="M179"/>
      <c r="N179"/>
      <c r="O179"/>
    </row>
    <row r="180" spans="12:15" x14ac:dyDescent="0.25">
      <c r="L180"/>
      <c r="M180"/>
      <c r="N180"/>
      <c r="O180"/>
    </row>
    <row r="181" spans="12:15" x14ac:dyDescent="0.25">
      <c r="L181"/>
      <c r="M181"/>
      <c r="N181"/>
      <c r="O181"/>
    </row>
    <row r="182" spans="12:15" x14ac:dyDescent="0.25">
      <c r="L182"/>
      <c r="M182"/>
      <c r="N182"/>
      <c r="O182"/>
    </row>
    <row r="183" spans="12:15" x14ac:dyDescent="0.25">
      <c r="L183"/>
      <c r="M183"/>
      <c r="N183"/>
      <c r="O183"/>
    </row>
    <row r="184" spans="12:15" x14ac:dyDescent="0.25">
      <c r="L184"/>
      <c r="M184"/>
      <c r="N184"/>
      <c r="O184"/>
    </row>
    <row r="185" spans="12:15" x14ac:dyDescent="0.25">
      <c r="L185"/>
      <c r="M185"/>
      <c r="N185"/>
      <c r="O185"/>
    </row>
    <row r="186" spans="12:15" x14ac:dyDescent="0.25">
      <c r="L186"/>
      <c r="M186"/>
      <c r="N186"/>
      <c r="O186"/>
    </row>
    <row r="187" spans="12:15" x14ac:dyDescent="0.25">
      <c r="L187"/>
      <c r="M187"/>
      <c r="N187"/>
      <c r="O187"/>
    </row>
    <row r="188" spans="12:15" x14ac:dyDescent="0.25">
      <c r="L188"/>
      <c r="M188"/>
      <c r="N188"/>
      <c r="O188"/>
    </row>
    <row r="189" spans="12:15" x14ac:dyDescent="0.25">
      <c r="L189"/>
      <c r="M189"/>
      <c r="N189"/>
      <c r="O189"/>
    </row>
    <row r="190" spans="12:15" x14ac:dyDescent="0.25">
      <c r="L190"/>
      <c r="M190"/>
      <c r="N190"/>
      <c r="O190"/>
    </row>
    <row r="191" spans="12:15" x14ac:dyDescent="0.25">
      <c r="L191"/>
      <c r="M191"/>
      <c r="N191"/>
      <c r="O191"/>
    </row>
    <row r="192" spans="12:15" x14ac:dyDescent="0.25">
      <c r="L192"/>
      <c r="M192"/>
      <c r="N192"/>
      <c r="O192"/>
    </row>
    <row r="193" spans="12:15" x14ac:dyDescent="0.25">
      <c r="L193"/>
      <c r="M193"/>
      <c r="N193"/>
      <c r="O193"/>
    </row>
    <row r="194" spans="12:15" x14ac:dyDescent="0.25">
      <c r="L194"/>
      <c r="M194"/>
      <c r="N194"/>
      <c r="O194"/>
    </row>
    <row r="195" spans="12:15" x14ac:dyDescent="0.25">
      <c r="L195"/>
      <c r="M195"/>
      <c r="N195"/>
      <c r="O195"/>
    </row>
    <row r="196" spans="12:15" x14ac:dyDescent="0.25">
      <c r="L196"/>
      <c r="M196"/>
      <c r="N196"/>
      <c r="O196"/>
    </row>
    <row r="197" spans="12:15" x14ac:dyDescent="0.25">
      <c r="L197"/>
      <c r="M197"/>
      <c r="N197"/>
      <c r="O197"/>
    </row>
    <row r="198" spans="12:15" x14ac:dyDescent="0.25">
      <c r="L198"/>
      <c r="M198"/>
      <c r="N198"/>
      <c r="O198"/>
    </row>
    <row r="199" spans="12:15" x14ac:dyDescent="0.25">
      <c r="L199"/>
      <c r="M199"/>
      <c r="N199"/>
      <c r="O199"/>
    </row>
    <row r="200" spans="12:15" x14ac:dyDescent="0.25">
      <c r="L200"/>
      <c r="M200"/>
      <c r="N200"/>
      <c r="O200"/>
    </row>
    <row r="201" spans="12:15" x14ac:dyDescent="0.25">
      <c r="L201"/>
      <c r="M201"/>
      <c r="N201"/>
      <c r="O201"/>
    </row>
    <row r="202" spans="12:15" x14ac:dyDescent="0.25">
      <c r="L202"/>
      <c r="M202"/>
      <c r="N202"/>
      <c r="O202"/>
    </row>
    <row r="203" spans="12:15" x14ac:dyDescent="0.25">
      <c r="L203"/>
      <c r="M203"/>
      <c r="N203"/>
      <c r="O203"/>
    </row>
    <row r="204" spans="12:15" x14ac:dyDescent="0.25">
      <c r="L204"/>
      <c r="M204"/>
      <c r="N204"/>
      <c r="O204"/>
    </row>
    <row r="205" spans="12:15" x14ac:dyDescent="0.25">
      <c r="L205"/>
      <c r="M205"/>
      <c r="N205"/>
      <c r="O205"/>
    </row>
    <row r="206" spans="12:15" x14ac:dyDescent="0.25">
      <c r="L206"/>
      <c r="M206"/>
      <c r="N206"/>
      <c r="O206"/>
    </row>
    <row r="207" spans="12:15" x14ac:dyDescent="0.25">
      <c r="L207"/>
      <c r="M207"/>
      <c r="N207"/>
      <c r="O207"/>
    </row>
    <row r="208" spans="12:15" x14ac:dyDescent="0.25">
      <c r="L208"/>
      <c r="M208"/>
      <c r="N208"/>
      <c r="O208"/>
    </row>
    <row r="209" spans="12:15" x14ac:dyDescent="0.25">
      <c r="L209"/>
      <c r="M209"/>
      <c r="N209"/>
      <c r="O209"/>
    </row>
    <row r="210" spans="12:15" x14ac:dyDescent="0.25">
      <c r="L210"/>
      <c r="M210"/>
      <c r="N210"/>
      <c r="O210"/>
    </row>
    <row r="211" spans="12:15" x14ac:dyDescent="0.25">
      <c r="L211"/>
      <c r="M211"/>
      <c r="N211"/>
      <c r="O211"/>
    </row>
    <row r="212" spans="12:15" x14ac:dyDescent="0.25">
      <c r="L212"/>
      <c r="M212"/>
      <c r="N212"/>
      <c r="O212"/>
    </row>
    <row r="213" spans="12:15" x14ac:dyDescent="0.25">
      <c r="L213"/>
      <c r="M213"/>
      <c r="N213"/>
      <c r="O213"/>
    </row>
    <row r="214" spans="12:15" x14ac:dyDescent="0.25">
      <c r="L214"/>
      <c r="M214"/>
      <c r="N214"/>
      <c r="O214"/>
    </row>
    <row r="215" spans="12:15" x14ac:dyDescent="0.25">
      <c r="L215"/>
      <c r="M215"/>
      <c r="N215"/>
      <c r="O215"/>
    </row>
    <row r="216" spans="12:15" x14ac:dyDescent="0.25">
      <c r="L216"/>
      <c r="M216"/>
      <c r="N216"/>
      <c r="O216"/>
    </row>
    <row r="217" spans="12:15" x14ac:dyDescent="0.25">
      <c r="L217"/>
      <c r="M217"/>
      <c r="N217"/>
      <c r="O217"/>
    </row>
    <row r="218" spans="12:15" x14ac:dyDescent="0.25">
      <c r="L218"/>
      <c r="M218"/>
      <c r="N218"/>
      <c r="O218"/>
    </row>
    <row r="219" spans="12:15" x14ac:dyDescent="0.25">
      <c r="L219"/>
      <c r="M219"/>
      <c r="N219"/>
      <c r="O219"/>
    </row>
    <row r="220" spans="12:15" x14ac:dyDescent="0.25">
      <c r="L220"/>
      <c r="M220"/>
      <c r="N220"/>
      <c r="O220"/>
    </row>
    <row r="221" spans="12:15" x14ac:dyDescent="0.25">
      <c r="L221"/>
      <c r="M221"/>
      <c r="N221"/>
      <c r="O221"/>
    </row>
    <row r="222" spans="12:15" x14ac:dyDescent="0.25">
      <c r="L222"/>
      <c r="M222"/>
      <c r="N222"/>
      <c r="O222"/>
    </row>
    <row r="223" spans="12:15" x14ac:dyDescent="0.25">
      <c r="L223"/>
      <c r="M223"/>
      <c r="N223"/>
      <c r="O223"/>
    </row>
    <row r="224" spans="12:15" x14ac:dyDescent="0.25">
      <c r="L224"/>
      <c r="M224"/>
      <c r="N224"/>
      <c r="O224"/>
    </row>
    <row r="225" spans="12:15" x14ac:dyDescent="0.25">
      <c r="L225"/>
      <c r="M225"/>
      <c r="N225"/>
      <c r="O225"/>
    </row>
    <row r="226" spans="12:15" x14ac:dyDescent="0.25">
      <c r="L226"/>
      <c r="M226"/>
      <c r="N226"/>
      <c r="O226"/>
    </row>
    <row r="227" spans="12:15" x14ac:dyDescent="0.25">
      <c r="L227"/>
      <c r="M227"/>
      <c r="N227"/>
      <c r="O227"/>
    </row>
    <row r="228" spans="12:15" x14ac:dyDescent="0.25">
      <c r="L228"/>
      <c r="M228"/>
      <c r="N228"/>
      <c r="O228"/>
    </row>
    <row r="229" spans="12:15" x14ac:dyDescent="0.25">
      <c r="L229"/>
      <c r="M229"/>
      <c r="N229"/>
      <c r="O229"/>
    </row>
    <row r="230" spans="12:15" x14ac:dyDescent="0.25">
      <c r="L230"/>
      <c r="M230"/>
      <c r="N230"/>
      <c r="O230"/>
    </row>
    <row r="231" spans="12:15" x14ac:dyDescent="0.25">
      <c r="L231"/>
      <c r="M231"/>
      <c r="N231"/>
      <c r="O231"/>
    </row>
    <row r="232" spans="12:15" x14ac:dyDescent="0.25">
      <c r="L232"/>
      <c r="M232"/>
      <c r="N232"/>
      <c r="O232"/>
    </row>
    <row r="233" spans="12:15" x14ac:dyDescent="0.25">
      <c r="L233"/>
      <c r="M233"/>
      <c r="N233"/>
      <c r="O233"/>
    </row>
    <row r="234" spans="12:15" x14ac:dyDescent="0.25">
      <c r="L234"/>
      <c r="M234"/>
      <c r="N234"/>
      <c r="O234"/>
    </row>
    <row r="235" spans="12:15" x14ac:dyDescent="0.25">
      <c r="L235"/>
      <c r="M235"/>
      <c r="N235"/>
      <c r="O235"/>
    </row>
    <row r="236" spans="12:15" x14ac:dyDescent="0.25">
      <c r="L236"/>
      <c r="M236"/>
      <c r="N236"/>
      <c r="O236"/>
    </row>
    <row r="237" spans="12:15" x14ac:dyDescent="0.25">
      <c r="L237"/>
      <c r="M237"/>
      <c r="N237"/>
      <c r="O237"/>
    </row>
    <row r="238" spans="12:15" x14ac:dyDescent="0.25">
      <c r="L238"/>
      <c r="M238"/>
      <c r="N238"/>
      <c r="O238"/>
    </row>
    <row r="239" spans="12:15" x14ac:dyDescent="0.25">
      <c r="L239"/>
      <c r="M239"/>
      <c r="N239"/>
      <c r="O239"/>
    </row>
    <row r="240" spans="12:15" x14ac:dyDescent="0.25">
      <c r="L240"/>
      <c r="M240"/>
      <c r="N240"/>
      <c r="O240"/>
    </row>
    <row r="241" spans="12:15" x14ac:dyDescent="0.25">
      <c r="L241"/>
      <c r="M241"/>
      <c r="N241"/>
      <c r="O241"/>
    </row>
    <row r="242" spans="12:15" x14ac:dyDescent="0.25">
      <c r="L242"/>
      <c r="M242"/>
      <c r="N242"/>
      <c r="O242"/>
    </row>
    <row r="243" spans="12:15" x14ac:dyDescent="0.25">
      <c r="L243"/>
      <c r="M243"/>
      <c r="N243"/>
      <c r="O243"/>
    </row>
    <row r="244" spans="12:15" x14ac:dyDescent="0.25">
      <c r="L244"/>
      <c r="M244"/>
      <c r="N244"/>
      <c r="O244"/>
    </row>
    <row r="245" spans="12:15" x14ac:dyDescent="0.25">
      <c r="L245"/>
      <c r="M245"/>
      <c r="N245"/>
      <c r="O245"/>
    </row>
    <row r="246" spans="12:15" x14ac:dyDescent="0.25">
      <c r="L246"/>
      <c r="M246"/>
      <c r="N246"/>
      <c r="O246"/>
    </row>
    <row r="247" spans="12:15" x14ac:dyDescent="0.25">
      <c r="L247"/>
      <c r="M247"/>
      <c r="N247"/>
      <c r="O247"/>
    </row>
    <row r="248" spans="12:15" x14ac:dyDescent="0.25">
      <c r="L248"/>
      <c r="M248"/>
      <c r="N248"/>
      <c r="O248"/>
    </row>
    <row r="249" spans="12:15" x14ac:dyDescent="0.25">
      <c r="L249"/>
      <c r="M249"/>
      <c r="N249"/>
      <c r="O249"/>
    </row>
    <row r="250" spans="12:15" x14ac:dyDescent="0.25">
      <c r="L250"/>
      <c r="M250"/>
      <c r="N250"/>
      <c r="O250"/>
    </row>
    <row r="251" spans="12:15" x14ac:dyDescent="0.25">
      <c r="L251"/>
      <c r="M251"/>
      <c r="N251"/>
      <c r="O251"/>
    </row>
    <row r="252" spans="12:15" x14ac:dyDescent="0.25">
      <c r="L252"/>
      <c r="M252"/>
      <c r="N252"/>
      <c r="O252"/>
    </row>
    <row r="253" spans="12:15" x14ac:dyDescent="0.25">
      <c r="L253"/>
      <c r="M253"/>
      <c r="N253"/>
      <c r="O253"/>
    </row>
    <row r="254" spans="12:15" x14ac:dyDescent="0.25">
      <c r="L254"/>
      <c r="M254"/>
      <c r="N254"/>
      <c r="O254"/>
    </row>
    <row r="255" spans="12:15" x14ac:dyDescent="0.25">
      <c r="L255"/>
      <c r="M255"/>
      <c r="N255"/>
      <c r="O255"/>
    </row>
    <row r="256" spans="12:15" x14ac:dyDescent="0.25">
      <c r="L256"/>
      <c r="M256"/>
      <c r="N256"/>
      <c r="O256"/>
    </row>
    <row r="257" spans="12:15" x14ac:dyDescent="0.25">
      <c r="L257"/>
      <c r="M257"/>
      <c r="N257"/>
      <c r="O257"/>
    </row>
    <row r="258" spans="12:15" x14ac:dyDescent="0.25">
      <c r="L258"/>
      <c r="M258"/>
      <c r="N258"/>
      <c r="O258"/>
    </row>
    <row r="259" spans="12:15" x14ac:dyDescent="0.25">
      <c r="L259"/>
      <c r="M259"/>
      <c r="N259"/>
      <c r="O259"/>
    </row>
    <row r="260" spans="12:15" x14ac:dyDescent="0.25">
      <c r="L260"/>
      <c r="M260"/>
      <c r="N260"/>
      <c r="O260"/>
    </row>
    <row r="261" spans="12:15" x14ac:dyDescent="0.25">
      <c r="L261"/>
      <c r="M261"/>
      <c r="N261"/>
      <c r="O261"/>
    </row>
    <row r="262" spans="12:15" x14ac:dyDescent="0.25">
      <c r="L262"/>
      <c r="M262"/>
      <c r="N262"/>
      <c r="O262"/>
    </row>
    <row r="263" spans="12:15" x14ac:dyDescent="0.25">
      <c r="L263"/>
      <c r="M263"/>
      <c r="N263"/>
      <c r="O263"/>
    </row>
    <row r="264" spans="12:15" x14ac:dyDescent="0.25">
      <c r="L264"/>
      <c r="M264"/>
      <c r="N264"/>
      <c r="O264"/>
    </row>
    <row r="265" spans="12:15" x14ac:dyDescent="0.25">
      <c r="L265"/>
      <c r="M265"/>
      <c r="N265"/>
      <c r="O265"/>
    </row>
    <row r="266" spans="12:15" x14ac:dyDescent="0.25">
      <c r="L266"/>
      <c r="M266"/>
      <c r="N266"/>
      <c r="O266"/>
    </row>
    <row r="267" spans="12:15" x14ac:dyDescent="0.25">
      <c r="L267"/>
      <c r="M267"/>
      <c r="N267"/>
      <c r="O267"/>
    </row>
    <row r="268" spans="12:15" x14ac:dyDescent="0.25">
      <c r="L268"/>
      <c r="M268"/>
      <c r="N268"/>
      <c r="O268"/>
    </row>
    <row r="269" spans="12:15" x14ac:dyDescent="0.25">
      <c r="L269"/>
      <c r="M269"/>
      <c r="N269"/>
      <c r="O269"/>
    </row>
    <row r="270" spans="12:15" x14ac:dyDescent="0.25">
      <c r="L270"/>
      <c r="M270"/>
      <c r="N270"/>
      <c r="O270"/>
    </row>
    <row r="271" spans="12:15" x14ac:dyDescent="0.25">
      <c r="L271"/>
      <c r="M271"/>
      <c r="N271"/>
      <c r="O271"/>
    </row>
    <row r="272" spans="12:15" x14ac:dyDescent="0.25">
      <c r="L272"/>
      <c r="M272"/>
      <c r="N272"/>
      <c r="O272"/>
    </row>
    <row r="273" spans="12:15" x14ac:dyDescent="0.25">
      <c r="L273"/>
      <c r="M273"/>
      <c r="N273"/>
      <c r="O273"/>
    </row>
    <row r="274" spans="12:15" x14ac:dyDescent="0.25">
      <c r="L274"/>
      <c r="M274"/>
      <c r="N274"/>
      <c r="O274"/>
    </row>
    <row r="275" spans="12:15" x14ac:dyDescent="0.25">
      <c r="L275"/>
      <c r="M275"/>
      <c r="N275"/>
      <c r="O275"/>
    </row>
    <row r="276" spans="12:15" x14ac:dyDescent="0.25">
      <c r="L276"/>
      <c r="M276"/>
      <c r="N276"/>
      <c r="O276"/>
    </row>
    <row r="277" spans="12:15" x14ac:dyDescent="0.25">
      <c r="L277"/>
      <c r="M277"/>
      <c r="N277"/>
      <c r="O277"/>
    </row>
    <row r="278" spans="12:15" x14ac:dyDescent="0.25">
      <c r="L278"/>
      <c r="M278"/>
      <c r="N278"/>
      <c r="O278"/>
    </row>
    <row r="279" spans="12:15" x14ac:dyDescent="0.25">
      <c r="L279"/>
      <c r="M279"/>
      <c r="N279"/>
      <c r="O279"/>
    </row>
    <row r="280" spans="12:15" x14ac:dyDescent="0.25">
      <c r="L280"/>
      <c r="M280"/>
      <c r="N280"/>
      <c r="O280"/>
    </row>
    <row r="281" spans="12:15" x14ac:dyDescent="0.25">
      <c r="L281"/>
      <c r="M281"/>
      <c r="N281"/>
      <c r="O281"/>
    </row>
    <row r="282" spans="12:15" x14ac:dyDescent="0.25">
      <c r="L282"/>
      <c r="M282"/>
      <c r="N282"/>
      <c r="O282"/>
    </row>
    <row r="283" spans="12:15" x14ac:dyDescent="0.25">
      <c r="L283"/>
      <c r="M283"/>
      <c r="N283"/>
      <c r="O283"/>
    </row>
    <row r="284" spans="12:15" x14ac:dyDescent="0.25">
      <c r="L284"/>
      <c r="M284"/>
      <c r="N284"/>
      <c r="O284"/>
    </row>
    <row r="285" spans="12:15" x14ac:dyDescent="0.25">
      <c r="L285"/>
      <c r="M285"/>
      <c r="N285"/>
      <c r="O285"/>
    </row>
    <row r="286" spans="12:15" x14ac:dyDescent="0.25">
      <c r="L286"/>
      <c r="M286"/>
      <c r="N286"/>
      <c r="O286"/>
    </row>
    <row r="287" spans="12:15" x14ac:dyDescent="0.25">
      <c r="L287"/>
      <c r="M287"/>
      <c r="N287"/>
      <c r="O287"/>
    </row>
    <row r="288" spans="12:15" x14ac:dyDescent="0.25">
      <c r="L288"/>
      <c r="M288"/>
      <c r="N288"/>
      <c r="O288"/>
    </row>
    <row r="289" spans="12:15" x14ac:dyDescent="0.25">
      <c r="L289"/>
      <c r="M289"/>
      <c r="N289"/>
      <c r="O289"/>
    </row>
    <row r="290" spans="12:15" x14ac:dyDescent="0.25">
      <c r="L290"/>
      <c r="M290"/>
      <c r="N290"/>
      <c r="O290"/>
    </row>
    <row r="291" spans="12:15" x14ac:dyDescent="0.25">
      <c r="L291"/>
      <c r="M291"/>
      <c r="N291"/>
      <c r="O291"/>
    </row>
    <row r="292" spans="12:15" x14ac:dyDescent="0.25">
      <c r="L292"/>
      <c r="M292"/>
      <c r="N292"/>
      <c r="O292"/>
    </row>
    <row r="293" spans="12:15" x14ac:dyDescent="0.25">
      <c r="L293"/>
      <c r="M293"/>
      <c r="N293"/>
      <c r="O293"/>
    </row>
    <row r="294" spans="12:15" x14ac:dyDescent="0.25">
      <c r="L294"/>
      <c r="M294"/>
      <c r="N294"/>
      <c r="O294"/>
    </row>
    <row r="295" spans="12:15" x14ac:dyDescent="0.25">
      <c r="L295"/>
      <c r="M295"/>
      <c r="N295"/>
      <c r="O295"/>
    </row>
    <row r="296" spans="12:15" x14ac:dyDescent="0.25">
      <c r="L296"/>
      <c r="M296"/>
      <c r="N296"/>
      <c r="O296"/>
    </row>
    <row r="297" spans="12:15" x14ac:dyDescent="0.25">
      <c r="L297"/>
      <c r="M297"/>
      <c r="N297"/>
      <c r="O297"/>
    </row>
    <row r="298" spans="12:15" x14ac:dyDescent="0.25">
      <c r="L298"/>
      <c r="M298"/>
      <c r="N298"/>
      <c r="O298"/>
    </row>
    <row r="299" spans="12:15" x14ac:dyDescent="0.25">
      <c r="L299"/>
      <c r="M299"/>
      <c r="N299"/>
      <c r="O299"/>
    </row>
    <row r="300" spans="12:15" x14ac:dyDescent="0.25">
      <c r="L300"/>
      <c r="M300"/>
      <c r="N300"/>
      <c r="O300"/>
    </row>
    <row r="301" spans="12:15" x14ac:dyDescent="0.25">
      <c r="L301"/>
      <c r="M301"/>
      <c r="N301"/>
      <c r="O301"/>
    </row>
    <row r="302" spans="12:15" x14ac:dyDescent="0.25">
      <c r="L302"/>
      <c r="M302"/>
      <c r="N302"/>
      <c r="O302"/>
    </row>
    <row r="303" spans="12:15" x14ac:dyDescent="0.25">
      <c r="L303"/>
      <c r="M303"/>
      <c r="N303"/>
      <c r="O303"/>
    </row>
    <row r="304" spans="12:15" x14ac:dyDescent="0.25">
      <c r="L304"/>
      <c r="M304"/>
      <c r="N304"/>
      <c r="O304"/>
    </row>
    <row r="305" spans="12:15" x14ac:dyDescent="0.25">
      <c r="L305"/>
      <c r="M305"/>
      <c r="N305"/>
      <c r="O305"/>
    </row>
    <row r="306" spans="12:15" x14ac:dyDescent="0.25">
      <c r="L306"/>
      <c r="M306"/>
      <c r="N306"/>
      <c r="O306"/>
    </row>
    <row r="307" spans="12:15" x14ac:dyDescent="0.25">
      <c r="L307"/>
      <c r="M307"/>
      <c r="N307"/>
      <c r="O307"/>
    </row>
    <row r="308" spans="12:15" x14ac:dyDescent="0.25">
      <c r="L308"/>
      <c r="M308"/>
      <c r="N308"/>
      <c r="O308"/>
    </row>
    <row r="309" spans="12:15" x14ac:dyDescent="0.25">
      <c r="L309"/>
      <c r="M309"/>
      <c r="N309"/>
      <c r="O309"/>
    </row>
    <row r="310" spans="12:15" x14ac:dyDescent="0.25">
      <c r="L310"/>
      <c r="M310"/>
      <c r="N310"/>
      <c r="O310"/>
    </row>
    <row r="311" spans="12:15" x14ac:dyDescent="0.25">
      <c r="L311"/>
      <c r="M311"/>
      <c r="N311"/>
      <c r="O311"/>
    </row>
    <row r="312" spans="12:15" x14ac:dyDescent="0.25">
      <c r="L312"/>
      <c r="M312"/>
      <c r="N312"/>
      <c r="O312"/>
    </row>
    <row r="313" spans="12:15" x14ac:dyDescent="0.25">
      <c r="L313"/>
      <c r="M313"/>
      <c r="N313"/>
      <c r="O313"/>
    </row>
    <row r="314" spans="12:15" x14ac:dyDescent="0.25">
      <c r="L314"/>
      <c r="M314"/>
      <c r="N314"/>
      <c r="O314"/>
    </row>
    <row r="315" spans="12:15" x14ac:dyDescent="0.25">
      <c r="L315"/>
      <c r="M315"/>
      <c r="N315"/>
      <c r="O315"/>
    </row>
    <row r="316" spans="12:15" x14ac:dyDescent="0.25">
      <c r="L316"/>
      <c r="M316"/>
      <c r="N316"/>
      <c r="O316"/>
    </row>
    <row r="317" spans="12:15" x14ac:dyDescent="0.25">
      <c r="L317"/>
      <c r="M317"/>
      <c r="N317"/>
      <c r="O317"/>
    </row>
    <row r="318" spans="12:15" x14ac:dyDescent="0.25">
      <c r="L318"/>
      <c r="M318"/>
      <c r="N318"/>
      <c r="O318"/>
    </row>
    <row r="319" spans="12:15" x14ac:dyDescent="0.25">
      <c r="L319"/>
      <c r="M319"/>
      <c r="N319"/>
      <c r="O319"/>
    </row>
    <row r="320" spans="12:15" x14ac:dyDescent="0.25">
      <c r="L320"/>
      <c r="M320"/>
      <c r="N320"/>
      <c r="O320"/>
    </row>
    <row r="321" spans="12:15" x14ac:dyDescent="0.25">
      <c r="L321"/>
      <c r="M321"/>
      <c r="N321"/>
      <c r="O321"/>
    </row>
    <row r="322" spans="12:15" x14ac:dyDescent="0.25">
      <c r="L322"/>
      <c r="M322"/>
      <c r="N322"/>
      <c r="O322"/>
    </row>
    <row r="323" spans="12:15" x14ac:dyDescent="0.25">
      <c r="L323"/>
      <c r="M323"/>
      <c r="N323"/>
      <c r="O323"/>
    </row>
    <row r="324" spans="12:15" x14ac:dyDescent="0.25">
      <c r="L324"/>
      <c r="M324"/>
      <c r="N324"/>
      <c r="O324"/>
    </row>
    <row r="325" spans="12:15" x14ac:dyDescent="0.25">
      <c r="L325"/>
      <c r="M325"/>
      <c r="N325"/>
      <c r="O325"/>
    </row>
    <row r="326" spans="12:15" x14ac:dyDescent="0.25">
      <c r="L326"/>
      <c r="M326"/>
      <c r="N326"/>
      <c r="O326"/>
    </row>
    <row r="327" spans="12:15" x14ac:dyDescent="0.25">
      <c r="L327"/>
      <c r="M327"/>
      <c r="N327"/>
      <c r="O327"/>
    </row>
    <row r="328" spans="12:15" x14ac:dyDescent="0.25">
      <c r="L328"/>
      <c r="M328"/>
      <c r="N328"/>
      <c r="O328"/>
    </row>
    <row r="329" spans="12:15" x14ac:dyDescent="0.25">
      <c r="L329"/>
      <c r="M329"/>
      <c r="N329"/>
      <c r="O329"/>
    </row>
    <row r="330" spans="12:15" x14ac:dyDescent="0.25">
      <c r="L330"/>
      <c r="M330"/>
      <c r="N330"/>
      <c r="O330"/>
    </row>
    <row r="331" spans="12:15" x14ac:dyDescent="0.25">
      <c r="L331"/>
      <c r="M331"/>
      <c r="N331"/>
      <c r="O331"/>
    </row>
    <row r="332" spans="12:15" x14ac:dyDescent="0.25">
      <c r="L332"/>
      <c r="M332"/>
      <c r="N332"/>
      <c r="O332"/>
    </row>
    <row r="333" spans="12:15" x14ac:dyDescent="0.25">
      <c r="L333"/>
      <c r="M333"/>
      <c r="N333"/>
      <c r="O333"/>
    </row>
    <row r="334" spans="12:15" x14ac:dyDescent="0.25">
      <c r="L334"/>
      <c r="M334"/>
      <c r="N334"/>
      <c r="O334"/>
    </row>
    <row r="335" spans="12:15" x14ac:dyDescent="0.25">
      <c r="L335"/>
      <c r="M335"/>
      <c r="N335"/>
      <c r="O335"/>
    </row>
    <row r="336" spans="12:15" x14ac:dyDescent="0.25">
      <c r="L336"/>
      <c r="M336"/>
      <c r="N336"/>
      <c r="O336"/>
    </row>
    <row r="337" spans="12:15" x14ac:dyDescent="0.25">
      <c r="L337"/>
      <c r="M337"/>
      <c r="N337"/>
      <c r="O337"/>
    </row>
    <row r="338" spans="12:15" x14ac:dyDescent="0.25">
      <c r="L338"/>
      <c r="M338"/>
      <c r="N338"/>
      <c r="O338"/>
    </row>
    <row r="339" spans="12:15" x14ac:dyDescent="0.25">
      <c r="L339"/>
      <c r="M339"/>
      <c r="N339"/>
      <c r="O339"/>
    </row>
    <row r="340" spans="12:15" x14ac:dyDescent="0.25">
      <c r="L340"/>
      <c r="M340"/>
      <c r="N340"/>
      <c r="O340"/>
    </row>
    <row r="341" spans="12:15" x14ac:dyDescent="0.25">
      <c r="L341"/>
      <c r="M341"/>
      <c r="N341"/>
      <c r="O341"/>
    </row>
    <row r="342" spans="12:15" x14ac:dyDescent="0.25">
      <c r="L342"/>
      <c r="M342"/>
      <c r="N342"/>
      <c r="O342"/>
    </row>
    <row r="343" spans="12:15" x14ac:dyDescent="0.25">
      <c r="L343"/>
      <c r="M343"/>
      <c r="N343"/>
      <c r="O343"/>
    </row>
    <row r="344" spans="12:15" x14ac:dyDescent="0.25">
      <c r="L344"/>
      <c r="M344"/>
      <c r="N344"/>
      <c r="O344"/>
    </row>
    <row r="345" spans="12:15" x14ac:dyDescent="0.25">
      <c r="L345"/>
      <c r="M345"/>
      <c r="N345"/>
      <c r="O345"/>
    </row>
    <row r="346" spans="12:15" x14ac:dyDescent="0.25">
      <c r="L346"/>
      <c r="M346"/>
      <c r="N346"/>
      <c r="O346"/>
    </row>
    <row r="347" spans="12:15" x14ac:dyDescent="0.25">
      <c r="L347"/>
      <c r="M347"/>
      <c r="N347"/>
      <c r="O347"/>
    </row>
    <row r="348" spans="12:15" x14ac:dyDescent="0.25">
      <c r="L348"/>
      <c r="M348"/>
      <c r="N348"/>
      <c r="O348"/>
    </row>
    <row r="349" spans="12:15" x14ac:dyDescent="0.25">
      <c r="L349"/>
      <c r="M349"/>
      <c r="N349"/>
      <c r="O349"/>
    </row>
    <row r="350" spans="12:15" x14ac:dyDescent="0.25">
      <c r="L350"/>
      <c r="M350"/>
      <c r="N350"/>
      <c r="O350"/>
    </row>
    <row r="351" spans="12:15" x14ac:dyDescent="0.25">
      <c r="L351"/>
      <c r="M351"/>
      <c r="N351"/>
      <c r="O351"/>
    </row>
    <row r="352" spans="12:15" x14ac:dyDescent="0.25">
      <c r="L352"/>
      <c r="M352"/>
      <c r="N352"/>
      <c r="O352"/>
    </row>
    <row r="353" spans="12:15" x14ac:dyDescent="0.25">
      <c r="L353"/>
      <c r="M353"/>
      <c r="N353"/>
      <c r="O353"/>
    </row>
    <row r="354" spans="12:15" x14ac:dyDescent="0.25">
      <c r="L354"/>
      <c r="M354"/>
      <c r="N354"/>
      <c r="O354"/>
    </row>
    <row r="355" spans="12:15" x14ac:dyDescent="0.25">
      <c r="L355"/>
      <c r="M355"/>
      <c r="N355"/>
      <c r="O355"/>
    </row>
    <row r="356" spans="12:15" x14ac:dyDescent="0.25">
      <c r="L356"/>
      <c r="M356"/>
      <c r="N356"/>
      <c r="O356"/>
    </row>
    <row r="357" spans="12:15" x14ac:dyDescent="0.25">
      <c r="L357"/>
      <c r="M357"/>
      <c r="N357"/>
      <c r="O357"/>
    </row>
    <row r="358" spans="12:15" x14ac:dyDescent="0.25">
      <c r="L358"/>
      <c r="M358"/>
      <c r="N358"/>
      <c r="O358"/>
    </row>
    <row r="359" spans="12:15" x14ac:dyDescent="0.25">
      <c r="L359"/>
      <c r="M359"/>
      <c r="N359"/>
      <c r="O359"/>
    </row>
    <row r="360" spans="12:15" x14ac:dyDescent="0.25">
      <c r="L360"/>
      <c r="M360"/>
      <c r="N360"/>
      <c r="O360"/>
    </row>
    <row r="361" spans="12:15" x14ac:dyDescent="0.25">
      <c r="L361"/>
      <c r="M361"/>
      <c r="N361"/>
      <c r="O361"/>
    </row>
    <row r="362" spans="12:15" x14ac:dyDescent="0.25">
      <c r="L362"/>
      <c r="M362"/>
      <c r="N362"/>
      <c r="O362"/>
    </row>
    <row r="363" spans="12:15" x14ac:dyDescent="0.25">
      <c r="L363"/>
      <c r="M363"/>
      <c r="N363"/>
      <c r="O363"/>
    </row>
    <row r="364" spans="12:15" x14ac:dyDescent="0.25">
      <c r="L364"/>
      <c r="M364"/>
      <c r="N364"/>
      <c r="O364"/>
    </row>
    <row r="365" spans="12:15" x14ac:dyDescent="0.25">
      <c r="L365"/>
      <c r="M365"/>
      <c r="N365"/>
      <c r="O365"/>
    </row>
    <row r="366" spans="12:15" x14ac:dyDescent="0.25">
      <c r="L366"/>
      <c r="M366"/>
      <c r="N366"/>
      <c r="O366"/>
    </row>
    <row r="367" spans="12:15" x14ac:dyDescent="0.25">
      <c r="L367"/>
      <c r="M367"/>
      <c r="N367"/>
      <c r="O367"/>
    </row>
    <row r="368" spans="12:15" x14ac:dyDescent="0.25">
      <c r="L368"/>
      <c r="M368"/>
      <c r="N368"/>
      <c r="O368"/>
    </row>
    <row r="369" spans="12:15" x14ac:dyDescent="0.25">
      <c r="L369"/>
      <c r="M369"/>
      <c r="N369"/>
      <c r="O369"/>
    </row>
    <row r="370" spans="12:15" x14ac:dyDescent="0.25">
      <c r="L370"/>
      <c r="M370"/>
      <c r="N370"/>
      <c r="O370"/>
    </row>
    <row r="371" spans="12:15" x14ac:dyDescent="0.25">
      <c r="L371"/>
      <c r="M371"/>
      <c r="N371"/>
      <c r="O371"/>
    </row>
    <row r="372" spans="12:15" x14ac:dyDescent="0.25">
      <c r="L372"/>
      <c r="M372"/>
      <c r="N372"/>
      <c r="O372"/>
    </row>
    <row r="373" spans="12:15" x14ac:dyDescent="0.25">
      <c r="L373"/>
      <c r="M373"/>
      <c r="N373"/>
      <c r="O373"/>
    </row>
    <row r="374" spans="12:15" x14ac:dyDescent="0.25">
      <c r="L374"/>
      <c r="M374"/>
      <c r="N374"/>
      <c r="O374"/>
    </row>
    <row r="375" spans="12:15" x14ac:dyDescent="0.25">
      <c r="L375"/>
      <c r="M375"/>
      <c r="N375"/>
      <c r="O375"/>
    </row>
    <row r="376" spans="12:15" x14ac:dyDescent="0.25">
      <c r="L376"/>
      <c r="M376"/>
      <c r="N376"/>
      <c r="O376"/>
    </row>
    <row r="377" spans="12:15" x14ac:dyDescent="0.25">
      <c r="L377"/>
      <c r="M377"/>
      <c r="N377"/>
      <c r="O377"/>
    </row>
    <row r="378" spans="12:15" x14ac:dyDescent="0.25">
      <c r="L378"/>
      <c r="M378"/>
      <c r="N378"/>
      <c r="O378"/>
    </row>
    <row r="379" spans="12:15" x14ac:dyDescent="0.25">
      <c r="L379"/>
      <c r="M379"/>
      <c r="N379"/>
      <c r="O379"/>
    </row>
    <row r="380" spans="12:15" x14ac:dyDescent="0.25">
      <c r="L380"/>
      <c r="M380"/>
      <c r="N380"/>
      <c r="O380"/>
    </row>
    <row r="381" spans="12:15" x14ac:dyDescent="0.25">
      <c r="L381"/>
      <c r="M381"/>
      <c r="N381"/>
      <c r="O381"/>
    </row>
    <row r="382" spans="12:15" x14ac:dyDescent="0.25">
      <c r="L382"/>
      <c r="M382"/>
      <c r="N382"/>
      <c r="O382"/>
    </row>
    <row r="383" spans="12:15" x14ac:dyDescent="0.25">
      <c r="L383"/>
      <c r="M383"/>
      <c r="N383"/>
      <c r="O383"/>
    </row>
    <row r="384" spans="12:15" x14ac:dyDescent="0.25">
      <c r="L384"/>
      <c r="M384"/>
      <c r="N384"/>
      <c r="O384"/>
    </row>
    <row r="385" spans="12:15" x14ac:dyDescent="0.25">
      <c r="L385"/>
      <c r="M385"/>
      <c r="N385"/>
      <c r="O385"/>
    </row>
    <row r="386" spans="12:15" x14ac:dyDescent="0.25">
      <c r="L386"/>
      <c r="M386"/>
      <c r="N386"/>
      <c r="O386"/>
    </row>
    <row r="387" spans="12:15" x14ac:dyDescent="0.25">
      <c r="L387"/>
      <c r="M387"/>
      <c r="N387"/>
      <c r="O387"/>
    </row>
    <row r="388" spans="12:15" x14ac:dyDescent="0.25">
      <c r="L388"/>
      <c r="M388"/>
      <c r="N388"/>
      <c r="O388"/>
    </row>
    <row r="389" spans="12:15" x14ac:dyDescent="0.25">
      <c r="L389"/>
      <c r="M389"/>
      <c r="N389"/>
      <c r="O389"/>
    </row>
    <row r="390" spans="12:15" x14ac:dyDescent="0.25">
      <c r="L390"/>
      <c r="M390"/>
      <c r="N390"/>
      <c r="O390"/>
    </row>
    <row r="391" spans="12:15" x14ac:dyDescent="0.25">
      <c r="L391"/>
      <c r="M391"/>
      <c r="N391"/>
      <c r="O391"/>
    </row>
    <row r="392" spans="12:15" x14ac:dyDescent="0.25">
      <c r="L392"/>
      <c r="M392"/>
      <c r="N392"/>
      <c r="O392"/>
    </row>
    <row r="393" spans="12:15" x14ac:dyDescent="0.25">
      <c r="L393"/>
      <c r="M393"/>
      <c r="N393"/>
      <c r="O393"/>
    </row>
    <row r="394" spans="12:15" x14ac:dyDescent="0.25">
      <c r="L394"/>
      <c r="M394"/>
      <c r="N394"/>
      <c r="O394"/>
    </row>
    <row r="395" spans="12:15" x14ac:dyDescent="0.25">
      <c r="L395"/>
      <c r="M395"/>
      <c r="N395"/>
      <c r="O395"/>
    </row>
    <row r="396" spans="12:15" x14ac:dyDescent="0.25">
      <c r="L396"/>
      <c r="M396"/>
      <c r="N396"/>
      <c r="O396"/>
    </row>
    <row r="397" spans="12:15" x14ac:dyDescent="0.25">
      <c r="L397"/>
      <c r="M397"/>
      <c r="N397"/>
      <c r="O397"/>
    </row>
    <row r="398" spans="12:15" x14ac:dyDescent="0.25">
      <c r="L398"/>
      <c r="M398"/>
      <c r="N398"/>
      <c r="O398"/>
    </row>
    <row r="399" spans="12:15" x14ac:dyDescent="0.25">
      <c r="L399"/>
      <c r="M399"/>
      <c r="N399"/>
      <c r="O399"/>
    </row>
    <row r="400" spans="12:15" x14ac:dyDescent="0.25">
      <c r="L400"/>
      <c r="M400"/>
      <c r="N400"/>
      <c r="O400"/>
    </row>
    <row r="401" spans="12:15" x14ac:dyDescent="0.25">
      <c r="L401"/>
      <c r="M401"/>
      <c r="N401"/>
      <c r="O401"/>
    </row>
    <row r="402" spans="12:15" x14ac:dyDescent="0.25">
      <c r="L402"/>
      <c r="M402"/>
    </row>
  </sheetData>
  <sheetProtection sheet="1" objects="1" scenarios="1" autoFilter="0" pivotTables="0"/>
  <dataConsolidate/>
  <mergeCells count="10">
    <mergeCell ref="X1:Z1"/>
    <mergeCell ref="A91:B92"/>
    <mergeCell ref="B54:C54"/>
    <mergeCell ref="K1:L1"/>
    <mergeCell ref="N1:O1"/>
    <mergeCell ref="Q1:R1"/>
    <mergeCell ref="A2:B2"/>
    <mergeCell ref="A51:B52"/>
    <mergeCell ref="E54:F54"/>
    <mergeCell ref="H54:I54"/>
  </mergeCells>
  <pageMargins left="0.7" right="0.7" top="0.78740157499999996" bottom="0.78740157499999996" header="0.3" footer="0.3"/>
  <pageSetup paperSize="9" orientation="portrait" horizontalDpi="200" verticalDpi="200" r:id="rId1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E66E9-A056-4965-97C6-23D5D0FE6D9F}">
  <sheetPr codeName="Tabelle3"/>
  <dimension ref="A1:Y49"/>
  <sheetViews>
    <sheetView showRowColHeaders="0" tabSelected="1" workbookViewId="0">
      <selection activeCell="D4" sqref="D4:E4"/>
    </sheetView>
  </sheetViews>
  <sheetFormatPr baseColWidth="10" defaultColWidth="0" defaultRowHeight="15" zeroHeight="1" x14ac:dyDescent="0.25"/>
  <cols>
    <col min="1" max="25" width="11.42578125" style="3" customWidth="1"/>
    <col min="26" max="16384" width="11.42578125" style="3" hidden="1"/>
  </cols>
  <sheetData>
    <row r="1" spans="1:5" ht="75.75" customHeight="1" x14ac:dyDescent="0.25"/>
    <row r="2" spans="1:5" x14ac:dyDescent="0.25"/>
    <row r="3" spans="1:5" ht="21" x14ac:dyDescent="0.35">
      <c r="A3" s="60" t="s">
        <v>75</v>
      </c>
      <c r="B3" s="60"/>
      <c r="C3" s="60"/>
      <c r="D3" s="60"/>
      <c r="E3" s="60"/>
    </row>
    <row r="4" spans="1:5" x14ac:dyDescent="0.25">
      <c r="A4" s="61">
        <v>42005</v>
      </c>
      <c r="B4" s="61"/>
      <c r="C4" s="56" t="s">
        <v>76</v>
      </c>
      <c r="D4" s="61">
        <v>44926</v>
      </c>
      <c r="E4" s="62"/>
    </row>
    <row r="5" spans="1:5" x14ac:dyDescent="0.25"/>
    <row r="6" spans="1:5" x14ac:dyDescent="0.25"/>
    <row r="7" spans="1:5" x14ac:dyDescent="0.25"/>
    <row r="8" spans="1:5" x14ac:dyDescent="0.25"/>
    <row r="9" spans="1:5" x14ac:dyDescent="0.25"/>
    <row r="10" spans="1:5" x14ac:dyDescent="0.25"/>
    <row r="11" spans="1:5" x14ac:dyDescent="0.25"/>
    <row r="12" spans="1:5" x14ac:dyDescent="0.25"/>
    <row r="13" spans="1:5" x14ac:dyDescent="0.25"/>
    <row r="14" spans="1:5" x14ac:dyDescent="0.25"/>
    <row r="15" spans="1:5" x14ac:dyDescent="0.25"/>
    <row r="16" spans="1:5"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heet="1" objects="1" scenarios="1" selectLockedCells="1" autoFilter="0" pivotTables="0"/>
  <mergeCells count="3">
    <mergeCell ref="A3:E3"/>
    <mergeCell ref="A4:B4"/>
    <mergeCell ref="D4:E4"/>
  </mergeCells>
  <pageMargins left="0.7" right="0.7" top="0.78740157499999996" bottom="0.78740157499999996"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1">
              <controlPr defaultSize="0" print="0" autoFill="0" autoPict="0" macro="[0]!button_choose_year">
                <anchor moveWithCells="1" sizeWithCells="1">
                  <from>
                    <xdr:col>3</xdr:col>
                    <xdr:colOff>152400</xdr:colOff>
                    <xdr:row>2</xdr:row>
                    <xdr:rowOff>76200</xdr:rowOff>
                  </from>
                  <to>
                    <xdr:col>5</xdr:col>
                    <xdr:colOff>0</xdr:colOff>
                    <xdr:row>2</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D498-DFF4-4C21-BF4D-88E1EBB0F120}">
  <sheetPr codeName="Tabelle20">
    <pageSetUpPr autoPageBreaks="0"/>
  </sheetPr>
  <dimension ref="A1:K1033"/>
  <sheetViews>
    <sheetView showRowColHeaders="0" workbookViewId="0">
      <selection activeCell="D1" sqref="D1"/>
    </sheetView>
  </sheetViews>
  <sheetFormatPr baseColWidth="10" defaultRowHeight="15" x14ac:dyDescent="0.25"/>
  <cols>
    <col min="1" max="1" width="10.85546875" style="11" bestFit="1" customWidth="1"/>
    <col min="2" max="2" width="40.7109375" style="11" customWidth="1"/>
    <col min="3" max="3" width="34.7109375" style="11" customWidth="1"/>
    <col min="4" max="4" width="100" style="11" customWidth="1"/>
    <col min="5" max="5" width="9" style="11" bestFit="1" customWidth="1"/>
    <col min="6" max="6" width="11.42578125" style="11" bestFit="1" customWidth="1"/>
    <col min="7" max="7" width="15" style="11" bestFit="1" customWidth="1"/>
    <col min="8" max="8" width="9.140625" style="11" bestFit="1" customWidth="1"/>
    <col min="9" max="9" width="6.85546875" style="11" bestFit="1" customWidth="1"/>
    <col min="10" max="10" width="17.42578125" style="11" bestFit="1" customWidth="1"/>
    <col min="11" max="11" width="6.42578125" style="11" bestFit="1" customWidth="1"/>
    <col min="12" max="16384" width="11.42578125" style="11"/>
  </cols>
  <sheetData>
    <row r="1" spans="1:11" ht="66.75" customHeight="1" x14ac:dyDescent="0.25">
      <c r="D1" s="15" t="s">
        <v>93</v>
      </c>
    </row>
    <row r="3" spans="1:11" ht="15.75" thickBot="1" x14ac:dyDescent="0.3">
      <c r="A3" s="68"/>
      <c r="B3" s="68"/>
      <c r="C3" s="68"/>
      <c r="D3" s="68"/>
      <c r="E3" s="68"/>
      <c r="F3" s="68"/>
      <c r="G3" s="68"/>
      <c r="H3" s="68"/>
      <c r="I3" s="69"/>
      <c r="J3" s="70"/>
      <c r="K3" s="68"/>
    </row>
    <row r="4" spans="1:11" x14ac:dyDescent="0.25">
      <c r="A4" s="52"/>
      <c r="B4" s="53"/>
      <c r="C4" s="53"/>
      <c r="D4" s="53"/>
      <c r="E4" s="53"/>
      <c r="F4" s="53"/>
      <c r="G4" s="53"/>
      <c r="H4" s="53"/>
      <c r="I4" s="53"/>
      <c r="J4" s="71"/>
      <c r="K4" s="53"/>
    </row>
    <row r="5" spans="1:11" x14ac:dyDescent="0.25">
      <c r="A5" s="12"/>
      <c r="B5" s="13"/>
      <c r="C5" s="13"/>
      <c r="D5" s="13"/>
      <c r="E5" s="13"/>
      <c r="F5" s="13"/>
      <c r="G5" s="13"/>
      <c r="H5" s="13"/>
      <c r="I5" s="13"/>
      <c r="J5" s="72"/>
      <c r="K5" s="13"/>
    </row>
    <row r="6" spans="1:11" x14ac:dyDescent="0.25">
      <c r="A6" s="12"/>
      <c r="B6" s="13"/>
      <c r="C6" s="13"/>
      <c r="D6" s="13"/>
      <c r="E6" s="13"/>
      <c r="F6" s="13"/>
      <c r="G6" s="13"/>
      <c r="H6" s="13"/>
      <c r="I6" s="13"/>
      <c r="J6" s="72"/>
      <c r="K6" s="13"/>
    </row>
    <row r="7" spans="1:11" x14ac:dyDescent="0.25">
      <c r="A7" s="12"/>
      <c r="B7" s="13"/>
      <c r="C7" s="13"/>
      <c r="D7" s="13"/>
      <c r="E7" s="13"/>
      <c r="F7" s="13"/>
      <c r="G7" s="13"/>
      <c r="H7" s="13"/>
      <c r="I7" s="13"/>
      <c r="J7" s="72"/>
      <c r="K7" s="13"/>
    </row>
    <row r="8" spans="1:11" x14ac:dyDescent="0.25">
      <c r="A8" s="12"/>
      <c r="B8" s="13"/>
      <c r="C8" s="13"/>
      <c r="D8" s="13"/>
      <c r="E8" s="13"/>
      <c r="F8" s="13"/>
      <c r="G8" s="13"/>
      <c r="H8" s="13"/>
      <c r="I8" s="13"/>
      <c r="J8" s="72"/>
      <c r="K8" s="13"/>
    </row>
    <row r="9" spans="1:11" x14ac:dyDescent="0.25">
      <c r="A9" s="12"/>
      <c r="B9" s="13"/>
      <c r="C9" s="13"/>
      <c r="D9" s="34"/>
      <c r="E9" s="13"/>
      <c r="F9" s="13"/>
      <c r="G9" s="13"/>
      <c r="H9" s="13"/>
      <c r="I9" s="13"/>
      <c r="J9" s="72"/>
      <c r="K9" s="13"/>
    </row>
    <row r="10" spans="1:11" x14ac:dyDescent="0.25">
      <c r="A10" s="12"/>
      <c r="B10" s="13"/>
      <c r="C10" s="13"/>
      <c r="D10" s="13"/>
      <c r="E10" s="13"/>
      <c r="F10" s="13"/>
      <c r="G10" s="13"/>
      <c r="H10" s="13"/>
      <c r="I10" s="13"/>
      <c r="J10" s="54"/>
      <c r="K10" s="13"/>
    </row>
    <row r="11" spans="1:11" x14ac:dyDescent="0.25">
      <c r="A11" s="12"/>
      <c r="B11" s="13"/>
      <c r="C11" s="13"/>
      <c r="D11" s="13"/>
      <c r="E11" s="13"/>
      <c r="F11" s="13"/>
      <c r="G11" s="13"/>
      <c r="H11" s="13"/>
      <c r="I11" s="13"/>
      <c r="J11" s="72"/>
      <c r="K11" s="13"/>
    </row>
    <row r="12" spans="1:11" x14ac:dyDescent="0.25">
      <c r="A12" s="12"/>
      <c r="B12" s="13"/>
      <c r="C12" s="13"/>
      <c r="D12" s="13"/>
      <c r="E12" s="13"/>
      <c r="F12" s="13"/>
      <c r="G12" s="13"/>
      <c r="H12" s="13"/>
      <c r="I12" s="13"/>
      <c r="J12" s="54"/>
      <c r="K12" s="13"/>
    </row>
    <row r="13" spans="1:11" x14ac:dyDescent="0.25">
      <c r="A13" s="12"/>
      <c r="B13" s="13"/>
      <c r="C13" s="13"/>
      <c r="D13" s="13"/>
      <c r="E13" s="13"/>
      <c r="F13" s="13"/>
      <c r="G13" s="13"/>
      <c r="H13" s="13"/>
      <c r="I13" s="13"/>
      <c r="J13" s="72"/>
      <c r="K13" s="13"/>
    </row>
    <row r="14" spans="1:11" x14ac:dyDescent="0.25">
      <c r="A14" s="12"/>
      <c r="B14" s="13"/>
      <c r="C14" s="13"/>
      <c r="D14" s="13"/>
      <c r="E14" s="13"/>
      <c r="F14" s="13"/>
      <c r="G14" s="13"/>
      <c r="H14" s="13"/>
      <c r="I14" s="13"/>
      <c r="J14" s="72"/>
      <c r="K14" s="13"/>
    </row>
    <row r="15" spans="1:11" x14ac:dyDescent="0.25">
      <c r="A15" s="12"/>
      <c r="B15" s="13"/>
      <c r="C15" s="13"/>
      <c r="D15" s="13"/>
      <c r="E15" s="13"/>
      <c r="F15" s="13"/>
      <c r="G15" s="13"/>
      <c r="H15" s="13"/>
      <c r="I15" s="13"/>
      <c r="J15" s="72"/>
      <c r="K15" s="13"/>
    </row>
    <row r="16" spans="1:11" x14ac:dyDescent="0.25">
      <c r="A16" s="12"/>
      <c r="B16" s="13"/>
      <c r="C16" s="13"/>
      <c r="D16" s="13"/>
      <c r="E16" s="13"/>
      <c r="F16" s="13"/>
      <c r="G16" s="13"/>
      <c r="H16" s="13"/>
      <c r="I16" s="13"/>
      <c r="J16" s="72"/>
      <c r="K16" s="13"/>
    </row>
    <row r="17" spans="1:11" x14ac:dyDescent="0.25">
      <c r="A17" s="12"/>
      <c r="B17" s="13"/>
      <c r="C17" s="13"/>
      <c r="D17" s="13"/>
      <c r="E17" s="13"/>
      <c r="F17" s="13"/>
      <c r="G17" s="13"/>
      <c r="H17" s="13"/>
      <c r="I17" s="13"/>
      <c r="J17" s="72"/>
      <c r="K17" s="13"/>
    </row>
    <row r="18" spans="1:11" x14ac:dyDescent="0.25">
      <c r="A18" s="12"/>
      <c r="B18" s="13"/>
      <c r="C18" s="13"/>
      <c r="D18" s="13"/>
      <c r="E18" s="13"/>
      <c r="F18" s="13"/>
      <c r="G18" s="13"/>
      <c r="H18" s="13"/>
      <c r="I18" s="13"/>
      <c r="J18" s="72"/>
      <c r="K18" s="13"/>
    </row>
    <row r="19" spans="1:11" x14ac:dyDescent="0.25">
      <c r="A19" s="12"/>
      <c r="B19" s="13"/>
      <c r="C19" s="13"/>
      <c r="D19" s="13"/>
      <c r="E19" s="13"/>
      <c r="F19" s="13"/>
      <c r="G19" s="13"/>
      <c r="H19" s="13"/>
      <c r="I19" s="13"/>
      <c r="J19" s="72"/>
      <c r="K19" s="13"/>
    </row>
    <row r="20" spans="1:11" x14ac:dyDescent="0.25">
      <c r="A20" s="12"/>
      <c r="B20" s="13"/>
      <c r="C20" s="13"/>
      <c r="D20" s="13"/>
      <c r="E20" s="13"/>
      <c r="F20" s="13"/>
      <c r="G20" s="13"/>
      <c r="H20" s="13"/>
      <c r="I20" s="13"/>
      <c r="J20" s="72"/>
      <c r="K20" s="13"/>
    </row>
    <row r="21" spans="1:11" x14ac:dyDescent="0.25">
      <c r="A21" s="12"/>
      <c r="B21" s="13"/>
      <c r="C21" s="13"/>
      <c r="D21" s="13"/>
      <c r="E21" s="13"/>
      <c r="F21" s="13"/>
      <c r="G21" s="13"/>
      <c r="H21" s="13"/>
      <c r="I21" s="13"/>
      <c r="J21" s="72"/>
      <c r="K21" s="13"/>
    </row>
    <row r="22" spans="1:11" x14ac:dyDescent="0.25">
      <c r="A22" s="12"/>
      <c r="B22" s="13"/>
      <c r="C22" s="13"/>
      <c r="D22" s="13"/>
      <c r="E22" s="13"/>
      <c r="F22" s="13"/>
      <c r="G22" s="13"/>
      <c r="H22" s="13"/>
      <c r="I22" s="13"/>
      <c r="J22" s="72"/>
      <c r="K22" s="13"/>
    </row>
    <row r="23" spans="1:11" x14ac:dyDescent="0.25">
      <c r="A23" s="12"/>
      <c r="B23" s="13"/>
      <c r="C23" s="13"/>
      <c r="D23" s="13"/>
      <c r="E23" s="13"/>
      <c r="F23" s="13"/>
      <c r="G23" s="13"/>
      <c r="H23" s="13"/>
      <c r="I23" s="13"/>
      <c r="J23" s="72"/>
      <c r="K23" s="13"/>
    </row>
    <row r="24" spans="1:11" x14ac:dyDescent="0.25">
      <c r="A24" s="12"/>
      <c r="B24" s="13"/>
      <c r="C24" s="13"/>
      <c r="D24" s="13"/>
      <c r="E24" s="13"/>
      <c r="F24" s="13"/>
      <c r="G24" s="13"/>
      <c r="H24" s="13"/>
      <c r="I24" s="13"/>
      <c r="J24" s="72"/>
      <c r="K24" s="13"/>
    </row>
    <row r="25" spans="1:11" x14ac:dyDescent="0.25">
      <c r="A25" s="12"/>
      <c r="B25" s="13"/>
      <c r="C25" s="13"/>
      <c r="D25" s="13"/>
      <c r="E25" s="13"/>
      <c r="F25" s="13"/>
      <c r="G25" s="13"/>
      <c r="H25" s="13"/>
      <c r="I25" s="13"/>
      <c r="J25" s="72"/>
      <c r="K25" s="13"/>
    </row>
    <row r="26" spans="1:11" x14ac:dyDescent="0.25">
      <c r="A26" s="12"/>
      <c r="B26" s="13"/>
      <c r="C26" s="13"/>
      <c r="D26" s="13"/>
      <c r="E26" s="13"/>
      <c r="F26" s="13"/>
      <c r="G26" s="13"/>
      <c r="H26" s="13"/>
      <c r="I26" s="13"/>
      <c r="J26" s="72"/>
      <c r="K26" s="13"/>
    </row>
    <row r="27" spans="1:11" x14ac:dyDescent="0.25">
      <c r="A27" s="12"/>
      <c r="B27" s="13"/>
      <c r="C27" s="13"/>
      <c r="D27" s="13"/>
      <c r="E27" s="13"/>
      <c r="F27" s="13"/>
      <c r="G27" s="13"/>
      <c r="H27" s="13"/>
      <c r="I27" s="13"/>
      <c r="J27" s="72"/>
      <c r="K27" s="13"/>
    </row>
    <row r="28" spans="1:11" x14ac:dyDescent="0.25">
      <c r="A28" s="12"/>
      <c r="B28" s="13"/>
      <c r="C28" s="13"/>
      <c r="D28" s="13"/>
      <c r="E28" s="13"/>
      <c r="F28" s="13"/>
      <c r="G28" s="13"/>
      <c r="H28" s="13"/>
      <c r="I28" s="13"/>
      <c r="J28" s="72"/>
      <c r="K28" s="13"/>
    </row>
    <row r="29" spans="1:11" x14ac:dyDescent="0.25">
      <c r="A29" s="12"/>
      <c r="B29" s="13"/>
      <c r="C29" s="13"/>
      <c r="D29" s="13"/>
      <c r="E29" s="13"/>
      <c r="F29" s="13"/>
      <c r="G29" s="13"/>
      <c r="H29" s="13"/>
      <c r="I29" s="13"/>
      <c r="J29" s="72"/>
      <c r="K29" s="13"/>
    </row>
    <row r="30" spans="1:11" x14ac:dyDescent="0.25">
      <c r="A30" s="12"/>
      <c r="B30" s="13"/>
      <c r="C30" s="13"/>
      <c r="D30" s="13"/>
      <c r="E30" s="13"/>
      <c r="F30" s="13"/>
      <c r="G30" s="13"/>
      <c r="H30" s="13"/>
      <c r="I30" s="13"/>
      <c r="J30" s="72"/>
      <c r="K30" s="13"/>
    </row>
    <row r="31" spans="1:11" x14ac:dyDescent="0.25">
      <c r="A31" s="12"/>
      <c r="B31" s="13"/>
      <c r="C31" s="13"/>
      <c r="D31" s="13"/>
      <c r="E31" s="13"/>
      <c r="F31" s="13"/>
      <c r="G31" s="13"/>
      <c r="H31" s="13"/>
      <c r="I31" s="13"/>
      <c r="J31" s="72"/>
      <c r="K31" s="13"/>
    </row>
    <row r="32" spans="1:11" x14ac:dyDescent="0.25">
      <c r="A32" s="12"/>
      <c r="B32" s="13"/>
      <c r="C32" s="13"/>
      <c r="D32" s="13"/>
      <c r="E32" s="13"/>
      <c r="F32" s="13"/>
      <c r="G32" s="13"/>
      <c r="H32" s="13"/>
      <c r="I32" s="13"/>
      <c r="J32" s="72"/>
      <c r="K32" s="13"/>
    </row>
    <row r="33" spans="1:11" x14ac:dyDescent="0.25">
      <c r="A33" s="12"/>
      <c r="B33" s="13"/>
      <c r="C33" s="13"/>
      <c r="D33" s="13"/>
      <c r="E33" s="13"/>
      <c r="F33" s="13"/>
      <c r="G33" s="13"/>
      <c r="H33" s="13"/>
      <c r="I33" s="13"/>
      <c r="J33" s="72"/>
      <c r="K33" s="13"/>
    </row>
    <row r="34" spans="1:11" x14ac:dyDescent="0.25">
      <c r="A34" s="12"/>
      <c r="B34" s="13"/>
      <c r="C34" s="13"/>
      <c r="D34" s="13"/>
      <c r="E34" s="13"/>
      <c r="F34" s="13"/>
      <c r="G34" s="13"/>
      <c r="H34" s="13"/>
      <c r="I34" s="13"/>
      <c r="J34" s="72"/>
      <c r="K34" s="13"/>
    </row>
    <row r="35" spans="1:11" x14ac:dyDescent="0.25">
      <c r="A35" s="12"/>
      <c r="B35" s="13"/>
      <c r="C35" s="13"/>
      <c r="D35" s="13"/>
      <c r="E35" s="13"/>
      <c r="F35" s="13"/>
      <c r="G35" s="13"/>
      <c r="H35" s="13"/>
      <c r="I35" s="13"/>
      <c r="J35" s="72"/>
      <c r="K35" s="13"/>
    </row>
    <row r="36" spans="1:11" x14ac:dyDescent="0.25">
      <c r="A36" s="12"/>
      <c r="B36" s="13"/>
      <c r="C36" s="13"/>
      <c r="D36" s="13"/>
      <c r="E36" s="13"/>
      <c r="F36" s="13"/>
      <c r="G36" s="13"/>
      <c r="H36" s="13"/>
      <c r="I36" s="13"/>
      <c r="J36" s="54"/>
      <c r="K36" s="13"/>
    </row>
    <row r="37" spans="1:11" x14ac:dyDescent="0.25">
      <c r="A37" s="12"/>
      <c r="B37" s="13"/>
      <c r="C37" s="13"/>
      <c r="D37" s="13"/>
      <c r="E37" s="13"/>
      <c r="F37" s="13"/>
      <c r="G37" s="13"/>
      <c r="H37" s="13"/>
      <c r="I37" s="13"/>
      <c r="J37" s="54"/>
      <c r="K37" s="13"/>
    </row>
    <row r="38" spans="1:11" x14ac:dyDescent="0.25">
      <c r="A38" s="12"/>
      <c r="B38" s="13"/>
      <c r="C38" s="13"/>
      <c r="D38" s="13"/>
      <c r="E38" s="13"/>
      <c r="F38" s="13"/>
      <c r="G38" s="13"/>
      <c r="H38" s="13"/>
      <c r="I38" s="13"/>
      <c r="J38" s="54"/>
      <c r="K38" s="13"/>
    </row>
    <row r="39" spans="1:11" x14ac:dyDescent="0.25">
      <c r="A39" s="12"/>
      <c r="B39" s="13"/>
      <c r="C39" s="13"/>
      <c r="D39" s="13"/>
      <c r="E39" s="13"/>
      <c r="F39" s="13"/>
      <c r="G39" s="13"/>
      <c r="H39" s="13"/>
      <c r="I39" s="13"/>
      <c r="J39" s="54"/>
      <c r="K39" s="13"/>
    </row>
    <row r="40" spans="1:11" x14ac:dyDescent="0.25">
      <c r="A40" s="12"/>
      <c r="B40" s="13"/>
      <c r="C40" s="13"/>
      <c r="D40" s="13"/>
      <c r="E40" s="13"/>
      <c r="F40" s="13"/>
      <c r="G40" s="13"/>
      <c r="H40" s="13"/>
      <c r="I40" s="13"/>
      <c r="J40" s="72"/>
      <c r="K40" s="13"/>
    </row>
    <row r="41" spans="1:11" x14ac:dyDescent="0.25">
      <c r="A41" s="12"/>
      <c r="B41" s="13"/>
      <c r="C41" s="13"/>
      <c r="D41" s="13"/>
      <c r="E41" s="13"/>
      <c r="F41" s="13"/>
      <c r="G41" s="13"/>
      <c r="H41" s="13"/>
      <c r="I41" s="13"/>
      <c r="J41" s="72"/>
      <c r="K41" s="13"/>
    </row>
    <row r="42" spans="1:11" x14ac:dyDescent="0.25">
      <c r="A42" s="12"/>
      <c r="B42" s="13"/>
      <c r="C42" s="13"/>
      <c r="D42" s="13"/>
      <c r="E42" s="13"/>
      <c r="F42" s="13"/>
      <c r="G42" s="13"/>
      <c r="H42" s="13"/>
      <c r="I42" s="13"/>
      <c r="J42" s="54"/>
      <c r="K42" s="13"/>
    </row>
    <row r="43" spans="1:11" x14ac:dyDescent="0.25">
      <c r="A43" s="12"/>
      <c r="B43" s="13"/>
      <c r="C43" s="13"/>
      <c r="D43" s="13"/>
      <c r="E43" s="13"/>
      <c r="F43" s="13"/>
      <c r="G43" s="13"/>
      <c r="H43" s="13"/>
      <c r="I43" s="13"/>
      <c r="J43" s="54"/>
      <c r="K43" s="13"/>
    </row>
    <row r="44" spans="1:11" x14ac:dyDescent="0.25">
      <c r="A44" s="12"/>
      <c r="B44" s="13"/>
      <c r="C44" s="13"/>
      <c r="D44" s="13"/>
      <c r="E44" s="13"/>
      <c r="F44" s="13"/>
      <c r="G44" s="13"/>
      <c r="H44" s="13"/>
      <c r="I44" s="13"/>
      <c r="J44" s="72"/>
      <c r="K44" s="13"/>
    </row>
    <row r="45" spans="1:11" x14ac:dyDescent="0.25">
      <c r="A45" s="12"/>
      <c r="B45" s="13"/>
      <c r="C45" s="13"/>
      <c r="D45" s="13"/>
      <c r="E45" s="13"/>
      <c r="F45" s="13"/>
      <c r="G45" s="13"/>
      <c r="H45" s="13"/>
      <c r="I45" s="13"/>
      <c r="J45" s="54"/>
      <c r="K45" s="13"/>
    </row>
    <row r="46" spans="1:11" x14ac:dyDescent="0.25">
      <c r="A46" s="12"/>
      <c r="B46" s="13"/>
      <c r="C46" s="13"/>
      <c r="D46" s="13"/>
      <c r="E46" s="13"/>
      <c r="F46" s="13"/>
      <c r="G46" s="13"/>
      <c r="H46" s="13"/>
      <c r="I46" s="13"/>
      <c r="J46" s="54"/>
      <c r="K46" s="13"/>
    </row>
    <row r="47" spans="1:11" x14ac:dyDescent="0.25">
      <c r="A47" s="12"/>
      <c r="B47" s="13"/>
      <c r="C47" s="13"/>
      <c r="D47" s="13"/>
      <c r="E47" s="13"/>
      <c r="F47" s="13"/>
      <c r="G47" s="13"/>
      <c r="H47" s="13"/>
      <c r="I47" s="13"/>
      <c r="J47" s="54"/>
      <c r="K47" s="13"/>
    </row>
    <row r="48" spans="1:11" x14ac:dyDescent="0.25">
      <c r="A48" s="12"/>
      <c r="B48" s="13"/>
      <c r="C48" s="13"/>
      <c r="D48" s="13"/>
      <c r="E48" s="13"/>
      <c r="F48" s="13"/>
      <c r="G48" s="13"/>
      <c r="H48" s="13"/>
      <c r="I48" s="13"/>
      <c r="J48" s="54"/>
      <c r="K48" s="13"/>
    </row>
    <row r="49" spans="1:11" x14ac:dyDescent="0.25">
      <c r="A49" s="12"/>
      <c r="B49" s="13"/>
      <c r="C49" s="13"/>
      <c r="D49" s="13"/>
      <c r="E49" s="13"/>
      <c r="F49" s="13"/>
      <c r="G49" s="13"/>
      <c r="H49" s="13"/>
      <c r="I49" s="13"/>
      <c r="J49" s="54"/>
      <c r="K49" s="13"/>
    </row>
    <row r="50" spans="1:11" x14ac:dyDescent="0.25">
      <c r="A50" s="12"/>
      <c r="B50" s="13"/>
      <c r="C50" s="13"/>
      <c r="D50" s="13"/>
      <c r="E50" s="13"/>
      <c r="F50" s="13"/>
      <c r="G50" s="13"/>
      <c r="H50" s="13"/>
      <c r="I50" s="13"/>
      <c r="J50" s="54"/>
      <c r="K50" s="13"/>
    </row>
    <row r="51" spans="1:11" x14ac:dyDescent="0.25">
      <c r="A51" s="12"/>
      <c r="B51" s="13"/>
      <c r="C51" s="13"/>
      <c r="D51" s="13"/>
      <c r="E51" s="13"/>
      <c r="F51" s="13"/>
      <c r="G51" s="13"/>
      <c r="H51" s="13"/>
      <c r="I51" s="13"/>
      <c r="J51" s="54"/>
      <c r="K51" s="13"/>
    </row>
    <row r="52" spans="1:11" x14ac:dyDescent="0.25">
      <c r="A52" s="12"/>
      <c r="B52" s="13"/>
      <c r="C52" s="13"/>
      <c r="D52" s="13"/>
      <c r="E52" s="13"/>
      <c r="F52" s="13"/>
      <c r="G52" s="13"/>
      <c r="H52" s="13"/>
      <c r="I52" s="13"/>
      <c r="J52" s="54"/>
      <c r="K52" s="13"/>
    </row>
    <row r="53" spans="1:11" x14ac:dyDescent="0.25">
      <c r="A53" s="12"/>
      <c r="B53" s="13"/>
      <c r="C53" s="13"/>
      <c r="D53" s="13"/>
      <c r="E53" s="13"/>
      <c r="F53" s="13"/>
      <c r="G53" s="13"/>
      <c r="H53" s="13"/>
      <c r="I53" s="13"/>
      <c r="J53" s="54"/>
      <c r="K53" s="13"/>
    </row>
    <row r="54" spans="1:11" x14ac:dyDescent="0.25">
      <c r="A54" s="12"/>
      <c r="B54" s="13"/>
      <c r="C54" s="13"/>
      <c r="D54" s="13"/>
      <c r="E54" s="13"/>
      <c r="F54" s="13"/>
      <c r="G54" s="13"/>
      <c r="H54" s="13"/>
      <c r="I54" s="13"/>
      <c r="J54" s="54"/>
      <c r="K54" s="13"/>
    </row>
    <row r="55" spans="1:11" x14ac:dyDescent="0.25">
      <c r="A55" s="12"/>
      <c r="B55" s="13"/>
      <c r="C55" s="13"/>
      <c r="D55" s="13"/>
      <c r="E55" s="13"/>
      <c r="F55" s="13"/>
      <c r="G55" s="13"/>
      <c r="H55" s="13"/>
      <c r="I55" s="13"/>
      <c r="J55" s="54"/>
      <c r="K55" s="13"/>
    </row>
    <row r="56" spans="1:11" x14ac:dyDescent="0.25">
      <c r="A56" s="12"/>
      <c r="B56" s="13"/>
      <c r="C56" s="13"/>
      <c r="D56" s="13"/>
      <c r="E56" s="13"/>
      <c r="F56" s="13"/>
      <c r="G56" s="13"/>
      <c r="H56" s="13"/>
      <c r="I56" s="13"/>
      <c r="J56" s="54"/>
      <c r="K56" s="13"/>
    </row>
    <row r="57" spans="1:11" x14ac:dyDescent="0.25">
      <c r="A57" s="12"/>
      <c r="B57" s="13"/>
      <c r="C57" s="13"/>
      <c r="D57" s="13"/>
      <c r="E57" s="13"/>
      <c r="F57" s="13"/>
      <c r="G57" s="13"/>
      <c r="H57" s="13"/>
      <c r="I57" s="13"/>
      <c r="J57" s="54"/>
      <c r="K57" s="13"/>
    </row>
    <row r="58" spans="1:11" x14ac:dyDescent="0.25">
      <c r="A58" s="12"/>
      <c r="B58" s="13"/>
      <c r="C58" s="13"/>
      <c r="D58" s="13"/>
      <c r="E58" s="13"/>
      <c r="F58" s="13"/>
      <c r="G58" s="13"/>
      <c r="H58" s="13"/>
      <c r="I58" s="13"/>
      <c r="J58" s="54"/>
      <c r="K58" s="13"/>
    </row>
    <row r="59" spans="1:11" x14ac:dyDescent="0.25">
      <c r="A59" s="12"/>
      <c r="B59" s="13"/>
      <c r="C59" s="13"/>
      <c r="D59" s="13"/>
      <c r="E59" s="13"/>
      <c r="F59" s="13"/>
      <c r="G59" s="13"/>
      <c r="H59" s="13"/>
      <c r="I59" s="13"/>
      <c r="J59" s="54"/>
      <c r="K59" s="13"/>
    </row>
    <row r="60" spans="1:11" x14ac:dyDescent="0.25">
      <c r="A60" s="12"/>
      <c r="B60" s="13"/>
      <c r="C60" s="13"/>
      <c r="D60" s="13"/>
      <c r="E60" s="13"/>
      <c r="F60" s="13"/>
      <c r="G60" s="13"/>
      <c r="H60" s="13"/>
      <c r="I60" s="13"/>
      <c r="J60" s="54"/>
      <c r="K60" s="13"/>
    </row>
    <row r="61" spans="1:11" x14ac:dyDescent="0.25">
      <c r="A61" s="12"/>
      <c r="B61" s="13"/>
      <c r="C61" s="13"/>
      <c r="D61" s="13"/>
      <c r="E61" s="13"/>
      <c r="F61" s="13"/>
      <c r="G61" s="13"/>
      <c r="H61" s="13"/>
      <c r="I61" s="13"/>
      <c r="J61" s="54"/>
      <c r="K61" s="13"/>
    </row>
    <row r="62" spans="1:11" x14ac:dyDescent="0.25">
      <c r="A62" s="12"/>
      <c r="B62" s="13"/>
      <c r="C62" s="13"/>
      <c r="D62" s="13"/>
      <c r="E62" s="13"/>
      <c r="F62" s="13"/>
      <c r="G62" s="13"/>
      <c r="H62" s="13"/>
      <c r="I62" s="13"/>
      <c r="J62" s="54"/>
      <c r="K62" s="13"/>
    </row>
    <row r="63" spans="1:11" x14ac:dyDescent="0.25">
      <c r="A63" s="12"/>
      <c r="B63" s="13"/>
      <c r="C63" s="13"/>
      <c r="D63" s="13"/>
      <c r="E63" s="13"/>
      <c r="F63" s="13"/>
      <c r="G63" s="13"/>
      <c r="H63" s="13"/>
      <c r="I63" s="13"/>
      <c r="J63" s="54"/>
      <c r="K63" s="13"/>
    </row>
    <row r="64" spans="1:11" x14ac:dyDescent="0.25">
      <c r="A64" s="12"/>
      <c r="B64" s="13"/>
      <c r="C64" s="13"/>
      <c r="D64" s="13"/>
      <c r="E64" s="13"/>
      <c r="F64" s="13"/>
      <c r="G64" s="13"/>
      <c r="H64" s="13"/>
      <c r="I64" s="13"/>
      <c r="J64" s="54"/>
      <c r="K64" s="13"/>
    </row>
    <row r="65" spans="1:11" x14ac:dyDescent="0.25">
      <c r="A65" s="12"/>
      <c r="B65" s="13"/>
      <c r="C65" s="13"/>
      <c r="D65" s="13"/>
      <c r="E65" s="13"/>
      <c r="F65" s="13"/>
      <c r="G65" s="13"/>
      <c r="H65" s="13"/>
      <c r="I65" s="13"/>
      <c r="J65" s="54"/>
      <c r="K65" s="13"/>
    </row>
    <row r="66" spans="1:11" x14ac:dyDescent="0.25">
      <c r="A66" s="12"/>
      <c r="B66" s="13"/>
      <c r="C66" s="13"/>
      <c r="D66" s="13"/>
      <c r="E66" s="13"/>
      <c r="F66" s="13"/>
      <c r="G66" s="13"/>
      <c r="H66" s="13"/>
      <c r="I66" s="13"/>
      <c r="J66" s="54"/>
      <c r="K66" s="13"/>
    </row>
    <row r="67" spans="1:11" x14ac:dyDescent="0.25">
      <c r="A67" s="12"/>
      <c r="B67" s="13"/>
      <c r="C67" s="13"/>
      <c r="D67" s="13"/>
      <c r="E67" s="13"/>
      <c r="F67" s="13"/>
      <c r="G67" s="13"/>
      <c r="H67" s="13"/>
      <c r="I67" s="13"/>
      <c r="J67" s="54"/>
      <c r="K67" s="13"/>
    </row>
    <row r="68" spans="1:11" x14ac:dyDescent="0.25">
      <c r="A68" s="12"/>
      <c r="B68" s="13"/>
      <c r="C68" s="13"/>
      <c r="D68" s="13"/>
      <c r="E68" s="13"/>
      <c r="F68" s="13"/>
      <c r="G68" s="13"/>
      <c r="H68" s="13"/>
      <c r="I68" s="13"/>
      <c r="J68" s="54"/>
      <c r="K68" s="13"/>
    </row>
    <row r="69" spans="1:11" x14ac:dyDescent="0.25">
      <c r="A69" s="12"/>
      <c r="B69" s="13"/>
      <c r="C69" s="13"/>
      <c r="D69" s="13"/>
      <c r="E69" s="13"/>
      <c r="F69" s="13"/>
      <c r="G69" s="13"/>
      <c r="H69" s="13"/>
      <c r="I69" s="13"/>
      <c r="J69" s="54"/>
      <c r="K69" s="13"/>
    </row>
    <row r="70" spans="1:11" x14ac:dyDescent="0.25">
      <c r="A70" s="12"/>
      <c r="B70" s="13"/>
      <c r="C70" s="13"/>
      <c r="D70" s="13"/>
      <c r="E70" s="13"/>
      <c r="F70" s="13"/>
      <c r="G70" s="13"/>
      <c r="H70" s="13"/>
      <c r="I70" s="13"/>
      <c r="J70" s="54"/>
      <c r="K70" s="13"/>
    </row>
    <row r="71" spans="1:11" x14ac:dyDescent="0.25">
      <c r="A71" s="12"/>
      <c r="B71" s="13"/>
      <c r="C71" s="13"/>
      <c r="D71" s="13"/>
      <c r="E71" s="13"/>
      <c r="F71" s="13"/>
      <c r="G71" s="13"/>
      <c r="H71" s="13"/>
      <c r="I71" s="13"/>
      <c r="J71" s="54"/>
      <c r="K71" s="13"/>
    </row>
    <row r="72" spans="1:11" x14ac:dyDescent="0.25">
      <c r="A72" s="12"/>
      <c r="B72" s="13"/>
      <c r="C72" s="13"/>
      <c r="D72" s="13"/>
      <c r="E72" s="13"/>
      <c r="F72" s="13"/>
      <c r="G72" s="13"/>
      <c r="H72" s="13"/>
      <c r="I72" s="13"/>
      <c r="J72" s="54"/>
      <c r="K72" s="13"/>
    </row>
    <row r="73" spans="1:11" x14ac:dyDescent="0.25">
      <c r="A73" s="12"/>
      <c r="B73" s="13"/>
      <c r="C73" s="13"/>
      <c r="D73" s="13"/>
      <c r="E73" s="13"/>
      <c r="F73" s="13"/>
      <c r="G73" s="13"/>
      <c r="H73" s="13"/>
      <c r="I73" s="13"/>
      <c r="J73" s="54"/>
      <c r="K73" s="13"/>
    </row>
    <row r="74" spans="1:11" x14ac:dyDescent="0.25">
      <c r="A74" s="12"/>
      <c r="B74" s="13"/>
      <c r="C74" s="13"/>
      <c r="D74" s="13"/>
      <c r="E74" s="13"/>
      <c r="F74" s="13"/>
      <c r="G74" s="13"/>
      <c r="H74" s="13"/>
      <c r="I74" s="13"/>
      <c r="J74" s="54"/>
      <c r="K74" s="13"/>
    </row>
    <row r="75" spans="1:11" x14ac:dyDescent="0.25">
      <c r="A75" s="12"/>
      <c r="B75" s="13"/>
      <c r="C75" s="13"/>
      <c r="D75" s="13"/>
      <c r="E75" s="13"/>
      <c r="F75" s="13"/>
      <c r="G75" s="13"/>
      <c r="H75" s="13"/>
      <c r="I75" s="13"/>
      <c r="J75" s="54"/>
      <c r="K75" s="13"/>
    </row>
    <row r="76" spans="1:11" x14ac:dyDescent="0.25">
      <c r="A76" s="12"/>
      <c r="B76" s="13"/>
      <c r="C76" s="13"/>
      <c r="D76" s="13"/>
      <c r="E76" s="13"/>
      <c r="F76" s="13"/>
      <c r="G76" s="13"/>
      <c r="H76" s="13"/>
      <c r="I76" s="13"/>
      <c r="J76" s="54"/>
      <c r="K76" s="13"/>
    </row>
    <row r="77" spans="1:11" x14ac:dyDescent="0.25">
      <c r="A77" s="12"/>
      <c r="B77" s="13"/>
      <c r="C77" s="13"/>
      <c r="D77" s="13"/>
      <c r="E77" s="13"/>
      <c r="F77" s="13"/>
      <c r="G77" s="13"/>
      <c r="H77" s="13"/>
      <c r="I77" s="13"/>
      <c r="J77" s="54"/>
      <c r="K77" s="13"/>
    </row>
    <row r="78" spans="1:11" x14ac:dyDescent="0.25">
      <c r="A78" s="12"/>
      <c r="B78" s="13"/>
      <c r="C78" s="13"/>
      <c r="D78" s="13"/>
      <c r="E78" s="13"/>
      <c r="F78" s="13"/>
      <c r="G78" s="13"/>
      <c r="H78" s="13"/>
      <c r="I78" s="13"/>
      <c r="J78" s="54"/>
      <c r="K78" s="13"/>
    </row>
    <row r="79" spans="1:11" x14ac:dyDescent="0.25">
      <c r="A79" s="12"/>
      <c r="B79" s="13"/>
      <c r="C79" s="13"/>
      <c r="D79" s="13"/>
      <c r="E79" s="13"/>
      <c r="F79" s="13"/>
      <c r="G79" s="13"/>
      <c r="H79" s="13"/>
      <c r="I79" s="13"/>
      <c r="J79" s="54"/>
      <c r="K79" s="13"/>
    </row>
    <row r="80" spans="1:11" x14ac:dyDescent="0.25">
      <c r="A80" s="12"/>
      <c r="B80" s="13"/>
      <c r="C80" s="13"/>
      <c r="D80" s="13"/>
      <c r="E80" s="13"/>
      <c r="F80" s="13"/>
      <c r="G80" s="13"/>
      <c r="H80" s="13"/>
      <c r="I80" s="13"/>
      <c r="J80" s="54"/>
      <c r="K80" s="13"/>
    </row>
    <row r="81" spans="1:11" x14ac:dyDescent="0.25">
      <c r="A81" s="12"/>
      <c r="B81" s="13"/>
      <c r="C81" s="13"/>
      <c r="D81" s="13"/>
      <c r="E81" s="13"/>
      <c r="F81" s="13"/>
      <c r="G81" s="13"/>
      <c r="H81" s="13"/>
      <c r="I81" s="13"/>
      <c r="J81" s="54"/>
      <c r="K81" s="13"/>
    </row>
    <row r="82" spans="1:11" x14ac:dyDescent="0.25">
      <c r="A82" s="12"/>
      <c r="B82" s="13"/>
      <c r="C82" s="13"/>
      <c r="D82" s="13"/>
      <c r="E82" s="13"/>
      <c r="F82" s="13"/>
      <c r="G82" s="13"/>
      <c r="H82" s="13"/>
      <c r="I82" s="13"/>
      <c r="J82" s="54"/>
      <c r="K82" s="13"/>
    </row>
    <row r="83" spans="1:11" x14ac:dyDescent="0.25">
      <c r="A83" s="12"/>
      <c r="B83" s="13"/>
      <c r="C83" s="13"/>
      <c r="D83" s="13"/>
      <c r="E83" s="13"/>
      <c r="F83" s="13"/>
      <c r="G83" s="13"/>
      <c r="H83" s="13"/>
      <c r="I83" s="13"/>
      <c r="J83" s="54"/>
      <c r="K83" s="13"/>
    </row>
    <row r="84" spans="1:11" x14ac:dyDescent="0.25">
      <c r="A84" s="12"/>
      <c r="B84" s="13"/>
      <c r="C84" s="13"/>
      <c r="D84" s="13"/>
      <c r="E84" s="13"/>
      <c r="F84" s="13"/>
      <c r="G84" s="13"/>
      <c r="H84" s="13"/>
      <c r="I84" s="13"/>
      <c r="J84" s="54"/>
      <c r="K84" s="13"/>
    </row>
    <row r="85" spans="1:11" x14ac:dyDescent="0.25">
      <c r="A85" s="12"/>
      <c r="B85" s="13"/>
      <c r="C85" s="13"/>
      <c r="D85" s="13"/>
      <c r="E85" s="13"/>
      <c r="F85" s="13"/>
      <c r="G85" s="13"/>
      <c r="H85" s="13"/>
      <c r="I85" s="13"/>
      <c r="J85" s="54"/>
      <c r="K85" s="13"/>
    </row>
    <row r="86" spans="1:11" x14ac:dyDescent="0.25">
      <c r="A86" s="12"/>
      <c r="B86" s="13"/>
      <c r="C86" s="13"/>
      <c r="D86" s="13"/>
      <c r="E86" s="13"/>
      <c r="F86" s="13"/>
      <c r="G86" s="13"/>
      <c r="H86" s="13"/>
      <c r="I86" s="13"/>
      <c r="J86" s="54"/>
      <c r="K86" s="13"/>
    </row>
    <row r="87" spans="1:11" x14ac:dyDescent="0.25">
      <c r="A87" s="12"/>
      <c r="B87" s="13"/>
      <c r="C87" s="13"/>
      <c r="D87" s="13"/>
      <c r="E87" s="13"/>
      <c r="F87" s="13"/>
      <c r="G87" s="13"/>
      <c r="H87" s="13"/>
      <c r="I87" s="13"/>
      <c r="J87" s="54"/>
      <c r="K87" s="13"/>
    </row>
    <row r="88" spans="1:11" x14ac:dyDescent="0.25">
      <c r="A88" s="12"/>
      <c r="B88" s="13"/>
      <c r="C88" s="13"/>
      <c r="D88" s="13"/>
      <c r="E88" s="13"/>
      <c r="F88" s="13"/>
      <c r="G88" s="13"/>
      <c r="H88" s="13"/>
      <c r="I88" s="13"/>
      <c r="J88" s="54"/>
      <c r="K88" s="13"/>
    </row>
    <row r="89" spans="1:11" x14ac:dyDescent="0.25">
      <c r="A89" s="12"/>
      <c r="B89" s="13"/>
      <c r="C89" s="13"/>
      <c r="D89" s="13"/>
      <c r="E89" s="13"/>
      <c r="F89" s="13"/>
      <c r="G89" s="13"/>
      <c r="H89" s="13"/>
      <c r="I89" s="13"/>
      <c r="J89" s="54"/>
      <c r="K89" s="13"/>
    </row>
    <row r="90" spans="1:11" x14ac:dyDescent="0.25">
      <c r="A90" s="12"/>
      <c r="B90" s="13"/>
      <c r="C90" s="13"/>
      <c r="D90" s="13"/>
      <c r="E90" s="13"/>
      <c r="F90" s="13"/>
      <c r="G90" s="13"/>
      <c r="H90" s="13"/>
      <c r="I90" s="13"/>
      <c r="J90" s="54"/>
      <c r="K90" s="13"/>
    </row>
    <row r="91" spans="1:11" x14ac:dyDescent="0.25">
      <c r="A91" s="12"/>
      <c r="B91" s="13"/>
      <c r="C91" s="13"/>
      <c r="D91" s="13"/>
      <c r="E91" s="13"/>
      <c r="F91" s="13"/>
      <c r="G91" s="13"/>
      <c r="H91" s="13"/>
      <c r="I91" s="13"/>
      <c r="J91" s="54"/>
      <c r="K91" s="13"/>
    </row>
    <row r="92" spans="1:11" x14ac:dyDescent="0.25">
      <c r="A92" s="12"/>
      <c r="B92" s="13"/>
      <c r="C92" s="13"/>
      <c r="D92" s="13"/>
      <c r="E92" s="13"/>
      <c r="F92" s="13"/>
      <c r="G92" s="13"/>
      <c r="H92" s="13"/>
      <c r="I92" s="13"/>
      <c r="J92" s="54"/>
      <c r="K92" s="13"/>
    </row>
    <row r="93" spans="1:11" x14ac:dyDescent="0.25">
      <c r="A93" s="12"/>
      <c r="B93" s="13"/>
      <c r="C93" s="13"/>
      <c r="D93" s="13"/>
      <c r="E93" s="13"/>
      <c r="F93" s="13"/>
      <c r="G93" s="13"/>
      <c r="H93" s="13"/>
      <c r="I93" s="13"/>
      <c r="J93" s="54"/>
      <c r="K93" s="13"/>
    </row>
    <row r="94" spans="1:11" x14ac:dyDescent="0.25">
      <c r="A94" s="12"/>
      <c r="B94" s="13"/>
      <c r="C94" s="13"/>
      <c r="D94" s="13"/>
      <c r="E94" s="13"/>
      <c r="F94" s="13"/>
      <c r="G94" s="13"/>
      <c r="H94" s="13"/>
      <c r="I94" s="13"/>
      <c r="J94" s="54"/>
      <c r="K94" s="13"/>
    </row>
    <row r="95" spans="1:11" x14ac:dyDescent="0.25">
      <c r="A95" s="12"/>
      <c r="B95" s="13"/>
      <c r="C95" s="13"/>
      <c r="D95" s="13"/>
      <c r="E95" s="13"/>
      <c r="F95" s="13"/>
      <c r="G95" s="13"/>
      <c r="H95" s="13"/>
      <c r="I95" s="13"/>
      <c r="J95" s="54"/>
      <c r="K95" s="13"/>
    </row>
    <row r="96" spans="1:11" x14ac:dyDescent="0.25">
      <c r="A96" s="12"/>
      <c r="B96" s="13"/>
      <c r="C96" s="13"/>
      <c r="D96" s="13"/>
      <c r="E96" s="13"/>
      <c r="F96" s="13"/>
      <c r="G96" s="13"/>
      <c r="H96" s="13"/>
      <c r="I96" s="13"/>
      <c r="J96" s="54"/>
      <c r="K96" s="13"/>
    </row>
    <row r="97" spans="1:11" x14ac:dyDescent="0.25">
      <c r="A97" s="12"/>
      <c r="B97" s="13"/>
      <c r="C97" s="13"/>
      <c r="D97" s="13"/>
      <c r="E97" s="13"/>
      <c r="F97" s="13"/>
      <c r="G97" s="13"/>
      <c r="H97" s="13"/>
      <c r="I97" s="13"/>
      <c r="J97" s="54"/>
      <c r="K97" s="13"/>
    </row>
    <row r="98" spans="1:11" x14ac:dyDescent="0.25">
      <c r="A98" s="12"/>
      <c r="B98" s="13"/>
      <c r="C98" s="13"/>
      <c r="D98" s="13"/>
      <c r="E98" s="13"/>
      <c r="F98" s="13"/>
      <c r="G98" s="13"/>
      <c r="H98" s="13"/>
      <c r="I98" s="13"/>
      <c r="J98" s="54"/>
      <c r="K98" s="13"/>
    </row>
    <row r="99" spans="1:11" x14ac:dyDescent="0.25">
      <c r="A99" s="12"/>
      <c r="B99" s="13"/>
      <c r="C99" s="13"/>
      <c r="D99" s="13"/>
      <c r="E99" s="13"/>
      <c r="F99" s="13"/>
      <c r="G99" s="13"/>
      <c r="H99" s="13"/>
      <c r="I99" s="13"/>
      <c r="J99" s="54"/>
      <c r="K99" s="13"/>
    </row>
    <row r="100" spans="1:11" x14ac:dyDescent="0.25">
      <c r="A100" s="12"/>
      <c r="B100" s="13"/>
      <c r="C100" s="13"/>
      <c r="D100" s="13"/>
      <c r="E100" s="13"/>
      <c r="F100" s="13"/>
      <c r="G100" s="13"/>
      <c r="H100" s="13"/>
      <c r="I100" s="13"/>
      <c r="J100" s="54"/>
      <c r="K100" s="13"/>
    </row>
    <row r="101" spans="1:11" x14ac:dyDescent="0.25">
      <c r="A101" s="12"/>
      <c r="B101" s="13"/>
      <c r="C101" s="13"/>
      <c r="D101" s="13"/>
      <c r="E101" s="13"/>
      <c r="F101" s="13"/>
      <c r="G101" s="13"/>
      <c r="H101" s="13"/>
      <c r="I101" s="13"/>
      <c r="J101" s="54"/>
      <c r="K101" s="13"/>
    </row>
    <row r="102" spans="1:11" x14ac:dyDescent="0.25">
      <c r="A102" s="12"/>
      <c r="B102" s="13"/>
      <c r="C102" s="13"/>
      <c r="D102" s="13"/>
      <c r="E102" s="13"/>
      <c r="F102" s="13"/>
      <c r="G102" s="13"/>
      <c r="H102" s="13"/>
      <c r="I102" s="13"/>
      <c r="J102" s="54"/>
      <c r="K102" s="13"/>
    </row>
    <row r="103" spans="1:11" x14ac:dyDescent="0.25">
      <c r="A103" s="12"/>
      <c r="B103" s="13"/>
      <c r="C103" s="13"/>
      <c r="D103" s="13"/>
      <c r="E103" s="13"/>
      <c r="F103" s="13"/>
      <c r="G103" s="13"/>
      <c r="H103" s="13"/>
      <c r="I103" s="13"/>
      <c r="J103" s="54"/>
      <c r="K103" s="13"/>
    </row>
    <row r="104" spans="1:11" x14ac:dyDescent="0.25">
      <c r="A104" s="12"/>
      <c r="B104" s="13"/>
      <c r="C104" s="13"/>
      <c r="D104" s="13"/>
      <c r="E104" s="13"/>
      <c r="F104" s="13"/>
      <c r="G104" s="13"/>
      <c r="H104" s="13"/>
      <c r="I104" s="13"/>
      <c r="J104" s="54"/>
      <c r="K104" s="13"/>
    </row>
    <row r="105" spans="1:11" x14ac:dyDescent="0.25">
      <c r="A105" s="12"/>
      <c r="B105" s="13"/>
      <c r="C105" s="13"/>
      <c r="D105" s="13"/>
      <c r="E105" s="13"/>
      <c r="F105" s="13"/>
      <c r="G105" s="13"/>
      <c r="H105" s="13"/>
      <c r="I105" s="13"/>
      <c r="J105" s="54"/>
      <c r="K105" s="13"/>
    </row>
    <row r="106" spans="1:11" x14ac:dyDescent="0.25">
      <c r="A106" s="12"/>
      <c r="B106" s="13"/>
      <c r="C106" s="13"/>
      <c r="D106" s="13"/>
      <c r="E106" s="13"/>
      <c r="F106" s="13"/>
      <c r="G106" s="13"/>
      <c r="H106" s="13"/>
      <c r="I106" s="13"/>
      <c r="J106" s="54"/>
      <c r="K106" s="13"/>
    </row>
    <row r="107" spans="1:11" x14ac:dyDescent="0.25">
      <c r="A107" s="12"/>
      <c r="B107" s="13"/>
      <c r="C107" s="13"/>
      <c r="D107" s="13"/>
      <c r="E107" s="13"/>
      <c r="F107" s="13"/>
      <c r="G107" s="13"/>
      <c r="H107" s="13"/>
      <c r="I107" s="13"/>
      <c r="J107" s="54"/>
      <c r="K107" s="13"/>
    </row>
    <row r="108" spans="1:11" x14ac:dyDescent="0.25">
      <c r="A108" s="12"/>
      <c r="B108" s="13"/>
      <c r="C108" s="13"/>
      <c r="D108" s="13"/>
      <c r="E108" s="13"/>
      <c r="F108" s="13"/>
      <c r="G108" s="13"/>
      <c r="H108" s="13"/>
      <c r="I108" s="13"/>
      <c r="J108" s="54"/>
      <c r="K108" s="13"/>
    </row>
    <row r="109" spans="1:11" x14ac:dyDescent="0.25">
      <c r="A109" s="12"/>
      <c r="B109" s="13"/>
      <c r="C109" s="13"/>
      <c r="D109" s="13"/>
      <c r="E109" s="13"/>
      <c r="F109" s="13"/>
      <c r="G109" s="13"/>
      <c r="H109" s="13"/>
      <c r="I109" s="13"/>
      <c r="J109" s="54"/>
      <c r="K109" s="13"/>
    </row>
    <row r="110" spans="1:11" x14ac:dyDescent="0.25">
      <c r="A110" s="12"/>
      <c r="B110" s="13"/>
      <c r="C110" s="13"/>
      <c r="D110" s="13"/>
      <c r="E110" s="13"/>
      <c r="F110" s="13"/>
      <c r="G110" s="13"/>
      <c r="H110" s="13"/>
      <c r="I110" s="13"/>
      <c r="J110" s="54"/>
      <c r="K110" s="13"/>
    </row>
    <row r="111" spans="1:11" x14ac:dyDescent="0.25">
      <c r="A111" s="12"/>
      <c r="B111" s="13"/>
      <c r="C111" s="13"/>
      <c r="D111" s="13"/>
      <c r="E111" s="13"/>
      <c r="F111" s="13"/>
      <c r="G111" s="13"/>
      <c r="H111" s="13"/>
      <c r="I111" s="13"/>
      <c r="J111" s="54"/>
      <c r="K111" s="13"/>
    </row>
    <row r="112" spans="1:11" x14ac:dyDescent="0.25">
      <c r="A112" s="12"/>
      <c r="B112" s="13"/>
      <c r="C112" s="13"/>
      <c r="D112" s="13"/>
      <c r="E112" s="13"/>
      <c r="F112" s="13"/>
      <c r="G112" s="13"/>
      <c r="H112" s="13"/>
      <c r="I112" s="13"/>
      <c r="J112" s="54"/>
      <c r="K112" s="13"/>
    </row>
    <row r="113" spans="1:11" x14ac:dyDescent="0.25">
      <c r="A113" s="12"/>
      <c r="B113" s="13"/>
      <c r="C113" s="13"/>
      <c r="D113" s="13"/>
      <c r="E113" s="13"/>
      <c r="F113" s="13"/>
      <c r="G113" s="13"/>
      <c r="H113" s="13"/>
      <c r="I113" s="13"/>
      <c r="J113" s="54"/>
      <c r="K113" s="13"/>
    </row>
    <row r="114" spans="1:11" x14ac:dyDescent="0.25">
      <c r="A114" s="12"/>
      <c r="B114" s="13"/>
      <c r="C114" s="13"/>
      <c r="D114" s="13"/>
      <c r="E114" s="13"/>
      <c r="F114" s="13"/>
      <c r="G114" s="13"/>
      <c r="H114" s="13"/>
      <c r="I114" s="13"/>
      <c r="J114" s="54"/>
      <c r="K114" s="13"/>
    </row>
    <row r="115" spans="1:11" x14ac:dyDescent="0.25">
      <c r="A115" s="12"/>
      <c r="B115" s="13"/>
      <c r="C115" s="13"/>
      <c r="D115" s="13"/>
      <c r="E115" s="13"/>
      <c r="F115" s="13"/>
      <c r="G115" s="13"/>
      <c r="H115" s="13"/>
      <c r="I115" s="13"/>
      <c r="J115" s="54"/>
      <c r="K115" s="13"/>
    </row>
    <row r="116" spans="1:11" x14ac:dyDescent="0.25">
      <c r="A116" s="12"/>
      <c r="B116" s="13"/>
      <c r="C116" s="13"/>
      <c r="D116" s="13"/>
      <c r="E116" s="13"/>
      <c r="F116" s="13"/>
      <c r="G116" s="13"/>
      <c r="H116" s="13"/>
      <c r="I116" s="13"/>
      <c r="J116" s="54"/>
      <c r="K116" s="13"/>
    </row>
    <row r="117" spans="1:11" x14ac:dyDescent="0.25">
      <c r="A117" s="12"/>
      <c r="B117" s="13"/>
      <c r="C117" s="13"/>
      <c r="D117" s="13"/>
      <c r="E117" s="13"/>
      <c r="F117" s="13"/>
      <c r="G117" s="13"/>
      <c r="H117" s="13"/>
      <c r="I117" s="13"/>
      <c r="J117" s="54"/>
      <c r="K117" s="13"/>
    </row>
    <row r="118" spans="1:11" x14ac:dyDescent="0.25">
      <c r="A118" s="12"/>
      <c r="B118" s="13"/>
      <c r="C118" s="13"/>
      <c r="D118" s="13"/>
      <c r="E118" s="13"/>
      <c r="F118" s="13"/>
      <c r="G118" s="13"/>
      <c r="H118" s="13"/>
      <c r="I118" s="13"/>
      <c r="J118" s="54"/>
      <c r="K118" s="13"/>
    </row>
    <row r="119" spans="1:11" x14ac:dyDescent="0.25">
      <c r="A119" s="12"/>
      <c r="B119" s="13"/>
      <c r="C119" s="13"/>
      <c r="D119" s="13"/>
      <c r="E119" s="13"/>
      <c r="F119" s="13"/>
      <c r="G119" s="13"/>
      <c r="H119" s="13"/>
      <c r="I119" s="13"/>
      <c r="J119" s="54"/>
      <c r="K119" s="13"/>
    </row>
    <row r="120" spans="1:11" x14ac:dyDescent="0.25">
      <c r="A120" s="12"/>
      <c r="B120" s="13"/>
      <c r="C120" s="13"/>
      <c r="D120" s="13"/>
      <c r="E120" s="13"/>
      <c r="F120" s="13"/>
      <c r="G120" s="13"/>
      <c r="H120" s="13"/>
      <c r="I120" s="13"/>
      <c r="J120" s="54"/>
      <c r="K120" s="13"/>
    </row>
    <row r="121" spans="1:11" x14ac:dyDescent="0.25">
      <c r="A121" s="12"/>
      <c r="B121" s="13"/>
      <c r="C121" s="13"/>
      <c r="D121" s="13"/>
      <c r="E121" s="13"/>
      <c r="F121" s="13"/>
      <c r="G121" s="13"/>
      <c r="H121" s="13"/>
      <c r="I121" s="13"/>
      <c r="J121" s="54"/>
      <c r="K121" s="13"/>
    </row>
    <row r="122" spans="1:11" x14ac:dyDescent="0.25">
      <c r="A122" s="12"/>
      <c r="B122" s="13"/>
      <c r="C122" s="13"/>
      <c r="D122" s="13"/>
      <c r="E122" s="13"/>
      <c r="F122" s="13"/>
      <c r="G122" s="13"/>
      <c r="H122" s="13"/>
      <c r="I122" s="13"/>
      <c r="J122" s="54"/>
      <c r="K122" s="13"/>
    </row>
    <row r="123" spans="1:11" x14ac:dyDescent="0.25">
      <c r="A123" s="12"/>
      <c r="B123" s="13"/>
      <c r="C123" s="13"/>
      <c r="D123" s="13"/>
      <c r="E123" s="13"/>
      <c r="F123" s="13"/>
      <c r="G123" s="13"/>
      <c r="H123" s="13"/>
      <c r="I123" s="13"/>
      <c r="J123" s="54"/>
      <c r="K123" s="13"/>
    </row>
    <row r="124" spans="1:11" x14ac:dyDescent="0.25">
      <c r="A124" s="12"/>
      <c r="B124" s="13"/>
      <c r="C124" s="13"/>
      <c r="D124" s="13"/>
      <c r="E124" s="13"/>
      <c r="F124" s="13"/>
      <c r="G124" s="13"/>
      <c r="H124" s="13"/>
      <c r="I124" s="13"/>
      <c r="J124" s="54"/>
      <c r="K124" s="13"/>
    </row>
    <row r="125" spans="1:11" x14ac:dyDescent="0.25">
      <c r="A125" s="12"/>
      <c r="B125" s="13"/>
      <c r="C125" s="13"/>
      <c r="D125" s="13"/>
      <c r="E125" s="13"/>
      <c r="F125" s="13"/>
      <c r="G125" s="13"/>
      <c r="H125" s="13"/>
      <c r="I125" s="13"/>
      <c r="J125" s="54"/>
      <c r="K125" s="13"/>
    </row>
    <row r="126" spans="1:11" x14ac:dyDescent="0.25">
      <c r="A126" s="12"/>
      <c r="B126" s="13"/>
      <c r="C126" s="13"/>
      <c r="D126" s="13"/>
      <c r="E126" s="13"/>
      <c r="F126" s="13"/>
      <c r="G126" s="13"/>
      <c r="H126" s="13"/>
      <c r="I126" s="13"/>
      <c r="J126" s="54"/>
      <c r="K126" s="13"/>
    </row>
    <row r="127" spans="1:11" x14ac:dyDescent="0.25">
      <c r="A127" s="12"/>
      <c r="B127" s="13"/>
      <c r="C127" s="13"/>
      <c r="D127" s="13"/>
      <c r="E127" s="13"/>
      <c r="F127" s="13"/>
      <c r="G127" s="13"/>
      <c r="H127" s="13"/>
      <c r="I127" s="13"/>
      <c r="J127" s="54"/>
      <c r="K127" s="13"/>
    </row>
    <row r="128" spans="1:11" x14ac:dyDescent="0.25">
      <c r="A128" s="12"/>
      <c r="B128" s="13"/>
      <c r="C128" s="13"/>
      <c r="D128" s="13"/>
      <c r="E128" s="13"/>
      <c r="F128" s="13"/>
      <c r="G128" s="13"/>
      <c r="H128" s="13"/>
      <c r="I128" s="13"/>
      <c r="J128" s="54"/>
      <c r="K128" s="13"/>
    </row>
    <row r="129" spans="1:11" x14ac:dyDescent="0.25">
      <c r="A129" s="12"/>
      <c r="B129" s="13"/>
      <c r="C129" s="13"/>
      <c r="D129" s="13"/>
      <c r="E129" s="13"/>
      <c r="F129" s="13"/>
      <c r="G129" s="13"/>
      <c r="H129" s="13"/>
      <c r="I129" s="13"/>
      <c r="J129" s="54"/>
      <c r="K129" s="13"/>
    </row>
    <row r="130" spans="1:11" x14ac:dyDescent="0.25">
      <c r="A130" s="12"/>
      <c r="B130" s="13"/>
      <c r="C130" s="13"/>
      <c r="D130" s="13"/>
      <c r="E130" s="13"/>
      <c r="F130" s="13"/>
      <c r="G130" s="13"/>
      <c r="H130" s="13"/>
      <c r="I130" s="13"/>
      <c r="J130" s="54"/>
      <c r="K130" s="13"/>
    </row>
    <row r="131" spans="1:11" x14ac:dyDescent="0.25">
      <c r="A131" s="12"/>
      <c r="B131" s="13"/>
      <c r="C131" s="13"/>
      <c r="D131" s="13"/>
      <c r="E131" s="13"/>
      <c r="F131" s="13"/>
      <c r="G131" s="13"/>
      <c r="H131" s="13"/>
      <c r="I131" s="13"/>
      <c r="J131" s="54"/>
      <c r="K131" s="13"/>
    </row>
    <row r="132" spans="1:11" x14ac:dyDescent="0.25">
      <c r="A132" s="12"/>
      <c r="B132" s="13"/>
      <c r="C132" s="13"/>
      <c r="D132" s="13"/>
      <c r="E132" s="13"/>
      <c r="F132" s="13"/>
      <c r="G132" s="13"/>
      <c r="H132" s="13"/>
      <c r="I132" s="13"/>
      <c r="J132" s="54"/>
      <c r="K132" s="13"/>
    </row>
    <row r="133" spans="1:11" x14ac:dyDescent="0.25">
      <c r="A133" s="12"/>
      <c r="B133" s="13"/>
      <c r="C133" s="13"/>
      <c r="D133" s="13"/>
      <c r="E133" s="13"/>
      <c r="F133" s="13"/>
      <c r="G133" s="13"/>
      <c r="H133" s="13"/>
      <c r="I133" s="13"/>
      <c r="J133" s="54"/>
      <c r="K133" s="13"/>
    </row>
    <row r="134" spans="1:11" x14ac:dyDescent="0.25">
      <c r="A134" s="12"/>
      <c r="B134" s="13"/>
      <c r="C134" s="13"/>
      <c r="D134" s="13"/>
      <c r="E134" s="13"/>
      <c r="F134" s="13"/>
      <c r="G134" s="13"/>
      <c r="H134" s="13"/>
      <c r="I134" s="13"/>
      <c r="J134" s="54"/>
      <c r="K134" s="13"/>
    </row>
    <row r="135" spans="1:11" x14ac:dyDescent="0.25">
      <c r="A135" s="12"/>
      <c r="B135" s="13"/>
      <c r="C135" s="13"/>
      <c r="D135" s="13"/>
      <c r="E135" s="13"/>
      <c r="F135" s="13"/>
      <c r="G135" s="13"/>
      <c r="H135" s="13"/>
      <c r="I135" s="13"/>
      <c r="J135" s="54"/>
      <c r="K135" s="13"/>
    </row>
    <row r="136" spans="1:11" x14ac:dyDescent="0.25">
      <c r="A136" s="12"/>
      <c r="B136" s="13"/>
      <c r="C136" s="13"/>
      <c r="D136" s="13"/>
      <c r="E136" s="13"/>
      <c r="F136" s="13"/>
      <c r="G136" s="13"/>
      <c r="H136" s="13"/>
      <c r="I136" s="13"/>
      <c r="J136" s="54"/>
      <c r="K136" s="13"/>
    </row>
    <row r="137" spans="1:11" x14ac:dyDescent="0.25">
      <c r="A137" s="12"/>
      <c r="B137" s="13"/>
      <c r="C137" s="13"/>
      <c r="D137" s="13"/>
      <c r="E137" s="13"/>
      <c r="F137" s="13"/>
      <c r="G137" s="13"/>
      <c r="H137" s="13"/>
      <c r="I137" s="13"/>
      <c r="J137" s="54"/>
      <c r="K137" s="13"/>
    </row>
    <row r="138" spans="1:11" x14ac:dyDescent="0.25">
      <c r="A138" s="12"/>
      <c r="B138" s="13"/>
      <c r="C138" s="13"/>
      <c r="D138" s="13"/>
      <c r="E138" s="13"/>
      <c r="F138" s="13"/>
      <c r="G138" s="13"/>
      <c r="H138" s="13"/>
      <c r="I138" s="13"/>
      <c r="J138" s="54"/>
      <c r="K138" s="13"/>
    </row>
    <row r="139" spans="1:11" x14ac:dyDescent="0.25">
      <c r="A139" s="12"/>
      <c r="B139" s="13"/>
      <c r="C139" s="13"/>
      <c r="D139" s="13"/>
      <c r="E139" s="13"/>
      <c r="F139" s="13"/>
      <c r="G139" s="13"/>
      <c r="H139" s="13"/>
      <c r="I139" s="13"/>
      <c r="J139" s="54"/>
      <c r="K139" s="13"/>
    </row>
    <row r="140" spans="1:11" x14ac:dyDescent="0.25">
      <c r="A140" s="12"/>
      <c r="B140" s="13"/>
      <c r="C140" s="13"/>
      <c r="D140" s="13"/>
      <c r="E140" s="13"/>
      <c r="F140" s="13"/>
      <c r="G140" s="13"/>
      <c r="H140" s="13"/>
      <c r="I140" s="13"/>
      <c r="J140" s="54"/>
      <c r="K140" s="13"/>
    </row>
    <row r="141" spans="1:11" x14ac:dyDescent="0.25">
      <c r="A141" s="12"/>
      <c r="B141" s="13"/>
      <c r="C141" s="13"/>
      <c r="D141" s="13"/>
      <c r="E141" s="13"/>
      <c r="F141" s="13"/>
      <c r="G141" s="13"/>
      <c r="H141" s="13"/>
      <c r="I141" s="13"/>
      <c r="J141" s="54"/>
      <c r="K141" s="13"/>
    </row>
    <row r="142" spans="1:11" x14ac:dyDescent="0.25">
      <c r="A142" s="12"/>
      <c r="B142" s="13"/>
      <c r="C142" s="13"/>
      <c r="D142" s="13"/>
      <c r="E142" s="13"/>
      <c r="F142" s="13"/>
      <c r="G142" s="13"/>
      <c r="H142" s="13"/>
      <c r="I142" s="13"/>
      <c r="J142" s="54"/>
      <c r="K142" s="13"/>
    </row>
    <row r="143" spans="1:11" x14ac:dyDescent="0.25">
      <c r="A143" s="12"/>
      <c r="B143" s="13"/>
      <c r="C143" s="13"/>
      <c r="D143" s="13"/>
      <c r="E143" s="13"/>
      <c r="F143" s="13"/>
      <c r="G143" s="13"/>
      <c r="H143" s="13"/>
      <c r="I143" s="13"/>
      <c r="J143" s="54"/>
      <c r="K143" s="13"/>
    </row>
    <row r="144" spans="1:11" x14ac:dyDescent="0.25">
      <c r="A144" s="12"/>
      <c r="B144" s="13"/>
      <c r="C144" s="13"/>
      <c r="D144" s="13"/>
      <c r="E144" s="13"/>
      <c r="F144" s="13"/>
      <c r="G144" s="13"/>
      <c r="H144" s="13"/>
      <c r="I144" s="13"/>
      <c r="J144" s="54"/>
      <c r="K144" s="13"/>
    </row>
    <row r="145" spans="1:11" x14ac:dyDescent="0.25">
      <c r="A145" s="12"/>
      <c r="B145" s="13"/>
      <c r="C145" s="13"/>
      <c r="D145" s="13"/>
      <c r="E145" s="13"/>
      <c r="F145" s="13"/>
      <c r="G145" s="13"/>
      <c r="H145" s="13"/>
      <c r="I145" s="13"/>
      <c r="J145" s="54"/>
      <c r="K145" s="13"/>
    </row>
    <row r="146" spans="1:11" x14ac:dyDescent="0.25">
      <c r="A146" s="12"/>
      <c r="B146" s="13"/>
      <c r="C146" s="13"/>
      <c r="D146" s="13"/>
      <c r="E146" s="13"/>
      <c r="F146" s="13"/>
      <c r="G146" s="13"/>
      <c r="H146" s="13"/>
      <c r="I146" s="13"/>
      <c r="J146" s="54"/>
      <c r="K146" s="13"/>
    </row>
    <row r="147" spans="1:11" x14ac:dyDescent="0.25">
      <c r="A147" s="12"/>
      <c r="B147" s="13"/>
      <c r="C147" s="13"/>
      <c r="D147" s="13"/>
      <c r="E147" s="13"/>
      <c r="F147" s="13"/>
      <c r="G147" s="13"/>
      <c r="H147" s="13"/>
      <c r="I147" s="13"/>
      <c r="J147" s="54"/>
      <c r="K147" s="13"/>
    </row>
    <row r="148" spans="1:11" x14ac:dyDescent="0.25">
      <c r="A148" s="12"/>
      <c r="B148" s="13"/>
      <c r="C148" s="13"/>
      <c r="D148" s="13"/>
      <c r="E148" s="13"/>
      <c r="F148" s="13"/>
      <c r="G148" s="13"/>
      <c r="H148" s="13"/>
      <c r="I148" s="13"/>
      <c r="J148" s="54"/>
      <c r="K148" s="13"/>
    </row>
    <row r="149" spans="1:11" x14ac:dyDescent="0.25">
      <c r="A149" s="12"/>
      <c r="B149" s="13"/>
      <c r="C149" s="13"/>
      <c r="D149" s="13"/>
      <c r="E149" s="13"/>
      <c r="F149" s="13"/>
      <c r="G149" s="13"/>
      <c r="H149" s="13"/>
      <c r="I149" s="13"/>
      <c r="J149" s="54"/>
      <c r="K149" s="13"/>
    </row>
    <row r="150" spans="1:11" x14ac:dyDescent="0.25">
      <c r="A150" s="12"/>
      <c r="B150" s="13"/>
      <c r="C150" s="13"/>
      <c r="D150" s="13"/>
      <c r="E150" s="13"/>
      <c r="F150" s="13"/>
      <c r="G150" s="13"/>
      <c r="H150" s="13"/>
      <c r="I150" s="13"/>
      <c r="J150" s="54"/>
      <c r="K150" s="13"/>
    </row>
    <row r="151" spans="1:11" x14ac:dyDescent="0.25">
      <c r="A151" s="12"/>
      <c r="B151" s="13"/>
      <c r="C151" s="13"/>
      <c r="D151" s="13"/>
      <c r="E151" s="13"/>
      <c r="F151" s="13"/>
      <c r="G151" s="13"/>
      <c r="H151" s="13"/>
      <c r="I151" s="13"/>
      <c r="J151" s="54"/>
      <c r="K151" s="13"/>
    </row>
    <row r="152" spans="1:11" x14ac:dyDescent="0.25">
      <c r="A152" s="12"/>
      <c r="B152" s="13"/>
      <c r="C152" s="13"/>
      <c r="D152" s="13"/>
      <c r="E152" s="13"/>
      <c r="F152" s="13"/>
      <c r="G152" s="13"/>
      <c r="H152" s="13"/>
      <c r="I152" s="13"/>
      <c r="J152" s="54"/>
      <c r="K152" s="13"/>
    </row>
    <row r="153" spans="1:11" x14ac:dyDescent="0.25">
      <c r="A153" s="12"/>
      <c r="B153" s="13"/>
      <c r="C153" s="13"/>
      <c r="D153" s="13"/>
      <c r="E153" s="13"/>
      <c r="F153" s="13"/>
      <c r="G153" s="13"/>
      <c r="H153" s="13"/>
      <c r="I153" s="13"/>
      <c r="J153" s="54"/>
      <c r="K153" s="13"/>
    </row>
    <row r="154" spans="1:11" x14ac:dyDescent="0.25">
      <c r="A154" s="12"/>
      <c r="B154" s="13"/>
      <c r="C154" s="13"/>
      <c r="D154" s="13"/>
      <c r="E154" s="13"/>
      <c r="F154" s="13"/>
      <c r="G154" s="13"/>
      <c r="H154" s="13"/>
      <c r="I154" s="13"/>
      <c r="J154" s="54"/>
      <c r="K154" s="13"/>
    </row>
    <row r="155" spans="1:11" x14ac:dyDescent="0.25">
      <c r="A155" s="12"/>
      <c r="B155" s="13"/>
      <c r="C155" s="13"/>
      <c r="D155" s="13"/>
      <c r="E155" s="13"/>
      <c r="F155" s="13"/>
      <c r="G155" s="13"/>
      <c r="H155" s="13"/>
      <c r="I155" s="13"/>
      <c r="J155" s="54"/>
      <c r="K155" s="13"/>
    </row>
    <row r="156" spans="1:11" x14ac:dyDescent="0.25">
      <c r="A156" s="12"/>
      <c r="B156" s="13"/>
      <c r="C156" s="13"/>
      <c r="D156" s="13"/>
      <c r="E156" s="13"/>
      <c r="F156" s="13"/>
      <c r="G156" s="13"/>
      <c r="H156" s="13"/>
      <c r="I156" s="13"/>
      <c r="J156" s="54"/>
      <c r="K156" s="13"/>
    </row>
    <row r="157" spans="1:11" x14ac:dyDescent="0.25">
      <c r="A157" s="12"/>
      <c r="B157" s="13"/>
      <c r="C157" s="13"/>
      <c r="D157" s="13"/>
      <c r="E157" s="13"/>
      <c r="F157" s="13"/>
      <c r="G157" s="13"/>
      <c r="H157" s="13"/>
      <c r="I157" s="13"/>
      <c r="J157" s="54"/>
      <c r="K157" s="13"/>
    </row>
    <row r="158" spans="1:11" x14ac:dyDescent="0.25">
      <c r="A158" s="12"/>
      <c r="B158" s="13"/>
      <c r="C158" s="13"/>
      <c r="D158" s="13"/>
      <c r="E158" s="13"/>
      <c r="F158" s="13"/>
      <c r="G158" s="13"/>
      <c r="H158" s="13"/>
      <c r="I158" s="13"/>
      <c r="J158" s="54"/>
      <c r="K158" s="13"/>
    </row>
    <row r="159" spans="1:11" x14ac:dyDescent="0.25">
      <c r="A159" s="12"/>
      <c r="B159" s="13"/>
      <c r="C159" s="13"/>
      <c r="D159" s="13"/>
      <c r="E159" s="13"/>
      <c r="F159" s="13"/>
      <c r="G159" s="13"/>
      <c r="H159" s="13"/>
      <c r="I159" s="13"/>
      <c r="J159" s="54"/>
      <c r="K159" s="13"/>
    </row>
    <row r="160" spans="1:11" x14ac:dyDescent="0.25">
      <c r="A160" s="12"/>
      <c r="B160" s="13"/>
      <c r="C160" s="13"/>
      <c r="D160" s="13"/>
      <c r="E160" s="13"/>
      <c r="F160" s="13"/>
      <c r="G160" s="13"/>
      <c r="H160" s="13"/>
      <c r="I160" s="13"/>
      <c r="J160" s="54"/>
      <c r="K160" s="13"/>
    </row>
    <row r="161" spans="1:11" x14ac:dyDescent="0.25">
      <c r="A161" s="12"/>
      <c r="B161" s="13"/>
      <c r="C161" s="13"/>
      <c r="D161" s="13"/>
      <c r="E161" s="13"/>
      <c r="F161" s="13"/>
      <c r="G161" s="13"/>
      <c r="H161" s="13"/>
      <c r="I161" s="13"/>
      <c r="J161" s="54"/>
      <c r="K161" s="13"/>
    </row>
    <row r="162" spans="1:11" x14ac:dyDescent="0.25">
      <c r="A162" s="12"/>
      <c r="B162" s="13"/>
      <c r="C162" s="13"/>
      <c r="D162" s="13"/>
      <c r="E162" s="13"/>
      <c r="F162" s="13"/>
      <c r="G162" s="13"/>
      <c r="H162" s="13"/>
      <c r="I162" s="13"/>
      <c r="J162" s="54"/>
      <c r="K162" s="13"/>
    </row>
    <row r="163" spans="1:11" x14ac:dyDescent="0.25">
      <c r="A163" s="12"/>
      <c r="B163" s="13"/>
      <c r="C163" s="13"/>
      <c r="D163" s="13"/>
      <c r="E163" s="13"/>
      <c r="F163" s="13"/>
      <c r="G163" s="13"/>
      <c r="H163" s="13"/>
      <c r="I163" s="13"/>
      <c r="J163" s="54"/>
      <c r="K163" s="13"/>
    </row>
    <row r="164" spans="1:11" x14ac:dyDescent="0.25">
      <c r="A164" s="12"/>
      <c r="B164" s="13"/>
      <c r="C164" s="13"/>
      <c r="D164" s="13"/>
      <c r="E164" s="13"/>
      <c r="F164" s="13"/>
      <c r="G164" s="13"/>
      <c r="H164" s="13"/>
      <c r="I164" s="13"/>
      <c r="J164" s="54"/>
      <c r="K164" s="13"/>
    </row>
    <row r="165" spans="1:11" x14ac:dyDescent="0.25">
      <c r="A165" s="12"/>
      <c r="B165" s="13"/>
      <c r="C165" s="13"/>
      <c r="D165" s="13"/>
      <c r="E165" s="13"/>
      <c r="F165" s="13"/>
      <c r="G165" s="13"/>
      <c r="H165" s="13"/>
      <c r="I165" s="13"/>
      <c r="J165" s="54"/>
      <c r="K165" s="13"/>
    </row>
    <row r="166" spans="1:11" x14ac:dyDescent="0.25">
      <c r="A166" s="12"/>
      <c r="B166" s="13"/>
      <c r="C166" s="13"/>
      <c r="D166" s="13"/>
      <c r="E166" s="13"/>
      <c r="F166" s="13"/>
      <c r="G166" s="13"/>
      <c r="H166" s="13"/>
      <c r="I166" s="13"/>
      <c r="J166" s="54"/>
      <c r="K166" s="13"/>
    </row>
    <row r="167" spans="1:11" x14ac:dyDescent="0.25">
      <c r="A167" s="12"/>
      <c r="B167" s="13"/>
      <c r="C167" s="13"/>
      <c r="D167" s="13"/>
      <c r="E167" s="13"/>
      <c r="F167" s="13"/>
      <c r="G167" s="13"/>
      <c r="H167" s="13"/>
      <c r="I167" s="13"/>
      <c r="J167" s="54"/>
      <c r="K167" s="13"/>
    </row>
    <row r="168" spans="1:11" x14ac:dyDescent="0.25">
      <c r="A168" s="12"/>
      <c r="B168" s="13"/>
      <c r="C168" s="13"/>
      <c r="D168" s="13"/>
      <c r="E168" s="13"/>
      <c r="F168" s="13"/>
      <c r="G168" s="13"/>
      <c r="H168" s="13"/>
      <c r="I168" s="13"/>
      <c r="J168" s="54"/>
      <c r="K168" s="13"/>
    </row>
    <row r="169" spans="1:11" x14ac:dyDescent="0.25">
      <c r="A169" s="12"/>
      <c r="B169" s="13"/>
      <c r="C169" s="13"/>
      <c r="D169" s="13"/>
      <c r="E169" s="13"/>
      <c r="F169" s="13"/>
      <c r="G169" s="13"/>
      <c r="H169" s="13"/>
      <c r="I169" s="13"/>
      <c r="J169" s="54"/>
      <c r="K169" s="13"/>
    </row>
    <row r="170" spans="1:11" x14ac:dyDescent="0.25">
      <c r="A170" s="12"/>
      <c r="B170" s="13"/>
      <c r="C170" s="13"/>
      <c r="D170" s="13"/>
      <c r="E170" s="13"/>
      <c r="F170" s="13"/>
      <c r="G170" s="13"/>
      <c r="H170" s="13"/>
      <c r="I170" s="13"/>
      <c r="J170" s="54"/>
      <c r="K170" s="13"/>
    </row>
    <row r="171" spans="1:11" x14ac:dyDescent="0.25">
      <c r="A171" s="12"/>
      <c r="B171" s="13"/>
      <c r="C171" s="13"/>
      <c r="D171" s="13"/>
      <c r="E171" s="13"/>
      <c r="F171" s="13"/>
      <c r="G171" s="13"/>
      <c r="H171" s="13"/>
      <c r="I171" s="13"/>
      <c r="J171" s="54"/>
      <c r="K171" s="13"/>
    </row>
    <row r="172" spans="1:11" x14ac:dyDescent="0.25">
      <c r="A172" s="12"/>
      <c r="B172" s="13"/>
      <c r="C172" s="13"/>
      <c r="D172" s="13"/>
      <c r="E172" s="13"/>
      <c r="F172" s="13"/>
      <c r="G172" s="13"/>
      <c r="H172" s="13"/>
      <c r="I172" s="13"/>
      <c r="J172" s="54"/>
      <c r="K172" s="13"/>
    </row>
    <row r="173" spans="1:11" x14ac:dyDescent="0.25">
      <c r="A173" s="12"/>
      <c r="B173" s="13"/>
      <c r="C173" s="13"/>
      <c r="D173" s="13"/>
      <c r="E173" s="13"/>
      <c r="F173" s="13"/>
      <c r="G173" s="13"/>
      <c r="H173" s="13"/>
      <c r="I173" s="13"/>
      <c r="J173" s="54"/>
      <c r="K173" s="13"/>
    </row>
    <row r="174" spans="1:11" x14ac:dyDescent="0.25">
      <c r="A174" s="12"/>
      <c r="B174" s="13"/>
      <c r="C174" s="13"/>
      <c r="D174" s="13"/>
      <c r="E174" s="13"/>
      <c r="F174" s="13"/>
      <c r="G174" s="13"/>
      <c r="H174" s="13"/>
      <c r="I174" s="13"/>
      <c r="J174" s="54"/>
      <c r="K174" s="13"/>
    </row>
    <row r="175" spans="1:11" x14ac:dyDescent="0.25">
      <c r="A175" s="12"/>
      <c r="B175" s="13"/>
      <c r="C175" s="13"/>
      <c r="D175" s="13"/>
      <c r="E175" s="13"/>
      <c r="F175" s="13"/>
      <c r="G175" s="13"/>
      <c r="H175" s="13"/>
      <c r="I175" s="13"/>
      <c r="J175" s="54"/>
      <c r="K175" s="13"/>
    </row>
    <row r="176" spans="1:11" x14ac:dyDescent="0.25">
      <c r="A176" s="12"/>
      <c r="B176" s="13"/>
      <c r="C176" s="13"/>
      <c r="D176" s="13"/>
      <c r="E176" s="13"/>
      <c r="F176" s="13"/>
      <c r="G176" s="13"/>
      <c r="H176" s="13"/>
      <c r="I176" s="13"/>
      <c r="J176" s="54"/>
      <c r="K176" s="13"/>
    </row>
    <row r="177" spans="1:11" x14ac:dyDescent="0.25">
      <c r="A177" s="12"/>
      <c r="B177" s="13"/>
      <c r="C177" s="13"/>
      <c r="D177" s="13"/>
      <c r="E177" s="13"/>
      <c r="F177" s="13"/>
      <c r="G177" s="13"/>
      <c r="H177" s="13"/>
      <c r="I177" s="13"/>
      <c r="J177" s="54"/>
      <c r="K177" s="13"/>
    </row>
    <row r="178" spans="1:11" x14ac:dyDescent="0.25">
      <c r="A178" s="12"/>
      <c r="B178" s="13"/>
      <c r="C178" s="13"/>
      <c r="D178" s="13"/>
      <c r="E178" s="13"/>
      <c r="F178" s="13"/>
      <c r="G178" s="13"/>
      <c r="H178" s="13"/>
      <c r="I178" s="13"/>
      <c r="J178" s="54"/>
      <c r="K178" s="13"/>
    </row>
    <row r="179" spans="1:11" x14ac:dyDescent="0.25">
      <c r="A179" s="12"/>
      <c r="B179" s="13"/>
      <c r="C179" s="13"/>
      <c r="D179" s="13"/>
      <c r="E179" s="13"/>
      <c r="F179" s="13"/>
      <c r="G179" s="13"/>
      <c r="H179" s="13"/>
      <c r="I179" s="13"/>
      <c r="J179" s="54"/>
      <c r="K179" s="13"/>
    </row>
    <row r="180" spans="1:11" x14ac:dyDescent="0.25">
      <c r="A180" s="12"/>
      <c r="B180" s="13"/>
      <c r="C180" s="13"/>
      <c r="D180" s="13"/>
      <c r="E180" s="13"/>
      <c r="F180" s="13"/>
      <c r="G180" s="13"/>
      <c r="H180" s="13"/>
      <c r="I180" s="13"/>
      <c r="J180" s="54"/>
      <c r="K180" s="13"/>
    </row>
    <row r="181" spans="1:11" x14ac:dyDescent="0.25">
      <c r="A181" s="12"/>
      <c r="B181" s="13"/>
      <c r="C181" s="13"/>
      <c r="D181" s="13"/>
      <c r="E181" s="13"/>
      <c r="F181" s="13"/>
      <c r="G181" s="13"/>
      <c r="H181" s="13"/>
      <c r="I181" s="13"/>
      <c r="J181" s="54"/>
      <c r="K181" s="13"/>
    </row>
    <row r="182" spans="1:11" x14ac:dyDescent="0.25">
      <c r="A182" s="12"/>
      <c r="B182" s="13"/>
      <c r="C182" s="13"/>
      <c r="D182" s="13"/>
      <c r="E182" s="13"/>
      <c r="F182" s="13"/>
      <c r="G182" s="13"/>
      <c r="H182" s="13"/>
      <c r="I182" s="13"/>
      <c r="J182" s="54"/>
      <c r="K182" s="13"/>
    </row>
    <row r="183" spans="1:11" x14ac:dyDescent="0.25">
      <c r="A183" s="12"/>
      <c r="B183" s="13"/>
      <c r="C183" s="13"/>
      <c r="D183" s="13"/>
      <c r="E183" s="13"/>
      <c r="F183" s="13"/>
      <c r="G183" s="13"/>
      <c r="H183" s="13"/>
      <c r="I183" s="13"/>
      <c r="J183" s="54"/>
      <c r="K183" s="13"/>
    </row>
    <row r="184" spans="1:11" x14ac:dyDescent="0.25">
      <c r="A184" s="12"/>
      <c r="B184" s="13"/>
      <c r="C184" s="13"/>
      <c r="D184" s="13"/>
      <c r="E184" s="13"/>
      <c r="F184" s="13"/>
      <c r="G184" s="13"/>
      <c r="H184" s="13"/>
      <c r="I184" s="13"/>
      <c r="J184" s="54"/>
      <c r="K184" s="13"/>
    </row>
    <row r="185" spans="1:11" x14ac:dyDescent="0.25">
      <c r="A185" s="12"/>
      <c r="B185" s="13"/>
      <c r="C185" s="13"/>
      <c r="D185" s="13"/>
      <c r="E185" s="13"/>
      <c r="F185" s="13"/>
      <c r="G185" s="13"/>
      <c r="H185" s="13"/>
      <c r="I185" s="13"/>
      <c r="J185" s="54"/>
      <c r="K185" s="13"/>
    </row>
    <row r="186" spans="1:11" x14ac:dyDescent="0.25">
      <c r="A186" s="12"/>
      <c r="B186" s="13"/>
      <c r="C186" s="13"/>
      <c r="D186" s="13"/>
      <c r="E186" s="13"/>
      <c r="F186" s="13"/>
      <c r="G186" s="13"/>
      <c r="H186" s="13"/>
      <c r="I186" s="13"/>
      <c r="J186" s="54"/>
      <c r="K186" s="13"/>
    </row>
    <row r="187" spans="1:11" x14ac:dyDescent="0.25">
      <c r="A187" s="12"/>
      <c r="B187" s="13"/>
      <c r="C187" s="13"/>
      <c r="D187" s="13"/>
      <c r="E187" s="13"/>
      <c r="F187" s="13"/>
      <c r="G187" s="13"/>
      <c r="H187" s="13"/>
      <c r="I187" s="13"/>
      <c r="J187" s="54"/>
      <c r="K187" s="13"/>
    </row>
    <row r="188" spans="1:11" x14ac:dyDescent="0.25">
      <c r="A188" s="12"/>
      <c r="B188" s="13"/>
      <c r="C188" s="13"/>
      <c r="D188" s="13"/>
      <c r="E188" s="13"/>
      <c r="F188" s="13"/>
      <c r="G188" s="13"/>
      <c r="H188" s="13"/>
      <c r="I188" s="13"/>
      <c r="J188" s="54"/>
      <c r="K188" s="13"/>
    </row>
    <row r="189" spans="1:11" x14ac:dyDescent="0.25">
      <c r="A189" s="12"/>
      <c r="B189" s="13"/>
      <c r="C189" s="13"/>
      <c r="D189" s="13"/>
      <c r="E189" s="13"/>
      <c r="F189" s="13"/>
      <c r="G189" s="13"/>
      <c r="H189" s="13"/>
      <c r="I189" s="13"/>
      <c r="J189" s="54"/>
      <c r="K189" s="13"/>
    </row>
    <row r="190" spans="1:11" x14ac:dyDescent="0.25">
      <c r="A190" s="12"/>
      <c r="B190" s="13"/>
      <c r="C190" s="13"/>
      <c r="D190" s="13"/>
      <c r="E190" s="13"/>
      <c r="F190" s="13"/>
      <c r="G190" s="13"/>
      <c r="H190" s="13"/>
      <c r="I190" s="13"/>
      <c r="J190" s="54"/>
      <c r="K190" s="13"/>
    </row>
    <row r="191" spans="1:11" x14ac:dyDescent="0.25">
      <c r="A191" s="12"/>
      <c r="B191" s="13"/>
      <c r="C191" s="13"/>
      <c r="D191" s="13"/>
      <c r="E191" s="13"/>
      <c r="F191" s="13"/>
      <c r="G191" s="13"/>
      <c r="H191" s="13"/>
      <c r="I191" s="13"/>
      <c r="J191" s="54"/>
      <c r="K191" s="13"/>
    </row>
    <row r="192" spans="1:11" x14ac:dyDescent="0.25">
      <c r="A192" s="12"/>
      <c r="B192" s="13"/>
      <c r="C192" s="13"/>
      <c r="D192" s="13"/>
      <c r="E192" s="13"/>
      <c r="F192" s="13"/>
      <c r="G192" s="13"/>
      <c r="H192" s="13"/>
      <c r="I192" s="13"/>
      <c r="J192" s="54"/>
      <c r="K192" s="13"/>
    </row>
    <row r="193" spans="1:11" x14ac:dyDescent="0.25">
      <c r="A193" s="12"/>
      <c r="B193" s="13"/>
      <c r="C193" s="13"/>
      <c r="D193" s="13"/>
      <c r="E193" s="13"/>
      <c r="F193" s="13"/>
      <c r="G193" s="13"/>
      <c r="H193" s="13"/>
      <c r="I193" s="13"/>
      <c r="J193" s="54"/>
      <c r="K193" s="13"/>
    </row>
    <row r="194" spans="1:11" x14ac:dyDescent="0.25">
      <c r="A194" s="12"/>
      <c r="B194" s="13"/>
      <c r="C194" s="13"/>
      <c r="D194" s="13"/>
      <c r="E194" s="13"/>
      <c r="F194" s="13"/>
      <c r="G194" s="13"/>
      <c r="H194" s="13"/>
      <c r="I194" s="13"/>
      <c r="J194" s="54"/>
      <c r="K194" s="13"/>
    </row>
    <row r="195" spans="1:11" x14ac:dyDescent="0.25">
      <c r="A195" s="12"/>
      <c r="B195" s="13"/>
      <c r="C195" s="13"/>
      <c r="D195" s="13"/>
      <c r="E195" s="13"/>
      <c r="F195" s="13"/>
      <c r="G195" s="13"/>
      <c r="H195" s="13"/>
      <c r="I195" s="13"/>
      <c r="J195" s="54"/>
      <c r="K195" s="13"/>
    </row>
    <row r="196" spans="1:11" x14ac:dyDescent="0.25">
      <c r="A196" s="12"/>
      <c r="B196" s="13"/>
      <c r="C196" s="13"/>
      <c r="D196" s="13"/>
      <c r="E196" s="13"/>
      <c r="F196" s="13"/>
      <c r="G196" s="13"/>
      <c r="H196" s="13"/>
      <c r="I196" s="13"/>
      <c r="J196" s="54"/>
      <c r="K196" s="13"/>
    </row>
    <row r="197" spans="1:11" x14ac:dyDescent="0.25">
      <c r="A197" s="12"/>
      <c r="B197" s="13"/>
      <c r="C197" s="13"/>
      <c r="D197" s="13"/>
      <c r="E197" s="13"/>
      <c r="F197" s="13"/>
      <c r="G197" s="13"/>
      <c r="H197" s="13"/>
      <c r="I197" s="13"/>
      <c r="J197" s="54"/>
      <c r="K197" s="13"/>
    </row>
    <row r="198" spans="1:11" x14ac:dyDescent="0.25">
      <c r="A198" s="12"/>
      <c r="B198" s="13"/>
      <c r="C198" s="13"/>
      <c r="D198" s="13"/>
      <c r="E198" s="13"/>
      <c r="F198" s="13"/>
      <c r="G198" s="13"/>
      <c r="H198" s="13"/>
      <c r="I198" s="13"/>
      <c r="J198" s="54"/>
      <c r="K198" s="13"/>
    </row>
    <row r="199" spans="1:11" x14ac:dyDescent="0.25">
      <c r="A199" s="12"/>
      <c r="B199" s="13"/>
      <c r="C199" s="13"/>
      <c r="D199" s="13"/>
      <c r="E199" s="13"/>
      <c r="F199" s="13"/>
      <c r="G199" s="13"/>
      <c r="H199" s="13"/>
      <c r="I199" s="13"/>
      <c r="J199" s="54"/>
      <c r="K199" s="13"/>
    </row>
    <row r="200" spans="1:11" x14ac:dyDescent="0.25">
      <c r="A200" s="12"/>
      <c r="B200" s="13"/>
      <c r="C200" s="13"/>
      <c r="D200" s="13"/>
      <c r="E200" s="13"/>
      <c r="F200" s="13"/>
      <c r="G200" s="13"/>
      <c r="H200" s="13"/>
      <c r="I200" s="13"/>
      <c r="J200" s="54"/>
      <c r="K200" s="13"/>
    </row>
    <row r="201" spans="1:11" x14ac:dyDescent="0.25">
      <c r="A201" s="12"/>
      <c r="B201" s="13"/>
      <c r="C201" s="13"/>
      <c r="D201" s="13"/>
      <c r="E201" s="13"/>
      <c r="F201" s="13"/>
      <c r="G201" s="13"/>
      <c r="H201" s="13"/>
      <c r="I201" s="13"/>
      <c r="J201" s="54"/>
      <c r="K201" s="13"/>
    </row>
    <row r="202" spans="1:11" x14ac:dyDescent="0.25">
      <c r="A202" s="12"/>
      <c r="B202" s="13"/>
      <c r="C202" s="13"/>
      <c r="D202" s="13"/>
      <c r="E202" s="13"/>
      <c r="F202" s="13"/>
      <c r="G202" s="13"/>
      <c r="H202" s="13"/>
      <c r="I202" s="13"/>
      <c r="J202" s="54"/>
      <c r="K202" s="13"/>
    </row>
    <row r="203" spans="1:11" x14ac:dyDescent="0.25">
      <c r="A203" s="12"/>
      <c r="B203" s="13"/>
      <c r="C203" s="13"/>
      <c r="D203" s="13"/>
      <c r="E203" s="13"/>
      <c r="F203" s="13"/>
      <c r="G203" s="13"/>
      <c r="H203" s="13"/>
      <c r="I203" s="13"/>
      <c r="J203" s="54"/>
      <c r="K203" s="13"/>
    </row>
    <row r="204" spans="1:11" x14ac:dyDescent="0.25">
      <c r="A204" s="12"/>
      <c r="B204" s="13"/>
      <c r="C204" s="13"/>
      <c r="D204" s="13"/>
      <c r="E204" s="13"/>
      <c r="F204" s="13"/>
      <c r="G204" s="13"/>
      <c r="H204" s="13"/>
      <c r="I204" s="13"/>
      <c r="J204" s="54"/>
      <c r="K204" s="13"/>
    </row>
    <row r="205" spans="1:11" x14ac:dyDescent="0.25">
      <c r="A205" s="12"/>
      <c r="B205" s="13"/>
      <c r="C205" s="13"/>
      <c r="D205" s="13"/>
      <c r="E205" s="13"/>
      <c r="F205" s="13"/>
      <c r="G205" s="13"/>
      <c r="H205" s="13"/>
      <c r="I205" s="13"/>
      <c r="J205" s="54"/>
      <c r="K205" s="13"/>
    </row>
    <row r="206" spans="1:11" x14ac:dyDescent="0.25">
      <c r="A206" s="12"/>
      <c r="B206" s="13"/>
      <c r="C206" s="13"/>
      <c r="D206" s="13"/>
      <c r="E206" s="13"/>
      <c r="F206" s="13"/>
      <c r="G206" s="13"/>
      <c r="H206" s="13"/>
      <c r="I206" s="13"/>
      <c r="J206" s="54"/>
      <c r="K206" s="13"/>
    </row>
    <row r="207" spans="1:11" x14ac:dyDescent="0.25">
      <c r="A207" s="12"/>
      <c r="B207" s="13"/>
      <c r="C207" s="13"/>
      <c r="D207" s="13"/>
      <c r="E207" s="13"/>
      <c r="F207" s="13"/>
      <c r="G207" s="13"/>
      <c r="H207" s="13"/>
      <c r="I207" s="13"/>
      <c r="J207" s="54"/>
      <c r="K207" s="13"/>
    </row>
    <row r="208" spans="1:11" x14ac:dyDescent="0.25">
      <c r="A208" s="12"/>
      <c r="B208" s="13"/>
      <c r="C208" s="13"/>
      <c r="D208" s="13"/>
      <c r="E208" s="13"/>
      <c r="F208" s="13"/>
      <c r="G208" s="13"/>
      <c r="H208" s="13"/>
      <c r="I208" s="13"/>
      <c r="J208" s="54"/>
      <c r="K208" s="13"/>
    </row>
    <row r="209" spans="1:11" x14ac:dyDescent="0.25">
      <c r="A209" s="12"/>
      <c r="B209" s="13"/>
      <c r="C209" s="13"/>
      <c r="D209" s="13"/>
      <c r="E209" s="13"/>
      <c r="F209" s="13"/>
      <c r="G209" s="13"/>
      <c r="H209" s="13"/>
      <c r="I209" s="13"/>
      <c r="J209" s="54"/>
      <c r="K209" s="13"/>
    </row>
    <row r="210" spans="1:11" x14ac:dyDescent="0.25">
      <c r="A210" s="12"/>
      <c r="B210" s="13"/>
      <c r="C210" s="13"/>
      <c r="D210" s="13"/>
      <c r="E210" s="13"/>
      <c r="F210" s="13"/>
      <c r="G210" s="13"/>
      <c r="H210" s="13"/>
      <c r="I210" s="13"/>
      <c r="J210" s="54"/>
      <c r="K210" s="13"/>
    </row>
    <row r="211" spans="1:11" x14ac:dyDescent="0.25">
      <c r="A211" s="12"/>
      <c r="B211" s="13"/>
      <c r="C211" s="13"/>
      <c r="D211" s="13"/>
      <c r="E211" s="13"/>
      <c r="F211" s="13"/>
      <c r="G211" s="13"/>
      <c r="H211" s="13"/>
      <c r="I211" s="13"/>
      <c r="J211" s="54"/>
      <c r="K211" s="13"/>
    </row>
    <row r="212" spans="1:11" x14ac:dyDescent="0.25">
      <c r="A212" s="12"/>
      <c r="B212" s="13"/>
      <c r="C212" s="13"/>
      <c r="D212" s="13"/>
      <c r="E212" s="13"/>
      <c r="F212" s="13"/>
      <c r="G212" s="13"/>
      <c r="H212" s="13"/>
      <c r="I212" s="13"/>
      <c r="J212" s="54"/>
      <c r="K212" s="13"/>
    </row>
    <row r="213" spans="1:11" x14ac:dyDescent="0.25">
      <c r="A213" s="12"/>
      <c r="B213" s="13"/>
      <c r="C213" s="13"/>
      <c r="D213" s="13"/>
      <c r="E213" s="13"/>
      <c r="F213" s="13"/>
      <c r="G213" s="13"/>
      <c r="H213" s="13"/>
      <c r="I213" s="13"/>
      <c r="J213" s="54"/>
      <c r="K213" s="13"/>
    </row>
    <row r="214" spans="1:11" x14ac:dyDescent="0.25">
      <c r="A214" s="12"/>
      <c r="B214" s="13"/>
      <c r="C214" s="13"/>
      <c r="D214" s="13"/>
      <c r="E214" s="13"/>
      <c r="F214" s="13"/>
      <c r="G214" s="13"/>
      <c r="H214" s="13"/>
      <c r="I214" s="13"/>
      <c r="J214" s="54"/>
      <c r="K214" s="13"/>
    </row>
    <row r="215" spans="1:11" x14ac:dyDescent="0.25">
      <c r="A215" s="12"/>
      <c r="B215" s="13"/>
      <c r="C215" s="13"/>
      <c r="D215" s="13"/>
      <c r="E215" s="13"/>
      <c r="F215" s="13"/>
      <c r="G215" s="13"/>
      <c r="H215" s="13"/>
      <c r="I215" s="13"/>
      <c r="J215" s="54"/>
      <c r="K215" s="13"/>
    </row>
    <row r="216" spans="1:11" x14ac:dyDescent="0.25">
      <c r="A216" s="12"/>
      <c r="B216" s="13"/>
      <c r="C216" s="13"/>
      <c r="D216" s="13"/>
      <c r="E216" s="13"/>
      <c r="F216" s="13"/>
      <c r="G216" s="13"/>
      <c r="H216" s="13"/>
      <c r="I216" s="13"/>
      <c r="J216" s="54"/>
      <c r="K216" s="13"/>
    </row>
    <row r="217" spans="1:11" x14ac:dyDescent="0.25">
      <c r="A217" s="12"/>
      <c r="B217" s="13"/>
      <c r="C217" s="13"/>
      <c r="D217" s="13"/>
      <c r="E217" s="13"/>
      <c r="F217" s="13"/>
      <c r="G217" s="13"/>
      <c r="H217" s="13"/>
      <c r="I217" s="13"/>
      <c r="J217" s="54"/>
      <c r="K217" s="13"/>
    </row>
    <row r="218" spans="1:11" x14ac:dyDescent="0.25">
      <c r="A218" s="12"/>
      <c r="B218" s="13"/>
      <c r="C218" s="13"/>
      <c r="D218" s="13"/>
      <c r="E218" s="13"/>
      <c r="F218" s="13"/>
      <c r="G218" s="13"/>
      <c r="H218" s="13"/>
      <c r="I218" s="13"/>
      <c r="J218" s="54"/>
      <c r="K218" s="13"/>
    </row>
    <row r="219" spans="1:11" x14ac:dyDescent="0.25">
      <c r="A219" s="12"/>
      <c r="B219" s="13"/>
      <c r="C219" s="13"/>
      <c r="D219" s="13"/>
      <c r="E219" s="13"/>
      <c r="F219" s="13"/>
      <c r="G219" s="13"/>
      <c r="H219" s="13"/>
      <c r="I219" s="13"/>
      <c r="J219" s="54"/>
      <c r="K219" s="13"/>
    </row>
    <row r="220" spans="1:11" x14ac:dyDescent="0.25">
      <c r="A220" s="12"/>
      <c r="B220" s="13"/>
      <c r="C220" s="13"/>
      <c r="D220" s="13"/>
      <c r="E220" s="13"/>
      <c r="F220" s="13"/>
      <c r="G220" s="13"/>
      <c r="H220" s="13"/>
      <c r="I220" s="13"/>
      <c r="J220" s="54"/>
      <c r="K220" s="13"/>
    </row>
    <row r="221" spans="1:11" x14ac:dyDescent="0.25">
      <c r="A221" s="12"/>
      <c r="B221" s="13"/>
      <c r="C221" s="13"/>
      <c r="D221" s="13"/>
      <c r="E221" s="13"/>
      <c r="F221" s="13"/>
      <c r="G221" s="13"/>
      <c r="H221" s="13"/>
      <c r="I221" s="13"/>
      <c r="J221" s="54"/>
      <c r="K221" s="13"/>
    </row>
    <row r="222" spans="1:11" x14ac:dyDescent="0.25">
      <c r="A222" s="12"/>
      <c r="B222" s="13"/>
      <c r="C222" s="13"/>
      <c r="D222" s="13"/>
      <c r="E222" s="13"/>
      <c r="F222" s="13"/>
      <c r="G222" s="13"/>
      <c r="H222" s="13"/>
      <c r="I222" s="13"/>
      <c r="J222" s="54"/>
      <c r="K222" s="13"/>
    </row>
    <row r="223" spans="1:11" x14ac:dyDescent="0.25">
      <c r="A223" s="12"/>
      <c r="B223" s="13"/>
      <c r="C223" s="13"/>
      <c r="D223" s="13"/>
      <c r="E223" s="13"/>
      <c r="F223" s="13"/>
      <c r="G223" s="13"/>
      <c r="H223" s="13"/>
      <c r="I223" s="13"/>
      <c r="J223" s="54"/>
      <c r="K223" s="13"/>
    </row>
    <row r="224" spans="1:11" x14ac:dyDescent="0.25">
      <c r="A224" s="12"/>
      <c r="B224" s="13"/>
      <c r="C224" s="13"/>
      <c r="D224" s="13"/>
      <c r="E224" s="13"/>
      <c r="F224" s="13"/>
      <c r="G224" s="13"/>
      <c r="H224" s="13"/>
      <c r="I224" s="13"/>
      <c r="J224" s="54"/>
      <c r="K224" s="13"/>
    </row>
    <row r="225" spans="1:11" x14ac:dyDescent="0.25">
      <c r="A225" s="12"/>
      <c r="B225" s="13"/>
      <c r="C225" s="13"/>
      <c r="D225" s="13"/>
      <c r="E225" s="13"/>
      <c r="F225" s="13"/>
      <c r="G225" s="13"/>
      <c r="H225" s="13"/>
      <c r="I225" s="13"/>
      <c r="J225" s="54"/>
      <c r="K225" s="13"/>
    </row>
    <row r="226" spans="1:11" x14ac:dyDescent="0.25">
      <c r="A226" s="12"/>
      <c r="B226" s="13"/>
      <c r="C226" s="13"/>
      <c r="D226" s="13"/>
      <c r="E226" s="13"/>
      <c r="F226" s="13"/>
      <c r="G226" s="13"/>
      <c r="H226" s="13"/>
      <c r="I226" s="13"/>
      <c r="J226" s="54"/>
      <c r="K226" s="13"/>
    </row>
    <row r="227" spans="1:11" x14ac:dyDescent="0.25">
      <c r="A227" s="12"/>
      <c r="B227" s="13"/>
      <c r="C227" s="13"/>
      <c r="D227" s="13"/>
      <c r="E227" s="13"/>
      <c r="F227" s="13"/>
      <c r="G227" s="13"/>
      <c r="H227" s="13"/>
      <c r="I227" s="13"/>
      <c r="J227" s="54"/>
      <c r="K227" s="13"/>
    </row>
    <row r="228" spans="1:11" x14ac:dyDescent="0.25">
      <c r="A228" s="12"/>
      <c r="B228" s="13"/>
      <c r="C228" s="13"/>
      <c r="D228" s="13"/>
      <c r="E228" s="13"/>
      <c r="F228" s="13"/>
      <c r="G228" s="13"/>
      <c r="H228" s="13"/>
      <c r="I228" s="13"/>
      <c r="J228" s="54"/>
      <c r="K228" s="13"/>
    </row>
    <row r="229" spans="1:11" x14ac:dyDescent="0.25">
      <c r="A229" s="12"/>
      <c r="B229" s="13"/>
      <c r="C229" s="13"/>
      <c r="D229" s="13"/>
      <c r="E229" s="13"/>
      <c r="F229" s="13"/>
      <c r="G229" s="13"/>
      <c r="H229" s="13"/>
      <c r="I229" s="13"/>
      <c r="J229" s="54"/>
      <c r="K229" s="13"/>
    </row>
    <row r="230" spans="1:11" x14ac:dyDescent="0.25">
      <c r="A230" s="12"/>
      <c r="B230" s="13"/>
      <c r="C230" s="13"/>
      <c r="D230" s="13"/>
      <c r="E230" s="13"/>
      <c r="F230" s="13"/>
      <c r="G230" s="13"/>
      <c r="H230" s="13"/>
      <c r="I230" s="13"/>
      <c r="J230" s="54"/>
      <c r="K230" s="13"/>
    </row>
    <row r="231" spans="1:11" x14ac:dyDescent="0.25">
      <c r="A231" s="12"/>
      <c r="B231" s="13"/>
      <c r="C231" s="13"/>
      <c r="D231" s="13"/>
      <c r="E231" s="13"/>
      <c r="F231" s="13"/>
      <c r="G231" s="13"/>
      <c r="H231" s="13"/>
      <c r="I231" s="13"/>
      <c r="J231" s="54"/>
      <c r="K231" s="13"/>
    </row>
    <row r="232" spans="1:11" x14ac:dyDescent="0.25">
      <c r="A232" s="12"/>
      <c r="B232" s="13"/>
      <c r="C232" s="13"/>
      <c r="D232" s="13"/>
      <c r="E232" s="13"/>
      <c r="F232" s="13"/>
      <c r="G232" s="13"/>
      <c r="H232" s="13"/>
      <c r="I232" s="13"/>
      <c r="J232" s="54"/>
      <c r="K232" s="13"/>
    </row>
    <row r="233" spans="1:11" x14ac:dyDescent="0.25">
      <c r="A233" s="12"/>
      <c r="B233" s="13"/>
      <c r="C233" s="13"/>
      <c r="D233" s="13"/>
      <c r="E233" s="13"/>
      <c r="F233" s="13"/>
      <c r="G233" s="13"/>
      <c r="H233" s="13"/>
      <c r="I233" s="13"/>
      <c r="J233" s="54"/>
      <c r="K233" s="13"/>
    </row>
    <row r="234" spans="1:11" x14ac:dyDescent="0.25">
      <c r="A234" s="12"/>
      <c r="B234" s="13"/>
      <c r="C234" s="13"/>
      <c r="D234" s="13"/>
      <c r="E234" s="13"/>
      <c r="F234" s="13"/>
      <c r="G234" s="13"/>
      <c r="H234" s="13"/>
      <c r="I234" s="13"/>
      <c r="J234" s="54"/>
      <c r="K234" s="13"/>
    </row>
    <row r="235" spans="1:11" x14ac:dyDescent="0.25">
      <c r="A235" s="12"/>
      <c r="B235" s="13"/>
      <c r="C235" s="13"/>
      <c r="D235" s="13"/>
      <c r="E235" s="13"/>
      <c r="F235" s="13"/>
      <c r="G235" s="13"/>
      <c r="H235" s="13"/>
      <c r="I235" s="13"/>
      <c r="J235" s="54"/>
      <c r="K235" s="13"/>
    </row>
    <row r="236" spans="1:11" x14ac:dyDescent="0.25">
      <c r="A236" s="12"/>
      <c r="B236" s="13"/>
      <c r="C236" s="13"/>
      <c r="D236" s="13"/>
      <c r="E236" s="13"/>
      <c r="F236" s="13"/>
      <c r="G236" s="13"/>
      <c r="H236" s="13"/>
      <c r="I236" s="13"/>
      <c r="J236" s="54"/>
      <c r="K236" s="13"/>
    </row>
    <row r="237" spans="1:11" x14ac:dyDescent="0.25">
      <c r="A237" s="12"/>
      <c r="B237" s="13"/>
      <c r="C237" s="13"/>
      <c r="D237" s="13"/>
      <c r="E237" s="13"/>
      <c r="F237" s="13"/>
      <c r="G237" s="13"/>
      <c r="H237" s="13"/>
      <c r="I237" s="13"/>
      <c r="J237" s="54"/>
      <c r="K237" s="13"/>
    </row>
    <row r="238" spans="1:11" x14ac:dyDescent="0.25">
      <c r="A238" s="12"/>
      <c r="B238" s="13"/>
      <c r="C238" s="13"/>
      <c r="D238" s="13"/>
      <c r="E238" s="13"/>
      <c r="F238" s="13"/>
      <c r="G238" s="13"/>
      <c r="H238" s="13"/>
      <c r="I238" s="13"/>
      <c r="J238" s="54"/>
      <c r="K238" s="13"/>
    </row>
    <row r="239" spans="1:11" x14ac:dyDescent="0.25">
      <c r="A239" s="12"/>
      <c r="B239" s="13"/>
      <c r="C239" s="13"/>
      <c r="D239" s="13"/>
      <c r="E239" s="13"/>
      <c r="F239" s="13"/>
      <c r="G239" s="13"/>
      <c r="H239" s="13"/>
      <c r="I239" s="13"/>
      <c r="J239" s="54"/>
      <c r="K239" s="13"/>
    </row>
    <row r="240" spans="1:11" x14ac:dyDescent="0.25">
      <c r="A240" s="12"/>
      <c r="B240" s="13"/>
      <c r="C240" s="13"/>
      <c r="D240" s="13"/>
      <c r="E240" s="13"/>
      <c r="F240" s="13"/>
      <c r="G240" s="13"/>
      <c r="H240" s="13"/>
      <c r="I240" s="13"/>
      <c r="J240" s="54"/>
      <c r="K240" s="13"/>
    </row>
    <row r="241" spans="1:11" x14ac:dyDescent="0.25">
      <c r="A241" s="12"/>
      <c r="B241" s="13"/>
      <c r="C241" s="13"/>
      <c r="D241" s="13"/>
      <c r="E241" s="13"/>
      <c r="F241" s="13"/>
      <c r="G241" s="13"/>
      <c r="H241" s="13"/>
      <c r="I241" s="13"/>
      <c r="J241" s="54"/>
      <c r="K241" s="13"/>
    </row>
    <row r="242" spans="1:11" x14ac:dyDescent="0.25">
      <c r="A242" s="12"/>
      <c r="B242" s="13"/>
      <c r="C242" s="13"/>
      <c r="D242" s="13"/>
      <c r="E242" s="13"/>
      <c r="F242" s="13"/>
      <c r="G242" s="13"/>
      <c r="H242" s="13"/>
      <c r="I242" s="13"/>
      <c r="J242" s="54"/>
      <c r="K242" s="13"/>
    </row>
    <row r="243" spans="1:11" x14ac:dyDescent="0.25">
      <c r="A243" s="12"/>
      <c r="B243" s="13"/>
      <c r="C243" s="13"/>
      <c r="D243" s="13"/>
      <c r="E243" s="13"/>
      <c r="F243" s="13"/>
      <c r="G243" s="13"/>
      <c r="H243" s="13"/>
      <c r="I243" s="13"/>
      <c r="J243" s="54"/>
      <c r="K243" s="13"/>
    </row>
    <row r="244" spans="1:11" x14ac:dyDescent="0.25">
      <c r="A244" s="12"/>
      <c r="B244" s="13"/>
      <c r="C244" s="13"/>
      <c r="D244" s="13"/>
      <c r="E244" s="13"/>
      <c r="F244" s="13"/>
      <c r="G244" s="13"/>
      <c r="H244" s="13"/>
      <c r="I244" s="13"/>
      <c r="J244" s="54"/>
      <c r="K244" s="13"/>
    </row>
    <row r="245" spans="1:11" x14ac:dyDescent="0.25">
      <c r="A245" s="12"/>
      <c r="B245" s="13"/>
      <c r="C245" s="13"/>
      <c r="D245" s="13"/>
      <c r="E245" s="13"/>
      <c r="F245" s="13"/>
      <c r="G245" s="13"/>
      <c r="H245" s="13"/>
      <c r="I245" s="13"/>
      <c r="J245" s="54"/>
      <c r="K245" s="13"/>
    </row>
    <row r="246" spans="1:11" x14ac:dyDescent="0.25">
      <c r="A246" s="12"/>
      <c r="B246" s="13"/>
      <c r="C246" s="13"/>
      <c r="D246" s="13"/>
      <c r="E246" s="13"/>
      <c r="F246" s="13"/>
      <c r="G246" s="13"/>
      <c r="H246" s="13"/>
      <c r="I246" s="13"/>
      <c r="J246" s="54"/>
      <c r="K246" s="13"/>
    </row>
    <row r="247" spans="1:11" x14ac:dyDescent="0.25">
      <c r="A247" s="12"/>
      <c r="B247" s="13"/>
      <c r="C247" s="13"/>
      <c r="D247" s="13"/>
      <c r="E247" s="13"/>
      <c r="F247" s="13"/>
      <c r="G247" s="13"/>
      <c r="H247" s="13"/>
      <c r="I247" s="13"/>
      <c r="J247" s="54"/>
      <c r="K247" s="13"/>
    </row>
    <row r="248" spans="1:11" x14ac:dyDescent="0.25">
      <c r="A248" s="12"/>
      <c r="B248" s="13"/>
      <c r="C248" s="13"/>
      <c r="D248" s="13"/>
      <c r="E248" s="13"/>
      <c r="F248" s="13"/>
      <c r="G248" s="13"/>
      <c r="H248" s="13"/>
      <c r="I248" s="13"/>
      <c r="J248" s="54"/>
      <c r="K248" s="13"/>
    </row>
    <row r="249" spans="1:11" x14ac:dyDescent="0.25">
      <c r="A249" s="12"/>
      <c r="B249" s="13"/>
      <c r="C249" s="13"/>
      <c r="D249" s="13"/>
      <c r="E249" s="13"/>
      <c r="F249" s="13"/>
      <c r="G249" s="13"/>
      <c r="H249" s="13"/>
      <c r="I249" s="13"/>
      <c r="J249" s="54"/>
      <c r="K249" s="13"/>
    </row>
    <row r="250" spans="1:11" x14ac:dyDescent="0.25">
      <c r="A250" s="12"/>
      <c r="B250" s="13"/>
      <c r="C250" s="13"/>
      <c r="D250" s="13"/>
      <c r="E250" s="13"/>
      <c r="F250" s="13"/>
      <c r="G250" s="13"/>
      <c r="H250" s="13"/>
      <c r="I250" s="13"/>
      <c r="J250" s="54"/>
      <c r="K250" s="13"/>
    </row>
    <row r="251" spans="1:11" x14ac:dyDescent="0.25">
      <c r="A251" s="12"/>
      <c r="B251" s="13"/>
      <c r="C251" s="13"/>
      <c r="D251" s="13"/>
      <c r="E251" s="13"/>
      <c r="F251" s="13"/>
      <c r="G251" s="13"/>
      <c r="H251" s="13"/>
      <c r="I251" s="13"/>
      <c r="J251" s="54"/>
      <c r="K251" s="13"/>
    </row>
    <row r="252" spans="1:11" x14ac:dyDescent="0.25">
      <c r="A252" s="12"/>
      <c r="B252" s="13"/>
      <c r="C252" s="13"/>
      <c r="D252" s="13"/>
      <c r="E252" s="13"/>
      <c r="F252" s="13"/>
      <c r="G252" s="13"/>
      <c r="H252" s="13"/>
      <c r="I252" s="13"/>
      <c r="J252" s="54"/>
      <c r="K252" s="13"/>
    </row>
    <row r="253" spans="1:11" x14ac:dyDescent="0.25">
      <c r="A253" s="12"/>
      <c r="B253" s="13"/>
      <c r="C253" s="13"/>
      <c r="D253" s="13"/>
      <c r="E253" s="13"/>
      <c r="F253" s="13"/>
      <c r="G253" s="13"/>
      <c r="H253" s="13"/>
      <c r="I253" s="13"/>
      <c r="J253" s="54"/>
      <c r="K253" s="13"/>
    </row>
    <row r="254" spans="1:11" x14ac:dyDescent="0.25">
      <c r="A254" s="12"/>
      <c r="B254" s="13"/>
      <c r="C254" s="13"/>
      <c r="D254" s="13"/>
      <c r="E254" s="13"/>
      <c r="F254" s="13"/>
      <c r="G254" s="13"/>
      <c r="H254" s="13"/>
      <c r="I254" s="13"/>
      <c r="J254" s="54"/>
      <c r="K254" s="13"/>
    </row>
    <row r="255" spans="1:11" x14ac:dyDescent="0.25">
      <c r="A255" s="12"/>
      <c r="B255" s="13"/>
      <c r="C255" s="13"/>
      <c r="D255" s="13"/>
      <c r="E255" s="13"/>
      <c r="F255" s="13"/>
      <c r="G255" s="13"/>
      <c r="H255" s="13"/>
      <c r="I255" s="13"/>
      <c r="J255" s="54"/>
      <c r="K255" s="13"/>
    </row>
    <row r="256" spans="1:11" x14ac:dyDescent="0.25">
      <c r="A256" s="12"/>
      <c r="B256" s="13"/>
      <c r="C256" s="13"/>
      <c r="D256" s="13"/>
      <c r="E256" s="13"/>
      <c r="F256" s="13"/>
      <c r="G256" s="13"/>
      <c r="H256" s="13"/>
      <c r="I256" s="13"/>
      <c r="J256" s="54"/>
      <c r="K256" s="13"/>
    </row>
    <row r="257" spans="1:11" x14ac:dyDescent="0.25">
      <c r="A257" s="12"/>
      <c r="B257" s="13"/>
      <c r="C257" s="13"/>
      <c r="D257" s="13"/>
      <c r="E257" s="13"/>
      <c r="F257" s="13"/>
      <c r="G257" s="13"/>
      <c r="H257" s="13"/>
      <c r="I257" s="13"/>
      <c r="J257" s="54"/>
      <c r="K257" s="13"/>
    </row>
    <row r="258" spans="1:11" x14ac:dyDescent="0.25">
      <c r="A258" s="12"/>
      <c r="B258" s="13"/>
      <c r="C258" s="13"/>
      <c r="D258" s="13"/>
      <c r="E258" s="13"/>
      <c r="F258" s="13"/>
      <c r="G258" s="13"/>
      <c r="H258" s="13"/>
      <c r="I258" s="13"/>
      <c r="J258" s="54"/>
      <c r="K258" s="13"/>
    </row>
    <row r="259" spans="1:11" x14ac:dyDescent="0.25">
      <c r="A259" s="12"/>
      <c r="B259" s="13"/>
      <c r="C259" s="13"/>
      <c r="D259" s="13"/>
      <c r="E259" s="13"/>
      <c r="F259" s="13"/>
      <c r="G259" s="13"/>
      <c r="H259" s="13"/>
      <c r="I259" s="13"/>
      <c r="J259" s="54"/>
      <c r="K259" s="13"/>
    </row>
    <row r="260" spans="1:11" x14ac:dyDescent="0.25">
      <c r="A260" s="12"/>
      <c r="B260" s="13"/>
      <c r="C260" s="13"/>
      <c r="D260" s="13"/>
      <c r="E260" s="13"/>
      <c r="F260" s="13"/>
      <c r="G260" s="13"/>
      <c r="H260" s="13"/>
      <c r="I260" s="13"/>
      <c r="J260" s="54"/>
      <c r="K260" s="13"/>
    </row>
    <row r="261" spans="1:11" x14ac:dyDescent="0.25">
      <c r="A261" s="12"/>
      <c r="B261" s="13"/>
      <c r="C261" s="13"/>
      <c r="D261" s="13"/>
      <c r="E261" s="13"/>
      <c r="F261" s="13"/>
      <c r="G261" s="13"/>
      <c r="H261" s="13"/>
      <c r="I261" s="13"/>
      <c r="J261" s="54"/>
      <c r="K261" s="13"/>
    </row>
    <row r="262" spans="1:11" x14ac:dyDescent="0.25">
      <c r="A262" s="12"/>
      <c r="B262" s="13"/>
      <c r="C262" s="13"/>
      <c r="D262" s="13"/>
      <c r="E262" s="13"/>
      <c r="F262" s="13"/>
      <c r="G262" s="13"/>
      <c r="H262" s="13"/>
      <c r="I262" s="13"/>
      <c r="J262" s="54"/>
      <c r="K262" s="13"/>
    </row>
    <row r="263" spans="1:11" x14ac:dyDescent="0.25">
      <c r="A263" s="12"/>
      <c r="B263" s="13"/>
      <c r="C263" s="13"/>
      <c r="D263" s="13"/>
      <c r="E263" s="13"/>
      <c r="F263" s="13"/>
      <c r="G263" s="13"/>
      <c r="H263" s="13"/>
      <c r="I263" s="13"/>
      <c r="J263" s="54"/>
      <c r="K263" s="13"/>
    </row>
    <row r="264" spans="1:11" x14ac:dyDescent="0.25">
      <c r="A264" s="12"/>
      <c r="B264" s="13"/>
      <c r="C264" s="13"/>
      <c r="D264" s="13"/>
      <c r="E264" s="13"/>
      <c r="F264" s="13"/>
      <c r="G264" s="13"/>
      <c r="H264" s="13"/>
      <c r="I264" s="13"/>
      <c r="J264" s="54"/>
      <c r="K264" s="13"/>
    </row>
    <row r="265" spans="1:11" x14ac:dyDescent="0.25">
      <c r="A265" s="12"/>
      <c r="B265" s="13"/>
      <c r="C265" s="13"/>
      <c r="D265" s="13"/>
      <c r="E265" s="13"/>
      <c r="F265" s="13"/>
      <c r="G265" s="13"/>
      <c r="H265" s="13"/>
      <c r="I265" s="13"/>
      <c r="J265" s="54"/>
      <c r="K265" s="13"/>
    </row>
    <row r="266" spans="1:11" x14ac:dyDescent="0.25">
      <c r="A266" s="12"/>
      <c r="B266" s="13"/>
      <c r="C266" s="13"/>
      <c r="D266" s="13"/>
      <c r="E266" s="13"/>
      <c r="F266" s="13"/>
      <c r="G266" s="13"/>
      <c r="H266" s="13"/>
      <c r="I266" s="13"/>
      <c r="J266" s="54"/>
      <c r="K266" s="13"/>
    </row>
    <row r="267" spans="1:11" x14ac:dyDescent="0.25">
      <c r="A267" s="12"/>
      <c r="B267" s="13"/>
      <c r="C267" s="13"/>
      <c r="D267" s="13"/>
      <c r="E267" s="13"/>
      <c r="F267" s="13"/>
      <c r="G267" s="13"/>
      <c r="H267" s="13"/>
      <c r="I267" s="13"/>
      <c r="J267" s="54"/>
      <c r="K267" s="13"/>
    </row>
    <row r="268" spans="1:11" x14ac:dyDescent="0.25">
      <c r="A268" s="12"/>
      <c r="B268" s="13"/>
      <c r="C268" s="13"/>
      <c r="D268" s="13"/>
      <c r="E268" s="13"/>
      <c r="F268" s="13"/>
      <c r="G268" s="13"/>
      <c r="H268" s="13"/>
      <c r="I268" s="13"/>
      <c r="J268" s="54"/>
      <c r="K268" s="13"/>
    </row>
    <row r="269" spans="1:11" x14ac:dyDescent="0.25">
      <c r="A269" s="12"/>
      <c r="B269" s="13"/>
      <c r="C269" s="13"/>
      <c r="D269" s="13"/>
      <c r="E269" s="13"/>
      <c r="F269" s="13"/>
      <c r="G269" s="13"/>
      <c r="H269" s="13"/>
      <c r="I269" s="13"/>
      <c r="J269" s="54"/>
      <c r="K269" s="13"/>
    </row>
    <row r="270" spans="1:11" x14ac:dyDescent="0.25">
      <c r="A270" s="12"/>
      <c r="B270" s="13"/>
      <c r="C270" s="13"/>
      <c r="D270" s="13"/>
      <c r="E270" s="13"/>
      <c r="F270" s="13"/>
      <c r="G270" s="13"/>
      <c r="H270" s="13"/>
      <c r="I270" s="13"/>
      <c r="J270" s="54"/>
      <c r="K270" s="13"/>
    </row>
    <row r="271" spans="1:11" x14ac:dyDescent="0.25">
      <c r="A271" s="12"/>
      <c r="B271" s="13"/>
      <c r="C271" s="13"/>
      <c r="D271" s="13"/>
      <c r="E271" s="13"/>
      <c r="F271" s="13"/>
      <c r="G271" s="13"/>
      <c r="H271" s="13"/>
      <c r="I271" s="13"/>
      <c r="J271" s="54"/>
      <c r="K271" s="13"/>
    </row>
    <row r="272" spans="1:11" x14ac:dyDescent="0.25">
      <c r="A272" s="12"/>
      <c r="B272" s="13"/>
      <c r="C272" s="13"/>
      <c r="D272" s="13"/>
      <c r="E272" s="13"/>
      <c r="F272" s="13"/>
      <c r="G272" s="13"/>
      <c r="H272" s="13"/>
      <c r="I272" s="13"/>
      <c r="J272" s="54"/>
      <c r="K272" s="13"/>
    </row>
    <row r="273" spans="1:11" x14ac:dyDescent="0.25">
      <c r="A273" s="12"/>
      <c r="B273" s="13"/>
      <c r="C273" s="13"/>
      <c r="D273" s="13"/>
      <c r="E273" s="13"/>
      <c r="F273" s="13"/>
      <c r="G273" s="13"/>
      <c r="H273" s="13"/>
      <c r="I273" s="13"/>
      <c r="J273" s="54"/>
      <c r="K273" s="13"/>
    </row>
    <row r="274" spans="1:11" x14ac:dyDescent="0.25">
      <c r="A274" s="12"/>
      <c r="B274" s="13"/>
      <c r="C274" s="13"/>
      <c r="D274" s="13"/>
      <c r="E274" s="13"/>
      <c r="F274" s="13"/>
      <c r="G274" s="13"/>
      <c r="H274" s="13"/>
      <c r="I274" s="13"/>
      <c r="J274" s="54"/>
      <c r="K274" s="13"/>
    </row>
    <row r="275" spans="1:11" x14ac:dyDescent="0.25">
      <c r="A275" s="12"/>
      <c r="B275" s="13"/>
      <c r="C275" s="13"/>
      <c r="D275" s="13"/>
      <c r="E275" s="13"/>
      <c r="F275" s="13"/>
      <c r="G275" s="13"/>
      <c r="H275" s="13"/>
      <c r="I275" s="13"/>
      <c r="J275" s="54"/>
      <c r="K275" s="13"/>
    </row>
    <row r="276" spans="1:11" x14ac:dyDescent="0.25">
      <c r="A276" s="12"/>
      <c r="B276" s="13"/>
      <c r="C276" s="13"/>
      <c r="D276" s="13"/>
      <c r="E276" s="13"/>
      <c r="F276" s="13"/>
      <c r="G276" s="13"/>
      <c r="H276" s="13"/>
      <c r="I276" s="13"/>
      <c r="J276" s="54"/>
      <c r="K276" s="13"/>
    </row>
    <row r="277" spans="1:11" x14ac:dyDescent="0.25">
      <c r="A277" s="12"/>
      <c r="B277" s="13"/>
      <c r="C277" s="13"/>
      <c r="D277" s="13"/>
      <c r="E277" s="13"/>
      <c r="F277" s="13"/>
      <c r="G277" s="13"/>
      <c r="H277" s="13"/>
      <c r="I277" s="13"/>
      <c r="J277" s="54"/>
      <c r="K277" s="13"/>
    </row>
    <row r="278" spans="1:11" x14ac:dyDescent="0.25">
      <c r="A278" s="12"/>
      <c r="B278" s="13"/>
      <c r="C278" s="13"/>
      <c r="D278" s="13"/>
      <c r="E278" s="13"/>
      <c r="F278" s="13"/>
      <c r="G278" s="13"/>
      <c r="H278" s="13"/>
      <c r="I278" s="13"/>
      <c r="J278" s="54"/>
      <c r="K278" s="13"/>
    </row>
    <row r="279" spans="1:11" x14ac:dyDescent="0.25">
      <c r="A279" s="12"/>
      <c r="B279" s="13"/>
      <c r="C279" s="13"/>
      <c r="D279" s="13"/>
      <c r="E279" s="13"/>
      <c r="F279" s="13"/>
      <c r="G279" s="13"/>
      <c r="H279" s="13"/>
      <c r="I279" s="13"/>
      <c r="J279" s="54"/>
      <c r="K279" s="13"/>
    </row>
    <row r="280" spans="1:11" x14ac:dyDescent="0.25">
      <c r="A280" s="12"/>
      <c r="B280" s="13"/>
      <c r="C280" s="13"/>
      <c r="D280" s="13"/>
      <c r="E280" s="13"/>
      <c r="F280" s="13"/>
      <c r="G280" s="13"/>
      <c r="H280" s="13"/>
      <c r="I280" s="13"/>
      <c r="J280" s="54"/>
      <c r="K280" s="13"/>
    </row>
    <row r="281" spans="1:11" x14ac:dyDescent="0.25">
      <c r="A281" s="12"/>
      <c r="B281" s="13"/>
      <c r="C281" s="13"/>
      <c r="D281" s="13"/>
      <c r="E281" s="13"/>
      <c r="F281" s="13"/>
      <c r="G281" s="13"/>
      <c r="H281" s="13"/>
      <c r="I281" s="13"/>
      <c r="J281" s="54"/>
      <c r="K281" s="13"/>
    </row>
    <row r="282" spans="1:11" x14ac:dyDescent="0.25">
      <c r="A282" s="12"/>
      <c r="B282" s="13"/>
      <c r="C282" s="13"/>
      <c r="D282" s="13"/>
      <c r="E282" s="13"/>
      <c r="F282" s="13"/>
      <c r="G282" s="13"/>
      <c r="H282" s="13"/>
      <c r="I282" s="13"/>
      <c r="J282" s="54"/>
      <c r="K282" s="13"/>
    </row>
    <row r="283" spans="1:11" x14ac:dyDescent="0.25">
      <c r="A283" s="12"/>
      <c r="B283" s="13"/>
      <c r="C283" s="13"/>
      <c r="D283" s="13"/>
      <c r="E283" s="13"/>
      <c r="F283" s="13"/>
      <c r="G283" s="13"/>
      <c r="H283" s="13"/>
      <c r="I283" s="13"/>
      <c r="J283" s="54"/>
      <c r="K283" s="13"/>
    </row>
    <row r="284" spans="1:11" x14ac:dyDescent="0.25">
      <c r="A284" s="12"/>
      <c r="B284" s="13"/>
      <c r="C284" s="13"/>
      <c r="D284" s="13"/>
      <c r="E284" s="13"/>
      <c r="F284" s="13"/>
      <c r="G284" s="13"/>
      <c r="H284" s="13"/>
      <c r="I284" s="13"/>
      <c r="J284" s="54"/>
      <c r="K284" s="13"/>
    </row>
    <row r="285" spans="1:11" x14ac:dyDescent="0.25">
      <c r="A285" s="12"/>
      <c r="B285" s="13"/>
      <c r="C285" s="13"/>
      <c r="D285" s="13"/>
      <c r="E285" s="13"/>
      <c r="F285" s="13"/>
      <c r="G285" s="13"/>
      <c r="H285" s="13"/>
      <c r="I285" s="13"/>
      <c r="J285" s="54"/>
      <c r="K285" s="13"/>
    </row>
    <row r="286" spans="1:11" x14ac:dyDescent="0.25">
      <c r="A286" s="12"/>
      <c r="B286" s="13"/>
      <c r="C286" s="13"/>
      <c r="D286" s="13"/>
      <c r="E286" s="13"/>
      <c r="F286" s="13"/>
      <c r="G286" s="13"/>
      <c r="H286" s="13"/>
      <c r="I286" s="13"/>
      <c r="J286" s="54"/>
      <c r="K286" s="13"/>
    </row>
    <row r="287" spans="1:11" x14ac:dyDescent="0.25">
      <c r="A287" s="12"/>
      <c r="B287" s="13"/>
      <c r="C287" s="13"/>
      <c r="D287" s="13"/>
      <c r="E287" s="13"/>
      <c r="F287" s="13"/>
      <c r="G287" s="13"/>
      <c r="H287" s="13"/>
      <c r="I287" s="13"/>
      <c r="J287" s="54"/>
      <c r="K287" s="13"/>
    </row>
    <row r="288" spans="1:11" x14ac:dyDescent="0.25">
      <c r="A288" s="14"/>
      <c r="J288" s="4"/>
    </row>
    <row r="289" spans="1:10" x14ac:dyDescent="0.25">
      <c r="A289" s="14"/>
      <c r="J289" s="4"/>
    </row>
    <row r="290" spans="1:10" x14ac:dyDescent="0.25">
      <c r="A290" s="14"/>
      <c r="J290" s="4"/>
    </row>
    <row r="291" spans="1:10" x14ac:dyDescent="0.25">
      <c r="A291" s="14"/>
      <c r="J291" s="4"/>
    </row>
    <row r="292" spans="1:10" x14ac:dyDescent="0.25">
      <c r="A292" s="14"/>
      <c r="J292" s="4"/>
    </row>
    <row r="293" spans="1:10" x14ac:dyDescent="0.25">
      <c r="A293" s="14"/>
      <c r="J293" s="4"/>
    </row>
    <row r="294" spans="1:10" x14ac:dyDescent="0.25">
      <c r="A294" s="14"/>
      <c r="J294" s="4"/>
    </row>
    <row r="295" spans="1:10" x14ac:dyDescent="0.25">
      <c r="A295" s="14"/>
      <c r="J295" s="4"/>
    </row>
    <row r="296" spans="1:10" x14ac:dyDescent="0.25">
      <c r="A296" s="14"/>
      <c r="J296" s="4"/>
    </row>
    <row r="297" spans="1:10" x14ac:dyDescent="0.25">
      <c r="A297" s="14"/>
      <c r="J297" s="4"/>
    </row>
    <row r="298" spans="1:10" x14ac:dyDescent="0.25">
      <c r="A298" s="14"/>
      <c r="J298" s="4"/>
    </row>
    <row r="299" spans="1:10" x14ac:dyDescent="0.25">
      <c r="A299" s="14"/>
      <c r="J299" s="4"/>
    </row>
    <row r="300" spans="1:10" x14ac:dyDescent="0.25">
      <c r="A300" s="14"/>
      <c r="J300" s="4"/>
    </row>
    <row r="301" spans="1:10" x14ac:dyDescent="0.25">
      <c r="A301" s="14"/>
      <c r="J301" s="4"/>
    </row>
    <row r="302" spans="1:10" x14ac:dyDescent="0.25">
      <c r="A302" s="14"/>
      <c r="J302" s="4"/>
    </row>
    <row r="303" spans="1:10" x14ac:dyDescent="0.25">
      <c r="A303" s="14"/>
      <c r="J303" s="4"/>
    </row>
    <row r="304" spans="1:10" x14ac:dyDescent="0.25">
      <c r="A304" s="14"/>
      <c r="J304" s="4"/>
    </row>
    <row r="305" spans="1:10" x14ac:dyDescent="0.25">
      <c r="A305" s="14"/>
      <c r="J305" s="4"/>
    </row>
    <row r="306" spans="1:10" x14ac:dyDescent="0.25">
      <c r="A306" s="14"/>
      <c r="J306" s="4"/>
    </row>
    <row r="307" spans="1:10" x14ac:dyDescent="0.25">
      <c r="A307" s="14"/>
      <c r="J307" s="4"/>
    </row>
    <row r="308" spans="1:10" x14ac:dyDescent="0.25">
      <c r="A308" s="14"/>
      <c r="J308" s="4"/>
    </row>
    <row r="309" spans="1:10" x14ac:dyDescent="0.25">
      <c r="A309" s="14"/>
      <c r="J309" s="4"/>
    </row>
    <row r="310" spans="1:10" x14ac:dyDescent="0.25">
      <c r="A310" s="14"/>
      <c r="J310" s="4"/>
    </row>
    <row r="311" spans="1:10" x14ac:dyDescent="0.25">
      <c r="A311" s="14"/>
      <c r="J311" s="4"/>
    </row>
    <row r="312" spans="1:10" x14ac:dyDescent="0.25">
      <c r="A312" s="14"/>
      <c r="J312" s="4"/>
    </row>
    <row r="313" spans="1:10" x14ac:dyDescent="0.25">
      <c r="A313" s="14"/>
      <c r="J313" s="4"/>
    </row>
    <row r="314" spans="1:10" x14ac:dyDescent="0.25">
      <c r="A314" s="14"/>
      <c r="J314" s="4"/>
    </row>
    <row r="315" spans="1:10" x14ac:dyDescent="0.25">
      <c r="A315" s="14"/>
      <c r="J315" s="4"/>
    </row>
    <row r="316" spans="1:10" x14ac:dyDescent="0.25">
      <c r="A316" s="14"/>
      <c r="J316" s="4"/>
    </row>
    <row r="317" spans="1:10" x14ac:dyDescent="0.25">
      <c r="A317" s="14"/>
      <c r="J317" s="4"/>
    </row>
    <row r="318" spans="1:10" x14ac:dyDescent="0.25">
      <c r="A318" s="14"/>
      <c r="J318" s="4"/>
    </row>
    <row r="319" spans="1:10" x14ac:dyDescent="0.25">
      <c r="A319" s="14"/>
      <c r="J319" s="4"/>
    </row>
    <row r="320" spans="1:10" x14ac:dyDescent="0.25">
      <c r="A320" s="14"/>
      <c r="J320" s="4"/>
    </row>
    <row r="321" spans="1:10" x14ac:dyDescent="0.25">
      <c r="A321" s="14"/>
      <c r="J321" s="4"/>
    </row>
    <row r="322" spans="1:10" x14ac:dyDescent="0.25">
      <c r="A322" s="14"/>
      <c r="J322" s="4"/>
    </row>
    <row r="323" spans="1:10" x14ac:dyDescent="0.25">
      <c r="A323" s="14"/>
      <c r="J323" s="4"/>
    </row>
    <row r="324" spans="1:10" x14ac:dyDescent="0.25">
      <c r="A324" s="14"/>
      <c r="J324" s="4"/>
    </row>
    <row r="325" spans="1:10" x14ac:dyDescent="0.25">
      <c r="A325" s="14"/>
      <c r="J325" s="4"/>
    </row>
    <row r="326" spans="1:10" x14ac:dyDescent="0.25">
      <c r="A326" s="14"/>
      <c r="J326" s="4"/>
    </row>
    <row r="327" spans="1:10" x14ac:dyDescent="0.25">
      <c r="A327" s="14"/>
      <c r="J327" s="4"/>
    </row>
    <row r="328" spans="1:10" x14ac:dyDescent="0.25">
      <c r="A328" s="14"/>
      <c r="J328" s="4"/>
    </row>
    <row r="329" spans="1:10" x14ac:dyDescent="0.25">
      <c r="A329" s="14"/>
      <c r="J329" s="4"/>
    </row>
    <row r="330" spans="1:10" x14ac:dyDescent="0.25">
      <c r="A330" s="14"/>
      <c r="J330" s="4"/>
    </row>
    <row r="331" spans="1:10" x14ac:dyDescent="0.25">
      <c r="A331" s="14"/>
      <c r="J331" s="4"/>
    </row>
    <row r="332" spans="1:10" x14ac:dyDescent="0.25">
      <c r="A332" s="14"/>
      <c r="J332" s="4"/>
    </row>
    <row r="333" spans="1:10" x14ac:dyDescent="0.25">
      <c r="A333" s="14"/>
      <c r="J333" s="4"/>
    </row>
    <row r="334" spans="1:10" x14ac:dyDescent="0.25">
      <c r="A334" s="14"/>
      <c r="J334" s="4"/>
    </row>
    <row r="335" spans="1:10" x14ac:dyDescent="0.25">
      <c r="A335" s="14"/>
      <c r="J335" s="4"/>
    </row>
    <row r="336" spans="1:10" x14ac:dyDescent="0.25">
      <c r="A336" s="14"/>
      <c r="J336" s="4"/>
    </row>
    <row r="337" spans="1:10" x14ac:dyDescent="0.25">
      <c r="A337" s="14"/>
      <c r="J337" s="4"/>
    </row>
    <row r="338" spans="1:10" x14ac:dyDescent="0.25">
      <c r="A338" s="14"/>
      <c r="J338" s="4"/>
    </row>
    <row r="339" spans="1:10" x14ac:dyDescent="0.25">
      <c r="A339" s="14"/>
      <c r="J339" s="4"/>
    </row>
    <row r="340" spans="1:10" x14ac:dyDescent="0.25">
      <c r="A340" s="14"/>
      <c r="J340" s="4"/>
    </row>
    <row r="341" spans="1:10" x14ac:dyDescent="0.25">
      <c r="A341" s="14"/>
      <c r="J341" s="4"/>
    </row>
    <row r="342" spans="1:10" x14ac:dyDescent="0.25">
      <c r="A342" s="14"/>
      <c r="J342" s="4"/>
    </row>
    <row r="343" spans="1:10" x14ac:dyDescent="0.25">
      <c r="A343" s="14"/>
      <c r="J343" s="4"/>
    </row>
    <row r="344" spans="1:10" x14ac:dyDescent="0.25">
      <c r="A344" s="14"/>
      <c r="J344" s="4"/>
    </row>
    <row r="345" spans="1:10" x14ac:dyDescent="0.25">
      <c r="A345" s="14"/>
      <c r="J345" s="4"/>
    </row>
    <row r="346" spans="1:10" x14ac:dyDescent="0.25">
      <c r="A346" s="14"/>
      <c r="J346" s="4"/>
    </row>
    <row r="347" spans="1:10" x14ac:dyDescent="0.25">
      <c r="A347" s="14"/>
      <c r="J347" s="4"/>
    </row>
    <row r="348" spans="1:10" x14ac:dyDescent="0.25">
      <c r="A348" s="14"/>
      <c r="J348" s="4"/>
    </row>
    <row r="349" spans="1:10" x14ac:dyDescent="0.25">
      <c r="A349" s="14"/>
      <c r="J349" s="4"/>
    </row>
    <row r="350" spans="1:10" x14ac:dyDescent="0.25">
      <c r="A350" s="14"/>
      <c r="J350" s="4"/>
    </row>
    <row r="351" spans="1:10" x14ac:dyDescent="0.25">
      <c r="A351" s="14"/>
      <c r="J351" s="4"/>
    </row>
    <row r="352" spans="1:10" x14ac:dyDescent="0.25">
      <c r="A352" s="14"/>
      <c r="J352" s="4"/>
    </row>
    <row r="353" spans="1:10" x14ac:dyDescent="0.25">
      <c r="A353" s="14"/>
      <c r="J353" s="4"/>
    </row>
    <row r="354" spans="1:10" x14ac:dyDescent="0.25">
      <c r="A354" s="14"/>
      <c r="J354" s="4"/>
    </row>
    <row r="355" spans="1:10" x14ac:dyDescent="0.25">
      <c r="A355" s="14"/>
      <c r="J355" s="4"/>
    </row>
    <row r="356" spans="1:10" x14ac:dyDescent="0.25">
      <c r="A356" s="14"/>
      <c r="J356" s="4"/>
    </row>
    <row r="357" spans="1:10" x14ac:dyDescent="0.25">
      <c r="A357" s="14"/>
      <c r="J357" s="4"/>
    </row>
    <row r="358" spans="1:10" x14ac:dyDescent="0.25">
      <c r="A358" s="14"/>
      <c r="J358" s="4"/>
    </row>
    <row r="359" spans="1:10" x14ac:dyDescent="0.25">
      <c r="A359" s="14"/>
      <c r="J359" s="4"/>
    </row>
    <row r="360" spans="1:10" x14ac:dyDescent="0.25">
      <c r="A360" s="14"/>
      <c r="J360" s="4"/>
    </row>
    <row r="361" spans="1:10" x14ac:dyDescent="0.25">
      <c r="A361" s="14"/>
      <c r="J361" s="4"/>
    </row>
    <row r="362" spans="1:10" x14ac:dyDescent="0.25">
      <c r="A362" s="14"/>
      <c r="J362" s="4"/>
    </row>
    <row r="363" spans="1:10" x14ac:dyDescent="0.25">
      <c r="A363" s="14"/>
      <c r="J363" s="4"/>
    </row>
    <row r="364" spans="1:10" x14ac:dyDescent="0.25">
      <c r="A364" s="14"/>
      <c r="J364" s="4"/>
    </row>
    <row r="365" spans="1:10" x14ac:dyDescent="0.25">
      <c r="A365" s="14"/>
      <c r="J365" s="4"/>
    </row>
    <row r="366" spans="1:10" x14ac:dyDescent="0.25">
      <c r="A366" s="14"/>
      <c r="J366" s="4"/>
    </row>
    <row r="367" spans="1:10" x14ac:dyDescent="0.25">
      <c r="A367" s="14"/>
      <c r="J367" s="4"/>
    </row>
    <row r="368" spans="1:10" x14ac:dyDescent="0.25">
      <c r="A368" s="14"/>
      <c r="J368" s="4"/>
    </row>
    <row r="369" spans="1:10" x14ac:dyDescent="0.25">
      <c r="A369" s="14"/>
      <c r="J369" s="4"/>
    </row>
    <row r="370" spans="1:10" x14ac:dyDescent="0.25">
      <c r="A370" s="14"/>
      <c r="J370" s="4"/>
    </row>
    <row r="371" spans="1:10" x14ac:dyDescent="0.25">
      <c r="A371" s="14"/>
      <c r="J371" s="4"/>
    </row>
    <row r="372" spans="1:10" x14ac:dyDescent="0.25">
      <c r="A372" s="14"/>
      <c r="J372" s="4"/>
    </row>
    <row r="373" spans="1:10" x14ac:dyDescent="0.25">
      <c r="A373" s="14"/>
      <c r="J373" s="4"/>
    </row>
    <row r="374" spans="1:10" x14ac:dyDescent="0.25">
      <c r="A374" s="14"/>
      <c r="J374" s="4"/>
    </row>
    <row r="375" spans="1:10" x14ac:dyDescent="0.25">
      <c r="A375" s="14"/>
      <c r="J375" s="4"/>
    </row>
    <row r="376" spans="1:10" x14ac:dyDescent="0.25">
      <c r="A376" s="14"/>
      <c r="J376" s="4"/>
    </row>
    <row r="377" spans="1:10" x14ac:dyDescent="0.25">
      <c r="A377" s="14"/>
      <c r="J377" s="4"/>
    </row>
    <row r="378" spans="1:10" x14ac:dyDescent="0.25">
      <c r="A378" s="14"/>
      <c r="J378" s="4"/>
    </row>
    <row r="379" spans="1:10" x14ac:dyDescent="0.25">
      <c r="A379" s="14"/>
      <c r="J379" s="4"/>
    </row>
    <row r="380" spans="1:10" x14ac:dyDescent="0.25">
      <c r="A380" s="14"/>
      <c r="J380" s="4"/>
    </row>
    <row r="381" spans="1:10" x14ac:dyDescent="0.25">
      <c r="A381" s="14"/>
      <c r="J381" s="4"/>
    </row>
    <row r="382" spans="1:10" x14ac:dyDescent="0.25">
      <c r="A382" s="14"/>
      <c r="J382" s="4"/>
    </row>
    <row r="383" spans="1:10" x14ac:dyDescent="0.25">
      <c r="A383" s="14"/>
      <c r="J383" s="4"/>
    </row>
    <row r="384" spans="1:10" x14ac:dyDescent="0.25">
      <c r="A384" s="14"/>
      <c r="J384" s="4"/>
    </row>
    <row r="385" spans="1:10" x14ac:dyDescent="0.25">
      <c r="A385" s="14"/>
      <c r="J385" s="4"/>
    </row>
    <row r="386" spans="1:10" x14ac:dyDescent="0.25">
      <c r="A386" s="14"/>
      <c r="J386" s="4"/>
    </row>
    <row r="387" spans="1:10" x14ac:dyDescent="0.25">
      <c r="A387" s="14"/>
      <c r="J387" s="4"/>
    </row>
    <row r="388" spans="1:10" x14ac:dyDescent="0.25">
      <c r="A388" s="14"/>
      <c r="J388" s="4"/>
    </row>
    <row r="389" spans="1:10" x14ac:dyDescent="0.25">
      <c r="A389" s="14"/>
      <c r="J389" s="4"/>
    </row>
    <row r="390" spans="1:10" x14ac:dyDescent="0.25">
      <c r="A390" s="14"/>
      <c r="J390" s="4"/>
    </row>
    <row r="391" spans="1:10" x14ac:dyDescent="0.25">
      <c r="A391" s="14"/>
      <c r="J391" s="4"/>
    </row>
    <row r="392" spans="1:10" x14ac:dyDescent="0.25">
      <c r="A392" s="14"/>
      <c r="J392" s="4"/>
    </row>
    <row r="393" spans="1:10" x14ac:dyDescent="0.25">
      <c r="A393" s="14"/>
      <c r="J393" s="4"/>
    </row>
    <row r="394" spans="1:10" x14ac:dyDescent="0.25">
      <c r="A394" s="14"/>
      <c r="J394" s="4"/>
    </row>
    <row r="395" spans="1:10" x14ac:dyDescent="0.25">
      <c r="A395" s="14"/>
      <c r="J395" s="4"/>
    </row>
    <row r="396" spans="1:10" x14ac:dyDescent="0.25">
      <c r="A396" s="14"/>
      <c r="J396" s="4"/>
    </row>
    <row r="397" spans="1:10" x14ac:dyDescent="0.25">
      <c r="A397" s="14"/>
      <c r="J397" s="4"/>
    </row>
    <row r="398" spans="1:10" x14ac:dyDescent="0.25">
      <c r="A398" s="14"/>
      <c r="J398" s="4"/>
    </row>
    <row r="399" spans="1:10" x14ac:dyDescent="0.25">
      <c r="A399" s="14"/>
      <c r="J399" s="4"/>
    </row>
    <row r="400" spans="1:10" x14ac:dyDescent="0.25">
      <c r="A400" s="14"/>
      <c r="J400" s="4"/>
    </row>
    <row r="401" spans="1:10" x14ac:dyDescent="0.25">
      <c r="A401" s="14"/>
      <c r="J401" s="4"/>
    </row>
    <row r="402" spans="1:10" x14ac:dyDescent="0.25">
      <c r="A402" s="14"/>
      <c r="J402" s="4"/>
    </row>
    <row r="403" spans="1:10" x14ac:dyDescent="0.25">
      <c r="A403" s="14"/>
      <c r="J403" s="4"/>
    </row>
    <row r="404" spans="1:10" x14ac:dyDescent="0.25">
      <c r="A404" s="14"/>
      <c r="J404" s="4"/>
    </row>
    <row r="405" spans="1:10" x14ac:dyDescent="0.25">
      <c r="A405" s="14"/>
      <c r="J405" s="4"/>
    </row>
    <row r="406" spans="1:10" x14ac:dyDescent="0.25">
      <c r="A406" s="14"/>
      <c r="J406" s="4"/>
    </row>
    <row r="407" spans="1:10" x14ac:dyDescent="0.25">
      <c r="A407" s="14"/>
      <c r="J407" s="4"/>
    </row>
    <row r="408" spans="1:10" x14ac:dyDescent="0.25">
      <c r="A408" s="14"/>
      <c r="J408" s="4"/>
    </row>
    <row r="409" spans="1:10" x14ac:dyDescent="0.25">
      <c r="A409" s="14"/>
      <c r="J409" s="4"/>
    </row>
    <row r="410" spans="1:10" x14ac:dyDescent="0.25">
      <c r="A410" s="14"/>
      <c r="J410" s="4"/>
    </row>
    <row r="411" spans="1:10" x14ac:dyDescent="0.25">
      <c r="A411" s="14"/>
      <c r="J411" s="4"/>
    </row>
    <row r="412" spans="1:10" x14ac:dyDescent="0.25">
      <c r="A412" s="14"/>
      <c r="J412" s="4"/>
    </row>
    <row r="413" spans="1:10" x14ac:dyDescent="0.25">
      <c r="A413" s="14"/>
      <c r="J413" s="4"/>
    </row>
    <row r="414" spans="1:10" x14ac:dyDescent="0.25">
      <c r="A414" s="14"/>
      <c r="J414" s="4"/>
    </row>
    <row r="415" spans="1:10" x14ac:dyDescent="0.25">
      <c r="A415" s="14"/>
      <c r="J415" s="4"/>
    </row>
    <row r="416" spans="1:10" x14ac:dyDescent="0.25">
      <c r="A416" s="14"/>
      <c r="J416" s="4"/>
    </row>
    <row r="417" spans="1:10" x14ac:dyDescent="0.25">
      <c r="A417" s="14"/>
      <c r="J417" s="4"/>
    </row>
    <row r="418" spans="1:10" x14ac:dyDescent="0.25">
      <c r="A418" s="14"/>
      <c r="J418" s="4"/>
    </row>
    <row r="419" spans="1:10" x14ac:dyDescent="0.25">
      <c r="A419" s="14"/>
      <c r="J419" s="4"/>
    </row>
    <row r="420" spans="1:10" x14ac:dyDescent="0.25">
      <c r="A420" s="14"/>
      <c r="J420" s="4"/>
    </row>
    <row r="421" spans="1:10" x14ac:dyDescent="0.25">
      <c r="A421" s="14"/>
      <c r="J421" s="4"/>
    </row>
    <row r="422" spans="1:10" x14ac:dyDescent="0.25">
      <c r="A422" s="14"/>
      <c r="J422" s="4"/>
    </row>
    <row r="423" spans="1:10" x14ac:dyDescent="0.25">
      <c r="A423" s="14"/>
      <c r="J423" s="4"/>
    </row>
    <row r="424" spans="1:10" x14ac:dyDescent="0.25">
      <c r="A424" s="14"/>
      <c r="J424" s="4"/>
    </row>
    <row r="425" spans="1:10" x14ac:dyDescent="0.25">
      <c r="A425" s="14"/>
      <c r="J425" s="4"/>
    </row>
    <row r="426" spans="1:10" x14ac:dyDescent="0.25">
      <c r="A426" s="14"/>
      <c r="J426" s="4"/>
    </row>
    <row r="427" spans="1:10" x14ac:dyDescent="0.25">
      <c r="A427" s="14"/>
      <c r="J427" s="4"/>
    </row>
    <row r="428" spans="1:10" x14ac:dyDescent="0.25">
      <c r="A428" s="14"/>
      <c r="J428" s="4"/>
    </row>
    <row r="429" spans="1:10" x14ac:dyDescent="0.25">
      <c r="A429" s="14"/>
      <c r="J429" s="4"/>
    </row>
    <row r="430" spans="1:10" x14ac:dyDescent="0.25">
      <c r="A430" s="14"/>
      <c r="J430" s="4"/>
    </row>
    <row r="431" spans="1:10" x14ac:dyDescent="0.25">
      <c r="A431" s="14"/>
      <c r="J431" s="4"/>
    </row>
    <row r="432" spans="1:10" x14ac:dyDescent="0.25">
      <c r="A432" s="14"/>
      <c r="J432" s="4"/>
    </row>
    <row r="433" spans="1:10" x14ac:dyDescent="0.25">
      <c r="A433" s="14"/>
      <c r="J433" s="4"/>
    </row>
    <row r="434" spans="1:10" x14ac:dyDescent="0.25">
      <c r="A434" s="14"/>
      <c r="J434" s="4"/>
    </row>
    <row r="435" spans="1:10" x14ac:dyDescent="0.25">
      <c r="A435" s="14"/>
      <c r="J435" s="4"/>
    </row>
    <row r="436" spans="1:10" x14ac:dyDescent="0.25">
      <c r="A436" s="14"/>
      <c r="J436" s="4"/>
    </row>
    <row r="437" spans="1:10" x14ac:dyDescent="0.25">
      <c r="A437" s="14"/>
      <c r="J437" s="4"/>
    </row>
    <row r="438" spans="1:10" x14ac:dyDescent="0.25">
      <c r="A438" s="14"/>
      <c r="J438" s="4"/>
    </row>
    <row r="439" spans="1:10" x14ac:dyDescent="0.25">
      <c r="A439" s="14"/>
      <c r="J439" s="4"/>
    </row>
    <row r="440" spans="1:10" x14ac:dyDescent="0.25">
      <c r="A440" s="14"/>
      <c r="J440" s="4"/>
    </row>
    <row r="441" spans="1:10" x14ac:dyDescent="0.25">
      <c r="A441" s="14"/>
      <c r="J441" s="4"/>
    </row>
    <row r="442" spans="1:10" x14ac:dyDescent="0.25">
      <c r="A442" s="14"/>
      <c r="J442" s="4"/>
    </row>
    <row r="443" spans="1:10" x14ac:dyDescent="0.25">
      <c r="A443" s="14"/>
      <c r="J443" s="4"/>
    </row>
    <row r="444" spans="1:10" x14ac:dyDescent="0.25">
      <c r="A444" s="14"/>
      <c r="J444" s="4"/>
    </row>
    <row r="445" spans="1:10" x14ac:dyDescent="0.25">
      <c r="A445" s="14"/>
      <c r="J445" s="4"/>
    </row>
    <row r="446" spans="1:10" x14ac:dyDescent="0.25">
      <c r="A446" s="14"/>
      <c r="J446" s="4"/>
    </row>
    <row r="447" spans="1:10" x14ac:dyDescent="0.25">
      <c r="A447" s="14"/>
      <c r="J447" s="4"/>
    </row>
    <row r="448" spans="1:10" x14ac:dyDescent="0.25">
      <c r="A448" s="14"/>
      <c r="J448" s="4"/>
    </row>
    <row r="449" spans="1:10" x14ac:dyDescent="0.25">
      <c r="A449" s="14"/>
      <c r="J449" s="4"/>
    </row>
    <row r="450" spans="1:10" x14ac:dyDescent="0.25">
      <c r="A450" s="14"/>
      <c r="J450" s="4"/>
    </row>
    <row r="451" spans="1:10" x14ac:dyDescent="0.25">
      <c r="A451" s="14"/>
      <c r="J451" s="4"/>
    </row>
    <row r="452" spans="1:10" x14ac:dyDescent="0.25">
      <c r="A452" s="14"/>
      <c r="J452" s="4"/>
    </row>
    <row r="453" spans="1:10" x14ac:dyDescent="0.25">
      <c r="A453" s="14"/>
      <c r="J453" s="4"/>
    </row>
    <row r="454" spans="1:10" x14ac:dyDescent="0.25">
      <c r="A454" s="14"/>
      <c r="J454" s="4"/>
    </row>
    <row r="455" spans="1:10" x14ac:dyDescent="0.25">
      <c r="A455" s="14"/>
      <c r="J455" s="4"/>
    </row>
    <row r="456" spans="1:10" x14ac:dyDescent="0.25">
      <c r="A456" s="14"/>
      <c r="J456" s="4"/>
    </row>
    <row r="457" spans="1:10" x14ac:dyDescent="0.25">
      <c r="A457" s="14"/>
      <c r="J457" s="4"/>
    </row>
    <row r="458" spans="1:10" x14ac:dyDescent="0.25">
      <c r="A458" s="14"/>
      <c r="J458" s="4"/>
    </row>
    <row r="459" spans="1:10" x14ac:dyDescent="0.25">
      <c r="A459" s="14"/>
      <c r="J459" s="4"/>
    </row>
    <row r="460" spans="1:10" x14ac:dyDescent="0.25">
      <c r="A460" s="14"/>
      <c r="J460" s="4"/>
    </row>
    <row r="461" spans="1:10" x14ac:dyDescent="0.25">
      <c r="A461" s="14"/>
      <c r="J461" s="4"/>
    </row>
    <row r="462" spans="1:10" x14ac:dyDescent="0.25">
      <c r="A462" s="14"/>
      <c r="J462" s="4"/>
    </row>
    <row r="463" spans="1:10" x14ac:dyDescent="0.25">
      <c r="A463" s="14"/>
      <c r="J463" s="4"/>
    </row>
    <row r="464" spans="1:10" x14ac:dyDescent="0.25">
      <c r="A464" s="14"/>
      <c r="J464" s="4"/>
    </row>
    <row r="465" spans="1:10" x14ac:dyDescent="0.25">
      <c r="A465" s="14"/>
      <c r="J465" s="4"/>
    </row>
    <row r="466" spans="1:10" x14ac:dyDescent="0.25">
      <c r="A466" s="14"/>
      <c r="J466" s="4"/>
    </row>
    <row r="467" spans="1:10" x14ac:dyDescent="0.25">
      <c r="A467" s="14"/>
      <c r="J467" s="4"/>
    </row>
    <row r="468" spans="1:10" x14ac:dyDescent="0.25">
      <c r="A468" s="14"/>
      <c r="J468" s="4"/>
    </row>
    <row r="469" spans="1:10" x14ac:dyDescent="0.25">
      <c r="A469" s="14"/>
      <c r="J469" s="4"/>
    </row>
    <row r="470" spans="1:10" x14ac:dyDescent="0.25">
      <c r="A470" s="14"/>
      <c r="J470" s="4"/>
    </row>
    <row r="471" spans="1:10" x14ac:dyDescent="0.25">
      <c r="A471" s="14"/>
      <c r="J471" s="4"/>
    </row>
    <row r="472" spans="1:10" x14ac:dyDescent="0.25">
      <c r="A472" s="14"/>
      <c r="J472" s="4"/>
    </row>
    <row r="473" spans="1:10" x14ac:dyDescent="0.25">
      <c r="A473" s="14"/>
      <c r="J473" s="4"/>
    </row>
    <row r="474" spans="1:10" x14ac:dyDescent="0.25">
      <c r="A474" s="14"/>
      <c r="J474" s="4"/>
    </row>
    <row r="475" spans="1:10" x14ac:dyDescent="0.25">
      <c r="A475" s="14"/>
      <c r="J475" s="4"/>
    </row>
    <row r="476" spans="1:10" x14ac:dyDescent="0.25">
      <c r="A476" s="14"/>
      <c r="J476" s="4"/>
    </row>
    <row r="477" spans="1:10" x14ac:dyDescent="0.25">
      <c r="A477" s="14"/>
      <c r="J477" s="4"/>
    </row>
    <row r="478" spans="1:10" x14ac:dyDescent="0.25">
      <c r="A478" s="14"/>
      <c r="J478" s="4"/>
    </row>
    <row r="479" spans="1:10" x14ac:dyDescent="0.25">
      <c r="A479" s="14"/>
      <c r="J479" s="4"/>
    </row>
    <row r="480" spans="1:10" x14ac:dyDescent="0.25">
      <c r="A480" s="14"/>
      <c r="J480" s="4"/>
    </row>
    <row r="481" spans="1:10" x14ac:dyDescent="0.25">
      <c r="A481" s="14"/>
      <c r="J481" s="4"/>
    </row>
    <row r="482" spans="1:10" x14ac:dyDescent="0.25">
      <c r="A482" s="14"/>
      <c r="J482" s="4"/>
    </row>
    <row r="483" spans="1:10" x14ac:dyDescent="0.25">
      <c r="A483" s="14"/>
      <c r="J483" s="4"/>
    </row>
    <row r="484" spans="1:10" x14ac:dyDescent="0.25">
      <c r="A484" s="14"/>
      <c r="J484" s="4"/>
    </row>
    <row r="485" spans="1:10" x14ac:dyDescent="0.25">
      <c r="A485" s="14"/>
      <c r="J485" s="4"/>
    </row>
    <row r="486" spans="1:10" x14ac:dyDescent="0.25">
      <c r="A486" s="14"/>
      <c r="J486" s="4"/>
    </row>
    <row r="487" spans="1:10" x14ac:dyDescent="0.25">
      <c r="A487" s="14"/>
      <c r="J487" s="4"/>
    </row>
    <row r="488" spans="1:10" x14ac:dyDescent="0.25">
      <c r="A488" s="14"/>
      <c r="J488" s="4"/>
    </row>
    <row r="489" spans="1:10" x14ac:dyDescent="0.25">
      <c r="A489" s="14"/>
      <c r="J489" s="4"/>
    </row>
    <row r="490" spans="1:10" x14ac:dyDescent="0.25">
      <c r="A490" s="14"/>
      <c r="J490" s="4"/>
    </row>
    <row r="491" spans="1:10" x14ac:dyDescent="0.25">
      <c r="A491" s="14"/>
      <c r="J491" s="4"/>
    </row>
    <row r="492" spans="1:10" x14ac:dyDescent="0.25">
      <c r="A492" s="14"/>
      <c r="J492" s="4"/>
    </row>
    <row r="493" spans="1:10" x14ac:dyDescent="0.25">
      <c r="A493" s="14"/>
      <c r="J493" s="4"/>
    </row>
    <row r="494" spans="1:10" x14ac:dyDescent="0.25">
      <c r="A494" s="14"/>
      <c r="J494" s="4"/>
    </row>
    <row r="495" spans="1:10" x14ac:dyDescent="0.25">
      <c r="A495" s="14"/>
      <c r="J495" s="4"/>
    </row>
    <row r="496" spans="1:10" x14ac:dyDescent="0.25">
      <c r="A496" s="14"/>
      <c r="J496" s="4"/>
    </row>
    <row r="497" spans="1:10" x14ac:dyDescent="0.25">
      <c r="A497" s="14"/>
      <c r="J497" s="4"/>
    </row>
    <row r="498" spans="1:10" x14ac:dyDescent="0.25">
      <c r="A498" s="14"/>
      <c r="J498" s="4"/>
    </row>
    <row r="499" spans="1:10" x14ac:dyDescent="0.25">
      <c r="A499" s="14"/>
      <c r="J499" s="4"/>
    </row>
    <row r="500" spans="1:10" x14ac:dyDescent="0.25">
      <c r="A500" s="14"/>
      <c r="J500" s="4"/>
    </row>
    <row r="501" spans="1:10" x14ac:dyDescent="0.25">
      <c r="A501" s="14"/>
      <c r="J501" s="4"/>
    </row>
    <row r="502" spans="1:10" x14ac:dyDescent="0.25">
      <c r="A502" s="14"/>
      <c r="J502" s="4"/>
    </row>
    <row r="503" spans="1:10" x14ac:dyDescent="0.25">
      <c r="A503" s="14"/>
      <c r="J503" s="4"/>
    </row>
    <row r="504" spans="1:10" x14ac:dyDescent="0.25">
      <c r="A504" s="14"/>
      <c r="J504" s="4"/>
    </row>
    <row r="505" spans="1:10" x14ac:dyDescent="0.25">
      <c r="A505" s="14"/>
      <c r="J505" s="4"/>
    </row>
    <row r="506" spans="1:10" x14ac:dyDescent="0.25">
      <c r="A506" s="14"/>
      <c r="J506" s="4"/>
    </row>
    <row r="507" spans="1:10" x14ac:dyDescent="0.25">
      <c r="A507" s="14"/>
      <c r="J507" s="4"/>
    </row>
    <row r="508" spans="1:10" x14ac:dyDescent="0.25">
      <c r="A508" s="14"/>
      <c r="J508" s="4"/>
    </row>
    <row r="509" spans="1:10" x14ac:dyDescent="0.25">
      <c r="A509" s="14"/>
      <c r="J509" s="4"/>
    </row>
    <row r="510" spans="1:10" x14ac:dyDescent="0.25">
      <c r="A510" s="14"/>
      <c r="J510" s="4"/>
    </row>
    <row r="511" spans="1:10" x14ac:dyDescent="0.25">
      <c r="A511" s="14"/>
      <c r="J511" s="4"/>
    </row>
    <row r="512" spans="1:10" x14ac:dyDescent="0.25">
      <c r="A512" s="14"/>
      <c r="J512" s="4"/>
    </row>
    <row r="513" spans="1:10" x14ac:dyDescent="0.25">
      <c r="A513" s="14"/>
      <c r="J513" s="4"/>
    </row>
    <row r="514" spans="1:10" x14ac:dyDescent="0.25">
      <c r="A514" s="14"/>
      <c r="J514" s="4"/>
    </row>
    <row r="515" spans="1:10" x14ac:dyDescent="0.25">
      <c r="A515" s="14"/>
      <c r="J515" s="4"/>
    </row>
    <row r="516" spans="1:10" x14ac:dyDescent="0.25">
      <c r="A516" s="14"/>
      <c r="J516" s="4"/>
    </row>
    <row r="517" spans="1:10" x14ac:dyDescent="0.25">
      <c r="A517" s="14"/>
      <c r="J517" s="4"/>
    </row>
    <row r="518" spans="1:10" x14ac:dyDescent="0.25">
      <c r="A518" s="14"/>
      <c r="J518" s="4"/>
    </row>
    <row r="519" spans="1:10" x14ac:dyDescent="0.25">
      <c r="A519" s="14"/>
      <c r="J519" s="4"/>
    </row>
    <row r="520" spans="1:10" x14ac:dyDescent="0.25">
      <c r="A520" s="14"/>
      <c r="J520" s="4"/>
    </row>
    <row r="521" spans="1:10" x14ac:dyDescent="0.25">
      <c r="A521" s="14"/>
      <c r="J521" s="4"/>
    </row>
    <row r="522" spans="1:10" x14ac:dyDescent="0.25">
      <c r="A522" s="14"/>
      <c r="J522" s="4"/>
    </row>
    <row r="523" spans="1:10" x14ac:dyDescent="0.25">
      <c r="A523" s="14"/>
      <c r="J523" s="4"/>
    </row>
    <row r="524" spans="1:10" x14ac:dyDescent="0.25">
      <c r="A524" s="14"/>
      <c r="J524" s="4"/>
    </row>
    <row r="525" spans="1:10" x14ac:dyDescent="0.25">
      <c r="A525" s="14"/>
      <c r="J525" s="4"/>
    </row>
    <row r="526" spans="1:10" x14ac:dyDescent="0.25">
      <c r="A526" s="14"/>
      <c r="J526" s="4"/>
    </row>
    <row r="527" spans="1:10" x14ac:dyDescent="0.25">
      <c r="A527" s="14"/>
      <c r="J527" s="4"/>
    </row>
    <row r="528" spans="1:10" x14ac:dyDescent="0.25">
      <c r="A528" s="14"/>
      <c r="J528" s="4"/>
    </row>
    <row r="529" spans="1:10" x14ac:dyDescent="0.25">
      <c r="A529" s="14"/>
      <c r="J529" s="4"/>
    </row>
    <row r="530" spans="1:10" x14ac:dyDescent="0.25">
      <c r="A530" s="14"/>
      <c r="J530" s="4"/>
    </row>
    <row r="531" spans="1:10" x14ac:dyDescent="0.25">
      <c r="A531" s="14"/>
      <c r="J531" s="4"/>
    </row>
    <row r="532" spans="1:10" x14ac:dyDescent="0.25">
      <c r="A532" s="14"/>
      <c r="J532" s="4"/>
    </row>
    <row r="533" spans="1:10" x14ac:dyDescent="0.25">
      <c r="A533" s="14"/>
      <c r="J533" s="4"/>
    </row>
    <row r="534" spans="1:10" x14ac:dyDescent="0.25">
      <c r="A534" s="14"/>
      <c r="J534" s="4"/>
    </row>
    <row r="535" spans="1:10" x14ac:dyDescent="0.25">
      <c r="A535" s="14"/>
      <c r="J535" s="4"/>
    </row>
    <row r="536" spans="1:10" x14ac:dyDescent="0.25">
      <c r="A536" s="14"/>
      <c r="J536" s="4"/>
    </row>
    <row r="537" spans="1:10" x14ac:dyDescent="0.25">
      <c r="A537" s="14"/>
      <c r="J537" s="4"/>
    </row>
    <row r="538" spans="1:10" x14ac:dyDescent="0.25">
      <c r="A538" s="14"/>
      <c r="J538" s="4"/>
    </row>
    <row r="539" spans="1:10" x14ac:dyDescent="0.25">
      <c r="A539" s="14"/>
      <c r="J539" s="4"/>
    </row>
    <row r="540" spans="1:10" x14ac:dyDescent="0.25">
      <c r="A540" s="14"/>
      <c r="J540" s="4"/>
    </row>
    <row r="541" spans="1:10" x14ac:dyDescent="0.25">
      <c r="A541" s="14"/>
      <c r="J541" s="4"/>
    </row>
    <row r="542" spans="1:10" x14ac:dyDescent="0.25">
      <c r="A542" s="14"/>
      <c r="J542" s="4"/>
    </row>
    <row r="543" spans="1:10" x14ac:dyDescent="0.25">
      <c r="A543" s="14"/>
      <c r="J543" s="4"/>
    </row>
    <row r="544" spans="1:10" x14ac:dyDescent="0.25">
      <c r="A544" s="14"/>
      <c r="J544" s="4"/>
    </row>
    <row r="545" spans="1:10" x14ac:dyDescent="0.25">
      <c r="A545" s="14"/>
      <c r="J545" s="4"/>
    </row>
    <row r="546" spans="1:10" x14ac:dyDescent="0.25">
      <c r="A546" s="14"/>
      <c r="J546" s="4"/>
    </row>
    <row r="547" spans="1:10" x14ac:dyDescent="0.25">
      <c r="A547" s="14"/>
      <c r="J547" s="4"/>
    </row>
    <row r="548" spans="1:10" x14ac:dyDescent="0.25">
      <c r="A548" s="14"/>
      <c r="J548" s="4"/>
    </row>
    <row r="549" spans="1:10" x14ac:dyDescent="0.25">
      <c r="A549" s="14"/>
      <c r="J549" s="4"/>
    </row>
    <row r="550" spans="1:10" x14ac:dyDescent="0.25">
      <c r="A550" s="14"/>
      <c r="J550" s="4"/>
    </row>
    <row r="551" spans="1:10" x14ac:dyDescent="0.25">
      <c r="A551" s="14"/>
      <c r="J551" s="4"/>
    </row>
    <row r="552" spans="1:10" x14ac:dyDescent="0.25">
      <c r="A552" s="14"/>
      <c r="J552" s="4"/>
    </row>
    <row r="553" spans="1:10" x14ac:dyDescent="0.25">
      <c r="A553" s="14"/>
      <c r="J553" s="4"/>
    </row>
    <row r="554" spans="1:10" x14ac:dyDescent="0.25">
      <c r="A554" s="14"/>
      <c r="J554" s="4"/>
    </row>
    <row r="555" spans="1:10" x14ac:dyDescent="0.25">
      <c r="A555" s="14"/>
      <c r="J555" s="4"/>
    </row>
    <row r="556" spans="1:10" x14ac:dyDescent="0.25">
      <c r="A556" s="14"/>
      <c r="J556" s="4"/>
    </row>
    <row r="557" spans="1:10" x14ac:dyDescent="0.25">
      <c r="A557" s="14"/>
      <c r="J557" s="4"/>
    </row>
    <row r="558" spans="1:10" x14ac:dyDescent="0.25">
      <c r="A558" s="14"/>
      <c r="J558" s="4"/>
    </row>
    <row r="559" spans="1:10" x14ac:dyDescent="0.25">
      <c r="A559" s="14"/>
      <c r="J559" s="4"/>
    </row>
    <row r="560" spans="1:10" x14ac:dyDescent="0.25">
      <c r="A560" s="14"/>
      <c r="J560" s="4"/>
    </row>
    <row r="561" spans="1:10" x14ac:dyDescent="0.25">
      <c r="A561" s="14"/>
      <c r="J561" s="4"/>
    </row>
    <row r="562" spans="1:10" x14ac:dyDescent="0.25">
      <c r="A562" s="14"/>
      <c r="J562" s="4"/>
    </row>
    <row r="563" spans="1:10" x14ac:dyDescent="0.25">
      <c r="A563" s="14"/>
      <c r="J563" s="4"/>
    </row>
    <row r="564" spans="1:10" x14ac:dyDescent="0.25">
      <c r="A564" s="14"/>
      <c r="J564" s="4"/>
    </row>
    <row r="565" spans="1:10" x14ac:dyDescent="0.25">
      <c r="A565" s="14"/>
      <c r="J565" s="4"/>
    </row>
    <row r="566" spans="1:10" x14ac:dyDescent="0.25">
      <c r="A566" s="14"/>
      <c r="J566" s="4"/>
    </row>
    <row r="567" spans="1:10" x14ac:dyDescent="0.25">
      <c r="A567" s="14"/>
      <c r="J567" s="4"/>
    </row>
    <row r="568" spans="1:10" x14ac:dyDescent="0.25">
      <c r="A568" s="14"/>
      <c r="J568" s="4"/>
    </row>
    <row r="569" spans="1:10" x14ac:dyDescent="0.25">
      <c r="A569" s="14"/>
      <c r="J569" s="4"/>
    </row>
    <row r="570" spans="1:10" x14ac:dyDescent="0.25">
      <c r="A570" s="14"/>
      <c r="J570" s="4"/>
    </row>
    <row r="571" spans="1:10" x14ac:dyDescent="0.25">
      <c r="A571" s="14"/>
      <c r="J571" s="4"/>
    </row>
    <row r="572" spans="1:10" x14ac:dyDescent="0.25">
      <c r="A572" s="14"/>
      <c r="J572" s="4"/>
    </row>
    <row r="573" spans="1:10" x14ac:dyDescent="0.25">
      <c r="A573" s="14"/>
      <c r="J573" s="4"/>
    </row>
    <row r="574" spans="1:10" x14ac:dyDescent="0.25">
      <c r="A574" s="14"/>
      <c r="J574" s="4"/>
    </row>
    <row r="575" spans="1:10" x14ac:dyDescent="0.25">
      <c r="A575" s="14"/>
      <c r="J575" s="4"/>
    </row>
    <row r="576" spans="1:10" x14ac:dyDescent="0.25">
      <c r="A576" s="14"/>
      <c r="J576" s="4"/>
    </row>
    <row r="577" spans="1:10" x14ac:dyDescent="0.25">
      <c r="A577" s="14"/>
      <c r="J577" s="4"/>
    </row>
    <row r="578" spans="1:10" x14ac:dyDescent="0.25">
      <c r="A578" s="14"/>
      <c r="J578" s="4"/>
    </row>
    <row r="579" spans="1:10" x14ac:dyDescent="0.25">
      <c r="A579" s="14"/>
      <c r="J579" s="4"/>
    </row>
    <row r="580" spans="1:10" x14ac:dyDescent="0.25">
      <c r="A580" s="14"/>
      <c r="J580" s="4"/>
    </row>
    <row r="581" spans="1:10" x14ac:dyDescent="0.25">
      <c r="A581" s="14"/>
      <c r="J581" s="4"/>
    </row>
    <row r="582" spans="1:10" x14ac:dyDescent="0.25">
      <c r="A582" s="14"/>
      <c r="J582" s="4"/>
    </row>
    <row r="583" spans="1:10" x14ac:dyDescent="0.25">
      <c r="A583" s="14"/>
      <c r="J583" s="4"/>
    </row>
    <row r="584" spans="1:10" x14ac:dyDescent="0.25">
      <c r="A584" s="14"/>
      <c r="J584" s="4"/>
    </row>
    <row r="585" spans="1:10" x14ac:dyDescent="0.25">
      <c r="A585" s="14"/>
      <c r="J585" s="4"/>
    </row>
    <row r="586" spans="1:10" x14ac:dyDescent="0.25">
      <c r="A586" s="14"/>
      <c r="J586" s="4"/>
    </row>
    <row r="587" spans="1:10" x14ac:dyDescent="0.25">
      <c r="A587" s="14"/>
      <c r="J587" s="4"/>
    </row>
    <row r="588" spans="1:10" x14ac:dyDescent="0.25">
      <c r="A588" s="14"/>
      <c r="J588" s="4"/>
    </row>
    <row r="589" spans="1:10" x14ac:dyDescent="0.25">
      <c r="A589" s="14"/>
      <c r="J589" s="4"/>
    </row>
    <row r="590" spans="1:10" x14ac:dyDescent="0.25">
      <c r="A590" s="14"/>
      <c r="J590" s="4"/>
    </row>
    <row r="591" spans="1:10" x14ac:dyDescent="0.25">
      <c r="A591" s="14"/>
      <c r="J591" s="4"/>
    </row>
    <row r="592" spans="1:10" x14ac:dyDescent="0.25">
      <c r="A592" s="14"/>
      <c r="J592" s="4"/>
    </row>
    <row r="593" spans="1:10" x14ac:dyDescent="0.25">
      <c r="A593" s="14"/>
      <c r="J593" s="4"/>
    </row>
    <row r="594" spans="1:10" x14ac:dyDescent="0.25">
      <c r="A594" s="14"/>
      <c r="J594" s="4"/>
    </row>
    <row r="595" spans="1:10" x14ac:dyDescent="0.25">
      <c r="A595" s="14"/>
      <c r="J595" s="4"/>
    </row>
    <row r="596" spans="1:10" x14ac:dyDescent="0.25">
      <c r="A596" s="14"/>
      <c r="J596" s="4"/>
    </row>
    <row r="597" spans="1:10" x14ac:dyDescent="0.25">
      <c r="A597" s="14"/>
      <c r="J597" s="4"/>
    </row>
    <row r="598" spans="1:10" x14ac:dyDescent="0.25">
      <c r="A598" s="14"/>
      <c r="J598" s="4"/>
    </row>
    <row r="599" spans="1:10" x14ac:dyDescent="0.25">
      <c r="A599" s="14"/>
      <c r="J599" s="4"/>
    </row>
    <row r="600" spans="1:10" x14ac:dyDescent="0.25">
      <c r="A600" s="14"/>
      <c r="J600" s="4"/>
    </row>
    <row r="601" spans="1:10" x14ac:dyDescent="0.25">
      <c r="A601" s="14"/>
      <c r="J601" s="4"/>
    </row>
    <row r="602" spans="1:10" x14ac:dyDescent="0.25">
      <c r="A602" s="14"/>
      <c r="J602" s="4"/>
    </row>
    <row r="603" spans="1:10" x14ac:dyDescent="0.25">
      <c r="A603" s="14"/>
      <c r="J603" s="4"/>
    </row>
    <row r="604" spans="1:10" x14ac:dyDescent="0.25">
      <c r="A604" s="14"/>
      <c r="J604" s="4"/>
    </row>
    <row r="605" spans="1:10" x14ac:dyDescent="0.25">
      <c r="A605" s="14"/>
      <c r="J605" s="4"/>
    </row>
    <row r="606" spans="1:10" x14ac:dyDescent="0.25">
      <c r="A606" s="14"/>
      <c r="J606" s="4"/>
    </row>
    <row r="607" spans="1:10" x14ac:dyDescent="0.25">
      <c r="A607" s="14"/>
      <c r="J607" s="4"/>
    </row>
    <row r="608" spans="1:10" x14ac:dyDescent="0.25">
      <c r="A608" s="14"/>
      <c r="J608" s="4"/>
    </row>
    <row r="609" spans="1:10" x14ac:dyDescent="0.25">
      <c r="A609" s="14"/>
      <c r="J609" s="4"/>
    </row>
    <row r="610" spans="1:10" x14ac:dyDescent="0.25">
      <c r="A610" s="14"/>
      <c r="J610" s="4"/>
    </row>
    <row r="611" spans="1:10" x14ac:dyDescent="0.25">
      <c r="A611" s="14"/>
      <c r="J611" s="4"/>
    </row>
    <row r="612" spans="1:10" x14ac:dyDescent="0.25">
      <c r="A612" s="14"/>
      <c r="J612" s="4"/>
    </row>
    <row r="613" spans="1:10" x14ac:dyDescent="0.25">
      <c r="A613" s="14"/>
      <c r="J613" s="4"/>
    </row>
    <row r="614" spans="1:10" x14ac:dyDescent="0.25">
      <c r="A614" s="14"/>
      <c r="J614" s="4"/>
    </row>
    <row r="615" spans="1:10" x14ac:dyDescent="0.25">
      <c r="A615" s="14"/>
      <c r="J615" s="4"/>
    </row>
    <row r="616" spans="1:10" x14ac:dyDescent="0.25">
      <c r="A616" s="14"/>
      <c r="J616" s="4"/>
    </row>
    <row r="617" spans="1:10" x14ac:dyDescent="0.25">
      <c r="A617" s="14"/>
      <c r="J617" s="4"/>
    </row>
    <row r="618" spans="1:10" x14ac:dyDescent="0.25">
      <c r="A618" s="14"/>
      <c r="J618" s="4"/>
    </row>
    <row r="619" spans="1:10" x14ac:dyDescent="0.25">
      <c r="A619" s="14"/>
      <c r="J619" s="4"/>
    </row>
    <row r="620" spans="1:10" x14ac:dyDescent="0.25">
      <c r="A620" s="14"/>
      <c r="J620" s="4"/>
    </row>
    <row r="621" spans="1:10" x14ac:dyDescent="0.25">
      <c r="A621" s="14"/>
      <c r="J621" s="4"/>
    </row>
    <row r="622" spans="1:10" x14ac:dyDescent="0.25">
      <c r="A622" s="14"/>
      <c r="J622" s="4"/>
    </row>
    <row r="623" spans="1:10" x14ac:dyDescent="0.25">
      <c r="A623" s="14"/>
      <c r="J623" s="4"/>
    </row>
    <row r="624" spans="1:10" x14ac:dyDescent="0.25">
      <c r="A624" s="14"/>
      <c r="J624" s="4"/>
    </row>
    <row r="625" spans="1:10" x14ac:dyDescent="0.25">
      <c r="A625" s="14"/>
      <c r="J625" s="4"/>
    </row>
    <row r="626" spans="1:10" x14ac:dyDescent="0.25">
      <c r="A626" s="14"/>
      <c r="J626" s="4"/>
    </row>
    <row r="627" spans="1:10" x14ac:dyDescent="0.25">
      <c r="A627" s="14"/>
      <c r="J627" s="4"/>
    </row>
    <row r="628" spans="1:10" x14ac:dyDescent="0.25">
      <c r="A628" s="14"/>
      <c r="J628" s="4"/>
    </row>
    <row r="629" spans="1:10" x14ac:dyDescent="0.25">
      <c r="A629" s="14"/>
      <c r="J629" s="4"/>
    </row>
    <row r="630" spans="1:10" x14ac:dyDescent="0.25">
      <c r="A630" s="14"/>
      <c r="J630" s="4"/>
    </row>
    <row r="631" spans="1:10" x14ac:dyDescent="0.25">
      <c r="A631" s="14"/>
      <c r="J631" s="4"/>
    </row>
    <row r="632" spans="1:10" x14ac:dyDescent="0.25">
      <c r="A632" s="14"/>
      <c r="J632" s="4"/>
    </row>
    <row r="633" spans="1:10" x14ac:dyDescent="0.25">
      <c r="A633" s="14"/>
      <c r="J633" s="4"/>
    </row>
    <row r="634" spans="1:10" x14ac:dyDescent="0.25">
      <c r="A634" s="14"/>
      <c r="J634" s="4"/>
    </row>
    <row r="635" spans="1:10" x14ac:dyDescent="0.25">
      <c r="A635" s="14"/>
      <c r="J635" s="4"/>
    </row>
    <row r="636" spans="1:10" x14ac:dyDescent="0.25">
      <c r="A636" s="14"/>
      <c r="J636" s="4"/>
    </row>
    <row r="637" spans="1:10" x14ac:dyDescent="0.25">
      <c r="A637" s="14"/>
      <c r="J637" s="4"/>
    </row>
    <row r="638" spans="1:10" x14ac:dyDescent="0.25">
      <c r="A638" s="14"/>
      <c r="J638" s="4"/>
    </row>
    <row r="639" spans="1:10" x14ac:dyDescent="0.25">
      <c r="A639" s="14"/>
      <c r="J639" s="4"/>
    </row>
    <row r="640" spans="1:10" x14ac:dyDescent="0.25">
      <c r="A640" s="14"/>
      <c r="J640" s="4"/>
    </row>
    <row r="641" spans="1:10" x14ac:dyDescent="0.25">
      <c r="A641" s="14"/>
      <c r="J641" s="4"/>
    </row>
    <row r="642" spans="1:10" x14ac:dyDescent="0.25">
      <c r="A642" s="14"/>
      <c r="J642" s="4"/>
    </row>
    <row r="643" spans="1:10" x14ac:dyDescent="0.25">
      <c r="A643" s="14"/>
      <c r="J643" s="4"/>
    </row>
    <row r="644" spans="1:10" x14ac:dyDescent="0.25">
      <c r="A644" s="14"/>
      <c r="J644" s="4"/>
    </row>
    <row r="645" spans="1:10" x14ac:dyDescent="0.25">
      <c r="A645" s="14"/>
      <c r="J645" s="4"/>
    </row>
    <row r="646" spans="1:10" x14ac:dyDescent="0.25">
      <c r="A646" s="14"/>
      <c r="J646" s="4"/>
    </row>
    <row r="647" spans="1:10" x14ac:dyDescent="0.25">
      <c r="A647" s="14"/>
      <c r="J647" s="4"/>
    </row>
    <row r="648" spans="1:10" x14ac:dyDescent="0.25">
      <c r="A648" s="14"/>
      <c r="J648" s="4"/>
    </row>
    <row r="649" spans="1:10" x14ac:dyDescent="0.25">
      <c r="A649" s="14"/>
      <c r="J649" s="4"/>
    </row>
    <row r="650" spans="1:10" x14ac:dyDescent="0.25">
      <c r="A650" s="14"/>
      <c r="J650" s="4"/>
    </row>
    <row r="651" spans="1:10" x14ac:dyDescent="0.25">
      <c r="A651" s="14"/>
      <c r="J651" s="4"/>
    </row>
    <row r="652" spans="1:10" x14ac:dyDescent="0.25">
      <c r="A652" s="14"/>
      <c r="J652" s="4"/>
    </row>
    <row r="653" spans="1:10" x14ac:dyDescent="0.25">
      <c r="A653" s="14"/>
      <c r="J653" s="4"/>
    </row>
    <row r="654" spans="1:10" x14ac:dyDescent="0.25">
      <c r="A654" s="14"/>
      <c r="J654" s="4"/>
    </row>
    <row r="655" spans="1:10" x14ac:dyDescent="0.25">
      <c r="A655" s="14"/>
      <c r="J655" s="4"/>
    </row>
    <row r="656" spans="1:10" x14ac:dyDescent="0.25">
      <c r="A656" s="14"/>
      <c r="J656" s="4"/>
    </row>
    <row r="657" spans="1:10" x14ac:dyDescent="0.25">
      <c r="A657" s="14"/>
      <c r="J657" s="4"/>
    </row>
    <row r="658" spans="1:10" x14ac:dyDescent="0.25">
      <c r="A658" s="14"/>
      <c r="J658" s="4"/>
    </row>
    <row r="659" spans="1:10" x14ac:dyDescent="0.25">
      <c r="A659" s="14"/>
      <c r="J659" s="4"/>
    </row>
    <row r="660" spans="1:10" x14ac:dyDescent="0.25">
      <c r="A660" s="14"/>
      <c r="J660" s="4"/>
    </row>
    <row r="661" spans="1:10" x14ac:dyDescent="0.25">
      <c r="A661" s="14"/>
      <c r="J661" s="4"/>
    </row>
    <row r="662" spans="1:10" x14ac:dyDescent="0.25">
      <c r="A662" s="14"/>
      <c r="J662" s="4"/>
    </row>
    <row r="663" spans="1:10" x14ac:dyDescent="0.25">
      <c r="A663" s="14"/>
      <c r="J663" s="4"/>
    </row>
    <row r="664" spans="1:10" x14ac:dyDescent="0.25">
      <c r="A664" s="14"/>
      <c r="J664" s="4"/>
    </row>
    <row r="665" spans="1:10" x14ac:dyDescent="0.25">
      <c r="A665" s="14"/>
      <c r="J665" s="4"/>
    </row>
    <row r="666" spans="1:10" x14ac:dyDescent="0.25">
      <c r="A666" s="14"/>
      <c r="J666" s="4"/>
    </row>
    <row r="667" spans="1:10" x14ac:dyDescent="0.25">
      <c r="A667" s="14"/>
      <c r="J667" s="4"/>
    </row>
    <row r="668" spans="1:10" x14ac:dyDescent="0.25">
      <c r="A668" s="14"/>
      <c r="J668" s="4"/>
    </row>
    <row r="669" spans="1:10" x14ac:dyDescent="0.25">
      <c r="A669" s="14"/>
      <c r="J669" s="4"/>
    </row>
    <row r="670" spans="1:10" x14ac:dyDescent="0.25">
      <c r="A670" s="14"/>
      <c r="J670" s="4"/>
    </row>
    <row r="671" spans="1:10" x14ac:dyDescent="0.25">
      <c r="A671" s="14"/>
      <c r="J671" s="4"/>
    </row>
    <row r="672" spans="1:10" x14ac:dyDescent="0.25">
      <c r="A672" s="14"/>
      <c r="J672" s="4"/>
    </row>
    <row r="673" spans="1:10" x14ac:dyDescent="0.25">
      <c r="A673" s="14"/>
      <c r="J673" s="4"/>
    </row>
    <row r="674" spans="1:10" x14ac:dyDescent="0.25">
      <c r="A674" s="14"/>
      <c r="J674" s="4"/>
    </row>
    <row r="675" spans="1:10" x14ac:dyDescent="0.25">
      <c r="A675" s="14"/>
      <c r="J675" s="4"/>
    </row>
    <row r="676" spans="1:10" x14ac:dyDescent="0.25">
      <c r="A676" s="14"/>
      <c r="J676" s="4"/>
    </row>
    <row r="677" spans="1:10" x14ac:dyDescent="0.25">
      <c r="A677" s="14"/>
      <c r="J677" s="4"/>
    </row>
    <row r="678" spans="1:10" x14ac:dyDescent="0.25">
      <c r="A678" s="14"/>
      <c r="J678" s="4"/>
    </row>
    <row r="679" spans="1:10" x14ac:dyDescent="0.25">
      <c r="A679" s="14"/>
      <c r="J679" s="4"/>
    </row>
    <row r="680" spans="1:10" x14ac:dyDescent="0.25">
      <c r="A680" s="14"/>
      <c r="J680" s="4"/>
    </row>
    <row r="681" spans="1:10" x14ac:dyDescent="0.25">
      <c r="A681" s="14"/>
      <c r="J681" s="4"/>
    </row>
    <row r="682" spans="1:10" x14ac:dyDescent="0.25">
      <c r="A682" s="14"/>
      <c r="J682" s="4"/>
    </row>
    <row r="683" spans="1:10" x14ac:dyDescent="0.25">
      <c r="A683" s="14"/>
      <c r="J683" s="4"/>
    </row>
    <row r="684" spans="1:10" x14ac:dyDescent="0.25">
      <c r="A684" s="14"/>
      <c r="J684" s="4"/>
    </row>
    <row r="685" spans="1:10" x14ac:dyDescent="0.25">
      <c r="A685" s="14"/>
      <c r="J685" s="4"/>
    </row>
    <row r="686" spans="1:10" x14ac:dyDescent="0.25">
      <c r="A686" s="14"/>
      <c r="J686" s="4"/>
    </row>
    <row r="687" spans="1:10" x14ac:dyDescent="0.25">
      <c r="A687" s="14"/>
      <c r="J687" s="4"/>
    </row>
    <row r="688" spans="1:10" x14ac:dyDescent="0.25">
      <c r="A688" s="14"/>
      <c r="J688" s="4"/>
    </row>
    <row r="689" spans="1:10" x14ac:dyDescent="0.25">
      <c r="A689" s="14"/>
      <c r="J689" s="4"/>
    </row>
    <row r="690" spans="1:10" x14ac:dyDescent="0.25">
      <c r="A690" s="14"/>
      <c r="J690" s="4"/>
    </row>
    <row r="691" spans="1:10" x14ac:dyDescent="0.25">
      <c r="A691" s="14"/>
      <c r="J691" s="4"/>
    </row>
    <row r="692" spans="1:10" x14ac:dyDescent="0.25">
      <c r="A692" s="14"/>
      <c r="J692" s="4"/>
    </row>
    <row r="693" spans="1:10" x14ac:dyDescent="0.25">
      <c r="A693" s="14"/>
      <c r="J693" s="4"/>
    </row>
    <row r="694" spans="1:10" x14ac:dyDescent="0.25">
      <c r="A694" s="14"/>
      <c r="J694" s="4"/>
    </row>
    <row r="695" spans="1:10" x14ac:dyDescent="0.25">
      <c r="A695" s="14"/>
      <c r="J695" s="4"/>
    </row>
    <row r="696" spans="1:10" x14ac:dyDescent="0.25">
      <c r="A696" s="14"/>
      <c r="J696" s="4"/>
    </row>
    <row r="697" spans="1:10" x14ac:dyDescent="0.25">
      <c r="A697" s="14"/>
      <c r="J697" s="4"/>
    </row>
    <row r="698" spans="1:10" x14ac:dyDescent="0.25">
      <c r="A698" s="14"/>
      <c r="J698" s="4"/>
    </row>
    <row r="699" spans="1:10" x14ac:dyDescent="0.25">
      <c r="A699" s="14"/>
      <c r="J699" s="4"/>
    </row>
    <row r="700" spans="1:10" x14ac:dyDescent="0.25">
      <c r="A700" s="14"/>
      <c r="J700" s="4"/>
    </row>
    <row r="701" spans="1:10" x14ac:dyDescent="0.25">
      <c r="A701" s="14"/>
      <c r="J701" s="4"/>
    </row>
    <row r="702" spans="1:10" x14ac:dyDescent="0.25">
      <c r="A702" s="14"/>
      <c r="J702" s="4"/>
    </row>
    <row r="703" spans="1:10" x14ac:dyDescent="0.25">
      <c r="A703" s="14"/>
      <c r="J703" s="4"/>
    </row>
    <row r="704" spans="1:10" x14ac:dyDescent="0.25">
      <c r="A704" s="14"/>
      <c r="J704" s="4"/>
    </row>
    <row r="705" spans="1:10" x14ac:dyDescent="0.25">
      <c r="A705" s="14"/>
      <c r="J705" s="4"/>
    </row>
    <row r="706" spans="1:10" x14ac:dyDescent="0.25">
      <c r="A706" s="14"/>
      <c r="J706" s="4"/>
    </row>
    <row r="707" spans="1:10" x14ac:dyDescent="0.25">
      <c r="A707" s="14"/>
      <c r="J707" s="4"/>
    </row>
    <row r="708" spans="1:10" x14ac:dyDescent="0.25">
      <c r="A708" s="14"/>
      <c r="J708" s="4"/>
    </row>
    <row r="709" spans="1:10" x14ac:dyDescent="0.25">
      <c r="A709" s="14"/>
      <c r="J709" s="4"/>
    </row>
    <row r="710" spans="1:10" x14ac:dyDescent="0.25">
      <c r="A710" s="14"/>
      <c r="J710" s="4"/>
    </row>
    <row r="711" spans="1:10" x14ac:dyDescent="0.25">
      <c r="A711" s="14"/>
      <c r="J711" s="4"/>
    </row>
    <row r="712" spans="1:10" x14ac:dyDescent="0.25">
      <c r="A712" s="14"/>
      <c r="J712" s="4"/>
    </row>
    <row r="713" spans="1:10" x14ac:dyDescent="0.25">
      <c r="A713" s="14"/>
      <c r="J713" s="4"/>
    </row>
    <row r="714" spans="1:10" x14ac:dyDescent="0.25">
      <c r="A714" s="14"/>
      <c r="J714" s="4"/>
    </row>
    <row r="715" spans="1:10" x14ac:dyDescent="0.25">
      <c r="A715" s="14"/>
      <c r="J715" s="4"/>
    </row>
    <row r="716" spans="1:10" x14ac:dyDescent="0.25">
      <c r="A716" s="14"/>
      <c r="J716" s="4"/>
    </row>
    <row r="717" spans="1:10" x14ac:dyDescent="0.25">
      <c r="A717" s="14"/>
      <c r="J717" s="4"/>
    </row>
    <row r="718" spans="1:10" x14ac:dyDescent="0.25">
      <c r="A718" s="14"/>
      <c r="J718" s="4"/>
    </row>
    <row r="719" spans="1:10" x14ac:dyDescent="0.25">
      <c r="A719" s="14"/>
      <c r="J719" s="4"/>
    </row>
    <row r="720" spans="1:10" x14ac:dyDescent="0.25">
      <c r="A720" s="14"/>
      <c r="J720" s="4"/>
    </row>
    <row r="721" spans="1:10" x14ac:dyDescent="0.25">
      <c r="A721" s="14"/>
      <c r="J721" s="4"/>
    </row>
    <row r="722" spans="1:10" x14ac:dyDescent="0.25">
      <c r="A722" s="14"/>
      <c r="J722" s="4"/>
    </row>
    <row r="723" spans="1:10" x14ac:dyDescent="0.25">
      <c r="A723" s="14"/>
      <c r="J723" s="4"/>
    </row>
    <row r="724" spans="1:10" x14ac:dyDescent="0.25">
      <c r="A724" s="14"/>
      <c r="J724" s="4"/>
    </row>
    <row r="725" spans="1:10" x14ac:dyDescent="0.25">
      <c r="A725" s="14"/>
      <c r="J725" s="4"/>
    </row>
    <row r="726" spans="1:10" x14ac:dyDescent="0.25">
      <c r="A726" s="14"/>
      <c r="J726" s="4"/>
    </row>
    <row r="727" spans="1:10" x14ac:dyDescent="0.25">
      <c r="A727" s="14"/>
      <c r="J727" s="4"/>
    </row>
    <row r="728" spans="1:10" x14ac:dyDescent="0.25">
      <c r="A728" s="14"/>
      <c r="J728" s="4"/>
    </row>
    <row r="729" spans="1:10" x14ac:dyDescent="0.25">
      <c r="A729" s="14"/>
      <c r="J729" s="4"/>
    </row>
    <row r="730" spans="1:10" x14ac:dyDescent="0.25">
      <c r="A730" s="14"/>
      <c r="J730" s="4"/>
    </row>
    <row r="731" spans="1:10" x14ac:dyDescent="0.25">
      <c r="A731" s="14"/>
      <c r="J731" s="4"/>
    </row>
    <row r="732" spans="1:10" x14ac:dyDescent="0.25">
      <c r="A732" s="14"/>
      <c r="J732" s="4"/>
    </row>
    <row r="733" spans="1:10" x14ac:dyDescent="0.25">
      <c r="A733" s="14"/>
      <c r="J733" s="4"/>
    </row>
    <row r="734" spans="1:10" x14ac:dyDescent="0.25">
      <c r="A734" s="14"/>
      <c r="J734" s="4"/>
    </row>
    <row r="735" spans="1:10" x14ac:dyDescent="0.25">
      <c r="A735" s="14"/>
      <c r="J735" s="4"/>
    </row>
    <row r="736" spans="1:10" x14ac:dyDescent="0.25">
      <c r="A736" s="14"/>
      <c r="J736" s="4"/>
    </row>
    <row r="737" spans="1:10" x14ac:dyDescent="0.25">
      <c r="A737" s="14"/>
      <c r="J737" s="4"/>
    </row>
    <row r="738" spans="1:10" x14ac:dyDescent="0.25">
      <c r="A738" s="14"/>
      <c r="J738" s="4"/>
    </row>
    <row r="739" spans="1:10" x14ac:dyDescent="0.25">
      <c r="A739" s="14"/>
      <c r="J739" s="4"/>
    </row>
    <row r="740" spans="1:10" x14ac:dyDescent="0.25">
      <c r="A740" s="14"/>
      <c r="J740" s="4"/>
    </row>
    <row r="741" spans="1:10" x14ac:dyDescent="0.25">
      <c r="A741" s="14"/>
      <c r="J741" s="4"/>
    </row>
    <row r="742" spans="1:10" x14ac:dyDescent="0.25">
      <c r="A742" s="14"/>
      <c r="J742" s="4"/>
    </row>
    <row r="743" spans="1:10" x14ac:dyDescent="0.25">
      <c r="A743" s="14"/>
      <c r="J743" s="4"/>
    </row>
    <row r="744" spans="1:10" x14ac:dyDescent="0.25">
      <c r="A744" s="14"/>
      <c r="J744" s="4"/>
    </row>
    <row r="745" spans="1:10" x14ac:dyDescent="0.25">
      <c r="A745" s="14"/>
      <c r="J745" s="4"/>
    </row>
    <row r="746" spans="1:10" x14ac:dyDescent="0.25">
      <c r="A746" s="14"/>
      <c r="J746" s="4"/>
    </row>
    <row r="747" spans="1:10" x14ac:dyDescent="0.25">
      <c r="A747" s="14"/>
      <c r="J747" s="4"/>
    </row>
    <row r="748" spans="1:10" x14ac:dyDescent="0.25">
      <c r="A748" s="14"/>
      <c r="J748" s="4"/>
    </row>
    <row r="749" spans="1:10" x14ac:dyDescent="0.25">
      <c r="A749" s="14"/>
      <c r="J749" s="4"/>
    </row>
    <row r="750" spans="1:10" x14ac:dyDescent="0.25">
      <c r="A750" s="14"/>
      <c r="J750" s="4"/>
    </row>
    <row r="751" spans="1:10" x14ac:dyDescent="0.25">
      <c r="A751" s="14"/>
      <c r="J751" s="4"/>
    </row>
    <row r="752" spans="1:10" x14ac:dyDescent="0.25">
      <c r="A752" s="14"/>
      <c r="J752" s="4"/>
    </row>
    <row r="753" spans="1:10" x14ac:dyDescent="0.25">
      <c r="A753" s="14"/>
      <c r="J753" s="4"/>
    </row>
    <row r="754" spans="1:10" x14ac:dyDescent="0.25">
      <c r="A754" s="14"/>
      <c r="J754" s="4"/>
    </row>
    <row r="755" spans="1:10" x14ac:dyDescent="0.25">
      <c r="A755" s="14"/>
      <c r="J755" s="4"/>
    </row>
    <row r="756" spans="1:10" x14ac:dyDescent="0.25">
      <c r="A756" s="14"/>
      <c r="J756" s="4"/>
    </row>
    <row r="757" spans="1:10" x14ac:dyDescent="0.25">
      <c r="A757" s="14"/>
      <c r="J757" s="4"/>
    </row>
    <row r="758" spans="1:10" x14ac:dyDescent="0.25">
      <c r="A758" s="14"/>
      <c r="J758" s="4"/>
    </row>
    <row r="759" spans="1:10" x14ac:dyDescent="0.25">
      <c r="A759" s="14"/>
      <c r="J759" s="4"/>
    </row>
    <row r="760" spans="1:10" x14ac:dyDescent="0.25">
      <c r="A760" s="14"/>
      <c r="J760" s="4"/>
    </row>
    <row r="761" spans="1:10" x14ac:dyDescent="0.25">
      <c r="A761" s="14"/>
      <c r="J761" s="4"/>
    </row>
    <row r="762" spans="1:10" x14ac:dyDescent="0.25">
      <c r="A762" s="14"/>
      <c r="J762" s="4"/>
    </row>
    <row r="763" spans="1:10" x14ac:dyDescent="0.25">
      <c r="A763" s="14"/>
      <c r="J763" s="4"/>
    </row>
    <row r="764" spans="1:10" x14ac:dyDescent="0.25">
      <c r="A764" s="14"/>
      <c r="J764" s="4"/>
    </row>
    <row r="765" spans="1:10" x14ac:dyDescent="0.25">
      <c r="A765" s="14"/>
      <c r="J765" s="4"/>
    </row>
    <row r="766" spans="1:10" x14ac:dyDescent="0.25">
      <c r="A766" s="14"/>
      <c r="J766" s="4"/>
    </row>
    <row r="767" spans="1:10" x14ac:dyDescent="0.25">
      <c r="A767" s="14"/>
      <c r="J767" s="4"/>
    </row>
    <row r="768" spans="1:10" x14ac:dyDescent="0.25">
      <c r="A768" s="14"/>
      <c r="J768" s="4"/>
    </row>
    <row r="769" spans="1:10" x14ac:dyDescent="0.25">
      <c r="A769" s="14"/>
      <c r="J769" s="4"/>
    </row>
    <row r="770" spans="1:10" x14ac:dyDescent="0.25">
      <c r="A770" s="14"/>
      <c r="J770" s="4"/>
    </row>
    <row r="771" spans="1:10" x14ac:dyDescent="0.25">
      <c r="A771" s="14"/>
      <c r="J771" s="4"/>
    </row>
    <row r="772" spans="1:10" x14ac:dyDescent="0.25">
      <c r="A772" s="14"/>
      <c r="J772" s="4"/>
    </row>
    <row r="773" spans="1:10" x14ac:dyDescent="0.25">
      <c r="A773" s="14"/>
      <c r="J773" s="4"/>
    </row>
    <row r="774" spans="1:10" x14ac:dyDescent="0.25">
      <c r="A774" s="14"/>
      <c r="J774" s="4"/>
    </row>
    <row r="775" spans="1:10" x14ac:dyDescent="0.25">
      <c r="A775" s="14"/>
      <c r="J775" s="4"/>
    </row>
    <row r="776" spans="1:10" x14ac:dyDescent="0.25">
      <c r="A776" s="14"/>
      <c r="J776" s="4"/>
    </row>
    <row r="777" spans="1:10" x14ac:dyDescent="0.25">
      <c r="A777" s="14"/>
      <c r="J777" s="4"/>
    </row>
    <row r="778" spans="1:10" x14ac:dyDescent="0.25">
      <c r="A778" s="14"/>
      <c r="J778" s="4"/>
    </row>
    <row r="779" spans="1:10" x14ac:dyDescent="0.25">
      <c r="A779" s="14"/>
      <c r="J779" s="4"/>
    </row>
    <row r="780" spans="1:10" x14ac:dyDescent="0.25">
      <c r="A780" s="14"/>
      <c r="J780" s="4"/>
    </row>
    <row r="781" spans="1:10" x14ac:dyDescent="0.25">
      <c r="A781" s="14"/>
      <c r="J781" s="4"/>
    </row>
    <row r="782" spans="1:10" x14ac:dyDescent="0.25">
      <c r="A782" s="14"/>
      <c r="J782" s="4"/>
    </row>
    <row r="783" spans="1:10" x14ac:dyDescent="0.25">
      <c r="A783" s="14"/>
      <c r="J783" s="4"/>
    </row>
    <row r="784" spans="1:10" x14ac:dyDescent="0.25">
      <c r="A784" s="14"/>
      <c r="J784" s="4"/>
    </row>
    <row r="785" spans="1:10" x14ac:dyDescent="0.25">
      <c r="A785" s="14"/>
      <c r="J785" s="4"/>
    </row>
    <row r="786" spans="1:10" x14ac:dyDescent="0.25">
      <c r="A786" s="14"/>
      <c r="J786" s="4"/>
    </row>
    <row r="787" spans="1:10" x14ac:dyDescent="0.25">
      <c r="A787" s="14"/>
      <c r="J787" s="4"/>
    </row>
    <row r="788" spans="1:10" x14ac:dyDescent="0.25">
      <c r="A788" s="14"/>
      <c r="J788" s="4"/>
    </row>
    <row r="789" spans="1:10" x14ac:dyDescent="0.25">
      <c r="A789" s="14"/>
      <c r="J789" s="4"/>
    </row>
    <row r="790" spans="1:10" x14ac:dyDescent="0.25">
      <c r="A790" s="14"/>
      <c r="J790" s="4"/>
    </row>
    <row r="791" spans="1:10" x14ac:dyDescent="0.25">
      <c r="A791" s="14"/>
      <c r="J791" s="4"/>
    </row>
    <row r="792" spans="1:10" x14ac:dyDescent="0.25">
      <c r="A792" s="14"/>
      <c r="J792" s="4"/>
    </row>
    <row r="793" spans="1:10" x14ac:dyDescent="0.25">
      <c r="A793" s="14"/>
      <c r="J793" s="4"/>
    </row>
    <row r="794" spans="1:10" x14ac:dyDescent="0.25">
      <c r="A794" s="14"/>
      <c r="J794" s="4"/>
    </row>
    <row r="795" spans="1:10" x14ac:dyDescent="0.25">
      <c r="A795" s="14"/>
      <c r="J795" s="4"/>
    </row>
    <row r="796" spans="1:10" x14ac:dyDescent="0.25">
      <c r="A796" s="14"/>
      <c r="J796" s="4"/>
    </row>
    <row r="797" spans="1:10" x14ac:dyDescent="0.25">
      <c r="A797" s="14"/>
      <c r="J797" s="4"/>
    </row>
    <row r="798" spans="1:10" x14ac:dyDescent="0.25">
      <c r="A798" s="14"/>
      <c r="J798" s="4"/>
    </row>
    <row r="799" spans="1:10" x14ac:dyDescent="0.25">
      <c r="A799" s="14"/>
      <c r="J799" s="4"/>
    </row>
    <row r="800" spans="1:10" x14ac:dyDescent="0.25">
      <c r="A800" s="14"/>
      <c r="J800" s="4"/>
    </row>
    <row r="801" spans="1:10" x14ac:dyDescent="0.25">
      <c r="A801" s="14"/>
      <c r="J801" s="4"/>
    </row>
    <row r="802" spans="1:10" x14ac:dyDescent="0.25">
      <c r="A802" s="14"/>
      <c r="J802" s="4"/>
    </row>
    <row r="803" spans="1:10" x14ac:dyDescent="0.25">
      <c r="A803" s="14"/>
      <c r="J803" s="4"/>
    </row>
    <row r="804" spans="1:10" x14ac:dyDescent="0.25">
      <c r="A804" s="14"/>
      <c r="J804" s="4"/>
    </row>
    <row r="805" spans="1:10" x14ac:dyDescent="0.25">
      <c r="A805" s="14"/>
      <c r="J805" s="4"/>
    </row>
    <row r="806" spans="1:10" x14ac:dyDescent="0.25">
      <c r="A806" s="14"/>
      <c r="J806" s="4"/>
    </row>
    <row r="807" spans="1:10" x14ac:dyDescent="0.25">
      <c r="A807" s="14"/>
      <c r="J807" s="4"/>
    </row>
    <row r="808" spans="1:10" x14ac:dyDescent="0.25">
      <c r="A808" s="14"/>
      <c r="J808" s="4"/>
    </row>
    <row r="809" spans="1:10" x14ac:dyDescent="0.25">
      <c r="A809" s="14"/>
      <c r="J809" s="4"/>
    </row>
    <row r="810" spans="1:10" x14ac:dyDescent="0.25">
      <c r="A810" s="14"/>
      <c r="J810" s="4"/>
    </row>
    <row r="811" spans="1:10" x14ac:dyDescent="0.25">
      <c r="A811" s="14"/>
      <c r="J811" s="4"/>
    </row>
    <row r="812" spans="1:10" x14ac:dyDescent="0.25">
      <c r="A812" s="14"/>
      <c r="J812" s="4"/>
    </row>
    <row r="813" spans="1:10" x14ac:dyDescent="0.25">
      <c r="A813" s="14"/>
      <c r="J813" s="4"/>
    </row>
    <row r="814" spans="1:10" x14ac:dyDescent="0.25">
      <c r="A814" s="14"/>
      <c r="J814" s="4"/>
    </row>
    <row r="815" spans="1:10" x14ac:dyDescent="0.25">
      <c r="A815" s="14"/>
      <c r="J815" s="4"/>
    </row>
    <row r="816" spans="1:10" x14ac:dyDescent="0.25">
      <c r="A816" s="14"/>
      <c r="J816" s="4"/>
    </row>
    <row r="817" spans="1:10" x14ac:dyDescent="0.25">
      <c r="A817" s="14"/>
      <c r="J817" s="4"/>
    </row>
    <row r="818" spans="1:10" x14ac:dyDescent="0.25">
      <c r="A818" s="14"/>
      <c r="J818" s="4"/>
    </row>
    <row r="819" spans="1:10" x14ac:dyDescent="0.25">
      <c r="A819" s="14"/>
      <c r="J819" s="4"/>
    </row>
    <row r="820" spans="1:10" x14ac:dyDescent="0.25">
      <c r="A820" s="14"/>
      <c r="J820" s="4"/>
    </row>
    <row r="821" spans="1:10" x14ac:dyDescent="0.25">
      <c r="A821" s="14"/>
      <c r="J821" s="4"/>
    </row>
    <row r="822" spans="1:10" x14ac:dyDescent="0.25">
      <c r="A822" s="14"/>
      <c r="J822" s="4"/>
    </row>
    <row r="823" spans="1:10" x14ac:dyDescent="0.25">
      <c r="A823" s="14"/>
      <c r="J823" s="4"/>
    </row>
    <row r="824" spans="1:10" x14ac:dyDescent="0.25">
      <c r="A824" s="14"/>
      <c r="J824" s="4"/>
    </row>
    <row r="825" spans="1:10" x14ac:dyDescent="0.25">
      <c r="A825" s="14"/>
      <c r="J825" s="4"/>
    </row>
    <row r="826" spans="1:10" x14ac:dyDescent="0.25">
      <c r="A826" s="14"/>
      <c r="J826" s="4"/>
    </row>
    <row r="827" spans="1:10" x14ac:dyDescent="0.25">
      <c r="A827" s="14"/>
      <c r="J827" s="4"/>
    </row>
    <row r="828" spans="1:10" x14ac:dyDescent="0.25">
      <c r="A828" s="14"/>
      <c r="J828" s="4"/>
    </row>
    <row r="829" spans="1:10" x14ac:dyDescent="0.25">
      <c r="A829" s="14"/>
      <c r="J829" s="4"/>
    </row>
    <row r="830" spans="1:10" x14ac:dyDescent="0.25">
      <c r="A830" s="14"/>
      <c r="J830" s="4"/>
    </row>
    <row r="831" spans="1:10" x14ac:dyDescent="0.25">
      <c r="A831" s="14"/>
      <c r="J831" s="4"/>
    </row>
    <row r="832" spans="1:10" x14ac:dyDescent="0.25">
      <c r="A832" s="14"/>
      <c r="J832" s="4"/>
    </row>
    <row r="833" spans="1:10" x14ac:dyDescent="0.25">
      <c r="A833" s="14"/>
      <c r="J833" s="4"/>
    </row>
    <row r="834" spans="1:10" x14ac:dyDescent="0.25">
      <c r="A834" s="14"/>
      <c r="J834" s="4"/>
    </row>
    <row r="835" spans="1:10" x14ac:dyDescent="0.25">
      <c r="A835" s="14"/>
      <c r="J835" s="4"/>
    </row>
    <row r="836" spans="1:10" x14ac:dyDescent="0.25">
      <c r="A836" s="14"/>
      <c r="J836" s="4"/>
    </row>
    <row r="837" spans="1:10" x14ac:dyDescent="0.25">
      <c r="A837" s="14"/>
      <c r="J837" s="4"/>
    </row>
    <row r="838" spans="1:10" x14ac:dyDescent="0.25">
      <c r="A838" s="14"/>
      <c r="J838" s="4"/>
    </row>
    <row r="839" spans="1:10" x14ac:dyDescent="0.25">
      <c r="A839" s="14"/>
      <c r="J839" s="4"/>
    </row>
    <row r="840" spans="1:10" x14ac:dyDescent="0.25">
      <c r="A840" s="14"/>
      <c r="J840" s="4"/>
    </row>
    <row r="841" spans="1:10" x14ac:dyDescent="0.25">
      <c r="A841" s="14"/>
      <c r="J841" s="4"/>
    </row>
    <row r="842" spans="1:10" x14ac:dyDescent="0.25">
      <c r="A842" s="14"/>
      <c r="J842" s="4"/>
    </row>
    <row r="843" spans="1:10" x14ac:dyDescent="0.25">
      <c r="A843" s="14"/>
      <c r="J843" s="4"/>
    </row>
    <row r="844" spans="1:10" x14ac:dyDescent="0.25">
      <c r="A844" s="14"/>
      <c r="J844" s="4"/>
    </row>
    <row r="845" spans="1:10" x14ac:dyDescent="0.25">
      <c r="A845" s="14"/>
      <c r="J845" s="4"/>
    </row>
    <row r="846" spans="1:10" x14ac:dyDescent="0.25">
      <c r="A846" s="14"/>
      <c r="J846" s="4"/>
    </row>
    <row r="847" spans="1:10" x14ac:dyDescent="0.25">
      <c r="A847" s="14"/>
      <c r="J847" s="4"/>
    </row>
    <row r="848" spans="1:10" x14ac:dyDescent="0.25">
      <c r="A848" s="14"/>
      <c r="J848" s="4"/>
    </row>
    <row r="849" spans="1:10" x14ac:dyDescent="0.25">
      <c r="A849" s="14"/>
      <c r="J849" s="4"/>
    </row>
    <row r="850" spans="1:10" x14ac:dyDescent="0.25">
      <c r="A850" s="14"/>
      <c r="J850" s="4"/>
    </row>
    <row r="851" spans="1:10" x14ac:dyDescent="0.25">
      <c r="A851" s="14"/>
      <c r="J851" s="4"/>
    </row>
    <row r="852" spans="1:10" x14ac:dyDescent="0.25">
      <c r="A852" s="14"/>
      <c r="J852" s="4"/>
    </row>
    <row r="853" spans="1:10" x14ac:dyDescent="0.25">
      <c r="A853" s="14"/>
      <c r="J853" s="4"/>
    </row>
    <row r="854" spans="1:10" x14ac:dyDescent="0.25">
      <c r="A854" s="14"/>
      <c r="J854" s="4"/>
    </row>
    <row r="855" spans="1:10" x14ac:dyDescent="0.25">
      <c r="A855" s="14"/>
      <c r="J855" s="4"/>
    </row>
    <row r="856" spans="1:10" x14ac:dyDescent="0.25">
      <c r="A856" s="14"/>
      <c r="J856" s="4"/>
    </row>
    <row r="857" spans="1:10" x14ac:dyDescent="0.25">
      <c r="A857" s="14"/>
      <c r="J857" s="4"/>
    </row>
    <row r="858" spans="1:10" x14ac:dyDescent="0.25">
      <c r="A858" s="14"/>
      <c r="J858" s="4"/>
    </row>
    <row r="859" spans="1:10" x14ac:dyDescent="0.25">
      <c r="A859" s="14"/>
      <c r="J859" s="4"/>
    </row>
    <row r="860" spans="1:10" x14ac:dyDescent="0.25">
      <c r="A860" s="14"/>
      <c r="J860" s="4"/>
    </row>
    <row r="861" spans="1:10" x14ac:dyDescent="0.25">
      <c r="A861" s="14"/>
      <c r="J861" s="4"/>
    </row>
    <row r="862" spans="1:10" x14ac:dyDescent="0.25">
      <c r="A862" s="14"/>
      <c r="J862" s="4"/>
    </row>
    <row r="863" spans="1:10" x14ac:dyDescent="0.25">
      <c r="A863" s="14"/>
      <c r="J863" s="4"/>
    </row>
    <row r="864" spans="1:10" x14ac:dyDescent="0.25">
      <c r="A864" s="14"/>
      <c r="J864" s="4"/>
    </row>
    <row r="865" spans="1:10" x14ac:dyDescent="0.25">
      <c r="A865" s="14"/>
      <c r="J865" s="4"/>
    </row>
    <row r="866" spans="1:10" x14ac:dyDescent="0.25">
      <c r="A866" s="14"/>
      <c r="J866" s="4"/>
    </row>
    <row r="867" spans="1:10" x14ac:dyDescent="0.25">
      <c r="A867" s="14"/>
      <c r="J867" s="4"/>
    </row>
    <row r="868" spans="1:10" x14ac:dyDescent="0.25">
      <c r="A868" s="14"/>
      <c r="J868" s="4"/>
    </row>
    <row r="869" spans="1:10" x14ac:dyDescent="0.25">
      <c r="A869" s="14"/>
      <c r="J869" s="4"/>
    </row>
    <row r="870" spans="1:10" x14ac:dyDescent="0.25">
      <c r="A870" s="14"/>
      <c r="J870" s="4"/>
    </row>
    <row r="871" spans="1:10" x14ac:dyDescent="0.25">
      <c r="A871" s="14"/>
      <c r="J871" s="4"/>
    </row>
    <row r="872" spans="1:10" x14ac:dyDescent="0.25">
      <c r="A872" s="14"/>
      <c r="J872" s="4"/>
    </row>
    <row r="873" spans="1:10" x14ac:dyDescent="0.25">
      <c r="A873" s="14"/>
      <c r="J873" s="4"/>
    </row>
    <row r="874" spans="1:10" x14ac:dyDescent="0.25">
      <c r="A874" s="14"/>
      <c r="J874" s="4"/>
    </row>
    <row r="875" spans="1:10" x14ac:dyDescent="0.25">
      <c r="A875" s="14"/>
      <c r="J875" s="4"/>
    </row>
    <row r="876" spans="1:10" x14ac:dyDescent="0.25">
      <c r="A876" s="14"/>
      <c r="J876" s="4"/>
    </row>
    <row r="877" spans="1:10" x14ac:dyDescent="0.25">
      <c r="A877" s="14"/>
      <c r="J877" s="4"/>
    </row>
    <row r="878" spans="1:10" x14ac:dyDescent="0.25">
      <c r="A878" s="14"/>
      <c r="J878" s="4"/>
    </row>
    <row r="879" spans="1:10" x14ac:dyDescent="0.25">
      <c r="A879" s="14"/>
      <c r="J879" s="4"/>
    </row>
    <row r="880" spans="1:10" x14ac:dyDescent="0.25">
      <c r="A880" s="14"/>
      <c r="J880" s="4"/>
    </row>
    <row r="881" spans="1:10" x14ac:dyDescent="0.25">
      <c r="A881" s="14"/>
      <c r="J881" s="4"/>
    </row>
    <row r="882" spans="1:10" x14ac:dyDescent="0.25">
      <c r="A882" s="14"/>
      <c r="J882" s="4"/>
    </row>
    <row r="883" spans="1:10" x14ac:dyDescent="0.25">
      <c r="A883" s="14"/>
      <c r="J883" s="4"/>
    </row>
    <row r="884" spans="1:10" x14ac:dyDescent="0.25">
      <c r="A884" s="14"/>
      <c r="J884" s="4"/>
    </row>
    <row r="885" spans="1:10" x14ac:dyDescent="0.25">
      <c r="A885" s="14"/>
      <c r="J885" s="4"/>
    </row>
    <row r="886" spans="1:10" x14ac:dyDescent="0.25">
      <c r="A886" s="14"/>
      <c r="J886" s="4"/>
    </row>
    <row r="887" spans="1:10" x14ac:dyDescent="0.25">
      <c r="A887" s="14"/>
      <c r="J887" s="4"/>
    </row>
    <row r="888" spans="1:10" x14ac:dyDescent="0.25">
      <c r="A888" s="14"/>
      <c r="J888" s="4"/>
    </row>
    <row r="889" spans="1:10" x14ac:dyDescent="0.25">
      <c r="A889" s="14"/>
      <c r="J889" s="4"/>
    </row>
    <row r="890" spans="1:10" x14ac:dyDescent="0.25">
      <c r="A890" s="14"/>
      <c r="J890" s="4"/>
    </row>
    <row r="891" spans="1:10" x14ac:dyDescent="0.25">
      <c r="A891" s="14"/>
      <c r="J891" s="4"/>
    </row>
    <row r="892" spans="1:10" x14ac:dyDescent="0.25">
      <c r="A892" s="14"/>
      <c r="J892" s="4"/>
    </row>
    <row r="893" spans="1:10" x14ac:dyDescent="0.25">
      <c r="A893" s="14"/>
      <c r="J893" s="4"/>
    </row>
    <row r="894" spans="1:10" x14ac:dyDescent="0.25">
      <c r="A894" s="14"/>
      <c r="J894" s="4"/>
    </row>
    <row r="895" spans="1:10" x14ac:dyDescent="0.25">
      <c r="A895" s="14"/>
      <c r="J895" s="4"/>
    </row>
    <row r="896" spans="1:10" x14ac:dyDescent="0.25">
      <c r="A896" s="14"/>
      <c r="J896" s="4"/>
    </row>
    <row r="897" spans="1:10" x14ac:dyDescent="0.25">
      <c r="A897" s="14"/>
      <c r="J897" s="4"/>
    </row>
    <row r="898" spans="1:10" x14ac:dyDescent="0.25">
      <c r="A898" s="14"/>
      <c r="J898" s="4"/>
    </row>
    <row r="899" spans="1:10" x14ac:dyDescent="0.25">
      <c r="A899" s="14"/>
      <c r="J899" s="4"/>
    </row>
    <row r="900" spans="1:10" x14ac:dyDescent="0.25">
      <c r="A900" s="14"/>
      <c r="J900" s="4"/>
    </row>
    <row r="901" spans="1:10" x14ac:dyDescent="0.25">
      <c r="A901" s="14"/>
      <c r="J901" s="4"/>
    </row>
    <row r="902" spans="1:10" x14ac:dyDescent="0.25">
      <c r="A902" s="14"/>
      <c r="J902" s="4"/>
    </row>
    <row r="903" spans="1:10" x14ac:dyDescent="0.25">
      <c r="A903" s="14"/>
      <c r="J903" s="4"/>
    </row>
    <row r="904" spans="1:10" x14ac:dyDescent="0.25">
      <c r="A904" s="14"/>
      <c r="J904" s="4"/>
    </row>
    <row r="905" spans="1:10" x14ac:dyDescent="0.25">
      <c r="A905" s="14"/>
      <c r="J905" s="4"/>
    </row>
    <row r="906" spans="1:10" x14ac:dyDescent="0.25">
      <c r="A906" s="14"/>
      <c r="J906" s="4"/>
    </row>
    <row r="907" spans="1:10" x14ac:dyDescent="0.25">
      <c r="A907" s="14"/>
      <c r="J907" s="4"/>
    </row>
    <row r="908" spans="1:10" x14ac:dyDescent="0.25">
      <c r="A908" s="14"/>
      <c r="J908" s="4"/>
    </row>
    <row r="909" spans="1:10" x14ac:dyDescent="0.25">
      <c r="A909" s="14"/>
      <c r="J909" s="4"/>
    </row>
    <row r="910" spans="1:10" x14ac:dyDescent="0.25">
      <c r="A910" s="14"/>
      <c r="J910" s="4"/>
    </row>
    <row r="911" spans="1:10" x14ac:dyDescent="0.25">
      <c r="A911" s="14"/>
      <c r="J911" s="4"/>
    </row>
    <row r="912" spans="1:10" x14ac:dyDescent="0.25">
      <c r="A912" s="14"/>
      <c r="J912" s="4"/>
    </row>
    <row r="913" spans="1:10" x14ac:dyDescent="0.25">
      <c r="A913" s="14"/>
      <c r="J913" s="4"/>
    </row>
    <row r="914" spans="1:10" x14ac:dyDescent="0.25">
      <c r="A914" s="14"/>
      <c r="J914" s="4"/>
    </row>
    <row r="915" spans="1:10" x14ac:dyDescent="0.25">
      <c r="A915" s="14"/>
      <c r="J915" s="4"/>
    </row>
    <row r="916" spans="1:10" x14ac:dyDescent="0.25">
      <c r="A916" s="14"/>
      <c r="J916" s="4"/>
    </row>
    <row r="917" spans="1:10" x14ac:dyDescent="0.25">
      <c r="A917" s="14"/>
      <c r="J917" s="4"/>
    </row>
    <row r="918" spans="1:10" x14ac:dyDescent="0.25">
      <c r="A918" s="14"/>
      <c r="J918" s="4"/>
    </row>
    <row r="919" spans="1:10" x14ac:dyDescent="0.25">
      <c r="A919" s="14"/>
      <c r="J919" s="4"/>
    </row>
    <row r="920" spans="1:10" x14ac:dyDescent="0.25">
      <c r="A920" s="14"/>
      <c r="J920" s="4"/>
    </row>
    <row r="921" spans="1:10" x14ac:dyDescent="0.25">
      <c r="A921" s="14"/>
      <c r="J921" s="4"/>
    </row>
    <row r="922" spans="1:10" x14ac:dyDescent="0.25">
      <c r="A922" s="14"/>
      <c r="J922" s="4"/>
    </row>
    <row r="923" spans="1:10" x14ac:dyDescent="0.25">
      <c r="A923" s="14"/>
      <c r="J923" s="4"/>
    </row>
    <row r="924" spans="1:10" x14ac:dyDescent="0.25">
      <c r="A924" s="14"/>
      <c r="J924" s="4"/>
    </row>
    <row r="925" spans="1:10" x14ac:dyDescent="0.25">
      <c r="A925" s="14"/>
      <c r="J925" s="4"/>
    </row>
    <row r="926" spans="1:10" x14ac:dyDescent="0.25">
      <c r="A926" s="14"/>
      <c r="J926" s="4"/>
    </row>
    <row r="927" spans="1:10" x14ac:dyDescent="0.25">
      <c r="A927" s="14"/>
      <c r="J927" s="4"/>
    </row>
    <row r="928" spans="1:10" x14ac:dyDescent="0.25">
      <c r="A928" s="14"/>
      <c r="J928" s="4"/>
    </row>
    <row r="929" spans="1:10" x14ac:dyDescent="0.25">
      <c r="A929" s="14"/>
      <c r="J929" s="4"/>
    </row>
    <row r="930" spans="1:10" x14ac:dyDescent="0.25">
      <c r="A930" s="14"/>
      <c r="J930" s="4"/>
    </row>
    <row r="931" spans="1:10" x14ac:dyDescent="0.25">
      <c r="A931" s="14"/>
      <c r="J931" s="4"/>
    </row>
    <row r="932" spans="1:10" x14ac:dyDescent="0.25">
      <c r="A932" s="14"/>
      <c r="J932" s="4"/>
    </row>
    <row r="933" spans="1:10" x14ac:dyDescent="0.25">
      <c r="A933" s="14"/>
      <c r="J933" s="4"/>
    </row>
    <row r="934" spans="1:10" x14ac:dyDescent="0.25">
      <c r="A934" s="14"/>
      <c r="J934" s="4"/>
    </row>
    <row r="935" spans="1:10" x14ac:dyDescent="0.25">
      <c r="A935" s="14"/>
      <c r="J935" s="4"/>
    </row>
    <row r="936" spans="1:10" x14ac:dyDescent="0.25">
      <c r="A936" s="14"/>
      <c r="J936" s="4"/>
    </row>
    <row r="937" spans="1:10" x14ac:dyDescent="0.25">
      <c r="A937" s="14"/>
      <c r="J937" s="4"/>
    </row>
    <row r="938" spans="1:10" x14ac:dyDescent="0.25">
      <c r="A938" s="14"/>
      <c r="J938" s="4"/>
    </row>
    <row r="939" spans="1:10" x14ac:dyDescent="0.25">
      <c r="A939" s="14"/>
      <c r="J939" s="4"/>
    </row>
    <row r="940" spans="1:10" x14ac:dyDescent="0.25">
      <c r="A940" s="14"/>
      <c r="J940" s="4"/>
    </row>
    <row r="941" spans="1:10" x14ac:dyDescent="0.25">
      <c r="A941" s="14"/>
      <c r="J941" s="4"/>
    </row>
    <row r="942" spans="1:10" x14ac:dyDescent="0.25">
      <c r="A942" s="14"/>
      <c r="J942" s="4"/>
    </row>
    <row r="943" spans="1:10" x14ac:dyDescent="0.25">
      <c r="A943" s="14"/>
      <c r="J943" s="4"/>
    </row>
    <row r="944" spans="1:10" x14ac:dyDescent="0.25">
      <c r="A944" s="14"/>
      <c r="J944" s="4"/>
    </row>
    <row r="945" spans="1:10" x14ac:dyDescent="0.25">
      <c r="A945" s="14"/>
      <c r="J945" s="4"/>
    </row>
    <row r="946" spans="1:10" x14ac:dyDescent="0.25">
      <c r="A946" s="14"/>
      <c r="J946" s="4"/>
    </row>
    <row r="947" spans="1:10" x14ac:dyDescent="0.25">
      <c r="A947" s="14"/>
      <c r="J947" s="4"/>
    </row>
    <row r="948" spans="1:10" x14ac:dyDescent="0.25">
      <c r="A948" s="14"/>
      <c r="J948" s="4"/>
    </row>
    <row r="949" spans="1:10" x14ac:dyDescent="0.25">
      <c r="A949" s="14"/>
      <c r="J949" s="4"/>
    </row>
    <row r="950" spans="1:10" x14ac:dyDescent="0.25">
      <c r="A950" s="14"/>
      <c r="J950" s="4"/>
    </row>
    <row r="951" spans="1:10" x14ac:dyDescent="0.25">
      <c r="A951" s="14"/>
      <c r="J951" s="4"/>
    </row>
    <row r="952" spans="1:10" x14ac:dyDescent="0.25">
      <c r="A952" s="14"/>
      <c r="J952" s="4"/>
    </row>
    <row r="953" spans="1:10" x14ac:dyDescent="0.25">
      <c r="A953" s="14"/>
      <c r="J953" s="4"/>
    </row>
    <row r="954" spans="1:10" x14ac:dyDescent="0.25">
      <c r="A954" s="14"/>
      <c r="J954" s="4"/>
    </row>
    <row r="955" spans="1:10" x14ac:dyDescent="0.25">
      <c r="A955" s="14"/>
      <c r="J955" s="4"/>
    </row>
    <row r="956" spans="1:10" x14ac:dyDescent="0.25">
      <c r="A956" s="14"/>
      <c r="J956" s="4"/>
    </row>
    <row r="957" spans="1:10" x14ac:dyDescent="0.25">
      <c r="A957" s="14"/>
      <c r="J957" s="4"/>
    </row>
    <row r="958" spans="1:10" x14ac:dyDescent="0.25">
      <c r="A958" s="14"/>
      <c r="J958" s="4"/>
    </row>
    <row r="959" spans="1:10" x14ac:dyDescent="0.25">
      <c r="A959" s="14"/>
      <c r="J959" s="4"/>
    </row>
    <row r="960" spans="1:10" x14ac:dyDescent="0.25">
      <c r="A960" s="14"/>
      <c r="J960" s="4"/>
    </row>
    <row r="961" spans="1:10" x14ac:dyDescent="0.25">
      <c r="A961" s="14"/>
      <c r="J961" s="4"/>
    </row>
    <row r="962" spans="1:10" x14ac:dyDescent="0.25">
      <c r="A962" s="14"/>
      <c r="J962" s="4"/>
    </row>
    <row r="963" spans="1:10" x14ac:dyDescent="0.25">
      <c r="A963" s="14"/>
      <c r="J963" s="4"/>
    </row>
    <row r="964" spans="1:10" x14ac:dyDescent="0.25">
      <c r="A964" s="14"/>
      <c r="J964" s="4"/>
    </row>
    <row r="965" spans="1:10" x14ac:dyDescent="0.25">
      <c r="A965" s="14"/>
      <c r="J965" s="4"/>
    </row>
    <row r="966" spans="1:10" x14ac:dyDescent="0.25">
      <c r="A966" s="14"/>
      <c r="J966" s="4"/>
    </row>
    <row r="967" spans="1:10" x14ac:dyDescent="0.25">
      <c r="A967" s="14"/>
      <c r="J967" s="4"/>
    </row>
    <row r="968" spans="1:10" x14ac:dyDescent="0.25">
      <c r="A968" s="14"/>
      <c r="J968" s="4"/>
    </row>
    <row r="969" spans="1:10" x14ac:dyDescent="0.25">
      <c r="A969" s="14"/>
      <c r="J969" s="4"/>
    </row>
    <row r="970" spans="1:10" x14ac:dyDescent="0.25">
      <c r="A970" s="14"/>
      <c r="J970" s="4"/>
    </row>
    <row r="971" spans="1:10" x14ac:dyDescent="0.25">
      <c r="A971" s="14"/>
      <c r="J971" s="4"/>
    </row>
    <row r="972" spans="1:10" x14ac:dyDescent="0.25">
      <c r="A972" s="14"/>
      <c r="J972" s="4"/>
    </row>
    <row r="973" spans="1:10" x14ac:dyDescent="0.25">
      <c r="A973" s="14"/>
      <c r="J973" s="4"/>
    </row>
    <row r="974" spans="1:10" x14ac:dyDescent="0.25">
      <c r="A974" s="14"/>
      <c r="J974" s="4"/>
    </row>
    <row r="975" spans="1:10" x14ac:dyDescent="0.25">
      <c r="A975" s="14"/>
      <c r="J975" s="4"/>
    </row>
    <row r="976" spans="1:10" x14ac:dyDescent="0.25">
      <c r="A976" s="14"/>
      <c r="J976" s="4"/>
    </row>
    <row r="977" spans="1:10" x14ac:dyDescent="0.25">
      <c r="A977" s="14"/>
      <c r="J977" s="4"/>
    </row>
    <row r="978" spans="1:10" x14ac:dyDescent="0.25">
      <c r="A978" s="14"/>
      <c r="J978" s="4"/>
    </row>
    <row r="979" spans="1:10" x14ac:dyDescent="0.25">
      <c r="A979" s="14"/>
      <c r="J979" s="4"/>
    </row>
    <row r="980" spans="1:10" x14ac:dyDescent="0.25">
      <c r="A980" s="14"/>
      <c r="J980" s="4"/>
    </row>
    <row r="981" spans="1:10" x14ac:dyDescent="0.25">
      <c r="A981" s="14"/>
      <c r="J981" s="4"/>
    </row>
    <row r="982" spans="1:10" x14ac:dyDescent="0.25">
      <c r="A982" s="14"/>
      <c r="J982" s="4"/>
    </row>
    <row r="983" spans="1:10" x14ac:dyDescent="0.25">
      <c r="A983" s="14"/>
      <c r="J983" s="4"/>
    </row>
    <row r="984" spans="1:10" x14ac:dyDescent="0.25">
      <c r="A984" s="14"/>
      <c r="J984" s="4"/>
    </row>
    <row r="985" spans="1:10" x14ac:dyDescent="0.25">
      <c r="A985" s="14"/>
      <c r="J985" s="4"/>
    </row>
    <row r="986" spans="1:10" x14ac:dyDescent="0.25">
      <c r="A986" s="14"/>
      <c r="J986" s="4"/>
    </row>
    <row r="987" spans="1:10" x14ac:dyDescent="0.25">
      <c r="A987" s="14"/>
      <c r="J987" s="4"/>
    </row>
    <row r="988" spans="1:10" x14ac:dyDescent="0.25">
      <c r="A988" s="14"/>
      <c r="J988" s="4"/>
    </row>
    <row r="989" spans="1:10" x14ac:dyDescent="0.25">
      <c r="A989" s="14"/>
      <c r="J989" s="4"/>
    </row>
    <row r="990" spans="1:10" x14ac:dyDescent="0.25">
      <c r="A990" s="14"/>
      <c r="J990" s="4"/>
    </row>
    <row r="991" spans="1:10" x14ac:dyDescent="0.25">
      <c r="A991" s="14"/>
      <c r="J991" s="4"/>
    </row>
    <row r="992" spans="1:10" x14ac:dyDescent="0.25">
      <c r="A992" s="14"/>
      <c r="J992" s="4"/>
    </row>
    <row r="993" spans="1:10" x14ac:dyDescent="0.25">
      <c r="A993" s="14"/>
      <c r="J993" s="4"/>
    </row>
    <row r="994" spans="1:10" x14ac:dyDescent="0.25">
      <c r="A994" s="14"/>
      <c r="J994" s="4"/>
    </row>
    <row r="995" spans="1:10" x14ac:dyDescent="0.25">
      <c r="A995" s="14"/>
      <c r="J995" s="4"/>
    </row>
    <row r="996" spans="1:10" x14ac:dyDescent="0.25">
      <c r="A996" s="14"/>
      <c r="J996" s="4"/>
    </row>
    <row r="997" spans="1:10" x14ac:dyDescent="0.25">
      <c r="A997" s="14"/>
      <c r="J997" s="4"/>
    </row>
    <row r="998" spans="1:10" x14ac:dyDescent="0.25">
      <c r="A998" s="14"/>
      <c r="J998" s="4"/>
    </row>
    <row r="999" spans="1:10" x14ac:dyDescent="0.25">
      <c r="A999" s="14"/>
      <c r="J999" s="4"/>
    </row>
    <row r="1000" spans="1:10" x14ac:dyDescent="0.25">
      <c r="A1000" s="14"/>
      <c r="J1000" s="4"/>
    </row>
    <row r="1001" spans="1:10" x14ac:dyDescent="0.25">
      <c r="A1001" s="14"/>
      <c r="J1001" s="4"/>
    </row>
    <row r="1002" spans="1:10" x14ac:dyDescent="0.25">
      <c r="A1002" s="14"/>
      <c r="J1002" s="4"/>
    </row>
    <row r="1003" spans="1:10" x14ac:dyDescent="0.25">
      <c r="A1003" s="14"/>
      <c r="J1003" s="4"/>
    </row>
    <row r="1004" spans="1:10" x14ac:dyDescent="0.25">
      <c r="A1004" s="14"/>
      <c r="J1004" s="4"/>
    </row>
    <row r="1005" spans="1:10" x14ac:dyDescent="0.25">
      <c r="A1005" s="14"/>
      <c r="J1005" s="4"/>
    </row>
    <row r="1006" spans="1:10" x14ac:dyDescent="0.25">
      <c r="A1006" s="14"/>
      <c r="J1006" s="4"/>
    </row>
    <row r="1007" spans="1:10" x14ac:dyDescent="0.25">
      <c r="A1007" s="14"/>
      <c r="J1007" s="4"/>
    </row>
    <row r="1008" spans="1:10" x14ac:dyDescent="0.25">
      <c r="A1008" s="14"/>
      <c r="J1008" s="4"/>
    </row>
    <row r="1009" spans="1:10" x14ac:dyDescent="0.25">
      <c r="A1009" s="14"/>
      <c r="J1009" s="4"/>
    </row>
    <row r="1010" spans="1:10" x14ac:dyDescent="0.25">
      <c r="A1010" s="14"/>
      <c r="J1010" s="4"/>
    </row>
    <row r="1011" spans="1:10" x14ac:dyDescent="0.25">
      <c r="A1011" s="14"/>
      <c r="J1011" s="4"/>
    </row>
    <row r="1012" spans="1:10" x14ac:dyDescent="0.25">
      <c r="A1012" s="14"/>
      <c r="J1012" s="4"/>
    </row>
    <row r="1013" spans="1:10" x14ac:dyDescent="0.25">
      <c r="A1013" s="14"/>
      <c r="J1013" s="4"/>
    </row>
    <row r="1014" spans="1:10" x14ac:dyDescent="0.25">
      <c r="A1014" s="14"/>
      <c r="J1014" s="4"/>
    </row>
    <row r="1015" spans="1:10" x14ac:dyDescent="0.25">
      <c r="A1015" s="14"/>
      <c r="J1015" s="4"/>
    </row>
    <row r="1016" spans="1:10" x14ac:dyDescent="0.25">
      <c r="A1016" s="14"/>
      <c r="J1016" s="4"/>
    </row>
    <row r="1017" spans="1:10" x14ac:dyDescent="0.25">
      <c r="A1017" s="14"/>
      <c r="J1017" s="4"/>
    </row>
    <row r="1018" spans="1:10" x14ac:dyDescent="0.25">
      <c r="A1018" s="14"/>
      <c r="J1018" s="4"/>
    </row>
    <row r="1019" spans="1:10" x14ac:dyDescent="0.25">
      <c r="A1019" s="14"/>
      <c r="J1019" s="4"/>
    </row>
    <row r="1020" spans="1:10" x14ac:dyDescent="0.25">
      <c r="A1020" s="14"/>
      <c r="J1020" s="4"/>
    </row>
    <row r="1021" spans="1:10" x14ac:dyDescent="0.25">
      <c r="A1021" s="14"/>
      <c r="J1021" s="4"/>
    </row>
    <row r="1022" spans="1:10" x14ac:dyDescent="0.25">
      <c r="A1022" s="14"/>
      <c r="J1022" s="4"/>
    </row>
    <row r="1023" spans="1:10" x14ac:dyDescent="0.25">
      <c r="A1023" s="14"/>
      <c r="J1023" s="4"/>
    </row>
    <row r="1024" spans="1:10" x14ac:dyDescent="0.25">
      <c r="A1024" s="14"/>
      <c r="J1024" s="4"/>
    </row>
    <row r="1025" spans="1:10" x14ac:dyDescent="0.25">
      <c r="A1025" s="14"/>
      <c r="J1025" s="4"/>
    </row>
    <row r="1026" spans="1:10" x14ac:dyDescent="0.25">
      <c r="A1026" s="14"/>
      <c r="J1026" s="4"/>
    </row>
    <row r="1027" spans="1:10" x14ac:dyDescent="0.25">
      <c r="A1027" s="14"/>
      <c r="J1027" s="4"/>
    </row>
    <row r="1028" spans="1:10" x14ac:dyDescent="0.25">
      <c r="A1028" s="14"/>
      <c r="J1028" s="4"/>
    </row>
    <row r="1029" spans="1:10" x14ac:dyDescent="0.25">
      <c r="A1029" s="14"/>
      <c r="J1029" s="4"/>
    </row>
    <row r="1030" spans="1:10" x14ac:dyDescent="0.25">
      <c r="A1030" s="14"/>
      <c r="J1030" s="4"/>
    </row>
    <row r="1031" spans="1:10" x14ac:dyDescent="0.25">
      <c r="A1031" s="14"/>
      <c r="J1031" s="4"/>
    </row>
    <row r="1032" spans="1:10" x14ac:dyDescent="0.25">
      <c r="A1032" s="14"/>
      <c r="J1032" s="4"/>
    </row>
    <row r="1033" spans="1:10" x14ac:dyDescent="0.25">
      <c r="A1033" s="14"/>
      <c r="J1033" s="4"/>
    </row>
  </sheetData>
  <sheetProtection autoFilter="0" pivotTables="0"/>
  <pageMargins left="0.7" right="0.7" top="0.78740157499999996" bottom="0.78740157499999996" header="0.3" footer="0.3"/>
  <pageSetup paperSize="9" scale="33" orientation="portrait" horizontalDpi="200" verticalDpi="200" r:id="rId1"/>
  <rowBreaks count="1" manualBreakCount="1">
    <brk id="30"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5846-B935-487A-869F-970E36437F02}">
  <sheetPr codeName="Tabelle6"/>
  <dimension ref="B1:I61"/>
  <sheetViews>
    <sheetView showRowColHeaders="0" workbookViewId="0">
      <selection sqref="A1:XFD1048576"/>
    </sheetView>
  </sheetViews>
  <sheetFormatPr baseColWidth="10" defaultRowHeight="15" x14ac:dyDescent="0.25"/>
  <cols>
    <col min="1" max="1" width="11.42578125" style="17"/>
    <col min="2" max="2" width="15.5703125" style="17" customWidth="1"/>
    <col min="3" max="3" width="12.140625" style="17" customWidth="1"/>
    <col min="4" max="4" width="5.140625" style="17" customWidth="1"/>
    <col min="5" max="5" width="12.140625" style="17" customWidth="1"/>
    <col min="6" max="6" width="10.28515625" style="17" customWidth="1"/>
    <col min="7" max="7" width="15" style="17" bestFit="1" customWidth="1"/>
    <col min="8" max="8" width="13.42578125" style="17" customWidth="1"/>
    <col min="9" max="9" width="31.28515625" style="17" customWidth="1"/>
    <col min="10" max="10" width="10.42578125" style="17" customWidth="1"/>
    <col min="11" max="16384" width="11.42578125" style="17"/>
  </cols>
  <sheetData>
    <row r="1" spans="2:5" ht="75.75" customHeight="1" x14ac:dyDescent="0.25"/>
    <row r="10" spans="2:5" x14ac:dyDescent="0.25">
      <c r="C10" s="36"/>
      <c r="E10" s="35"/>
    </row>
    <row r="11" spans="2:5" x14ac:dyDescent="0.25">
      <c r="B11" s="18"/>
      <c r="C11" s="16"/>
      <c r="D11" s="33"/>
      <c r="E11" s="16"/>
    </row>
    <row r="12" spans="2:5" x14ac:dyDescent="0.25">
      <c r="B12" s="18"/>
      <c r="C12" s="16"/>
      <c r="D12" s="33"/>
      <c r="E12" s="16"/>
    </row>
    <row r="13" spans="2:5" x14ac:dyDescent="0.25">
      <c r="B13" s="18"/>
      <c r="C13" s="16"/>
      <c r="D13" s="33"/>
      <c r="E13" s="16"/>
    </row>
    <row r="14" spans="2:5" x14ac:dyDescent="0.25">
      <c r="B14" s="18"/>
      <c r="C14" s="16"/>
      <c r="D14" s="33"/>
      <c r="E14" s="16"/>
    </row>
    <row r="15" spans="2:5" x14ac:dyDescent="0.25">
      <c r="B15" s="18"/>
      <c r="C15" s="16"/>
      <c r="D15" s="33"/>
      <c r="E15" s="16"/>
    </row>
    <row r="16" spans="2:5" x14ac:dyDescent="0.25">
      <c r="B16" s="18"/>
      <c r="C16" s="16"/>
      <c r="D16" s="33"/>
      <c r="E16" s="16"/>
    </row>
    <row r="17" spans="2:9" x14ac:dyDescent="0.25">
      <c r="B17" s="18"/>
      <c r="C17" s="16"/>
      <c r="D17" s="33"/>
      <c r="E17" s="16"/>
    </row>
    <row r="18" spans="2:9" x14ac:dyDescent="0.25">
      <c r="B18" s="18"/>
      <c r="C18" s="16"/>
      <c r="D18" s="33"/>
      <c r="E18" s="16"/>
    </row>
    <row r="19" spans="2:9" x14ac:dyDescent="0.25">
      <c r="B19" s="18"/>
      <c r="C19" s="16"/>
      <c r="D19" s="16"/>
      <c r="E19" s="16"/>
    </row>
    <row r="20" spans="2:9" x14ac:dyDescent="0.25">
      <c r="B20" s="18"/>
      <c r="C20" s="16"/>
      <c r="D20" s="16"/>
      <c r="E20" s="16"/>
    </row>
    <row r="21" spans="2:9" x14ac:dyDescent="0.25">
      <c r="B21" s="18"/>
      <c r="C21" s="16"/>
      <c r="D21" s="16"/>
      <c r="E21" s="16"/>
    </row>
    <row r="22" spans="2:9" x14ac:dyDescent="0.25">
      <c r="B22" s="18"/>
      <c r="C22" s="16"/>
      <c r="D22" s="16"/>
      <c r="E22" s="16"/>
    </row>
    <row r="23" spans="2:9" x14ac:dyDescent="0.25">
      <c r="B23" s="18"/>
      <c r="C23" s="16"/>
      <c r="D23" s="16"/>
      <c r="E23" s="16"/>
    </row>
    <row r="24" spans="2:9" x14ac:dyDescent="0.25">
      <c r="B24" s="18"/>
      <c r="C24" s="16"/>
      <c r="D24" s="16"/>
      <c r="E24" s="16"/>
    </row>
    <row r="25" spans="2:9" x14ac:dyDescent="0.25">
      <c r="B25" s="18"/>
      <c r="C25" s="16"/>
      <c r="D25" s="16"/>
      <c r="E25" s="16"/>
    </row>
    <row r="26" spans="2:9" x14ac:dyDescent="0.25">
      <c r="B26" s="18"/>
      <c r="C26" s="16"/>
      <c r="D26" s="16"/>
      <c r="E26" s="16"/>
    </row>
    <row r="27" spans="2:9" x14ac:dyDescent="0.25">
      <c r="C27" s="16"/>
      <c r="D27" s="16"/>
      <c r="E27" s="16"/>
    </row>
    <row r="28" spans="2:9" x14ac:dyDescent="0.25">
      <c r="C28" s="16"/>
      <c r="D28" s="16"/>
      <c r="E28" s="16"/>
    </row>
    <row r="29" spans="2:9" x14ac:dyDescent="0.25">
      <c r="C29" s="33"/>
      <c r="D29" s="33"/>
      <c r="E29" s="33"/>
      <c r="G29" s="18"/>
      <c r="H29" s="19"/>
      <c r="I29" s="16"/>
    </row>
    <row r="30" spans="2:9" x14ac:dyDescent="0.25">
      <c r="C30" s="33"/>
      <c r="D30" s="33"/>
      <c r="E30" s="33"/>
      <c r="G30" s="18"/>
      <c r="H30" s="19"/>
      <c r="I30" s="16"/>
    </row>
    <row r="31" spans="2:9" x14ac:dyDescent="0.25">
      <c r="C31" s="33"/>
      <c r="D31" s="33"/>
      <c r="E31" s="33"/>
      <c r="F31" s="16"/>
      <c r="G31" s="18"/>
      <c r="H31" s="19"/>
      <c r="I31" s="16"/>
    </row>
    <row r="32" spans="2:9" x14ac:dyDescent="0.25">
      <c r="C32" s="33"/>
      <c r="D32" s="33"/>
      <c r="E32" s="33"/>
      <c r="F32" s="16"/>
      <c r="G32" s="18"/>
      <c r="H32" s="19"/>
      <c r="I32" s="16"/>
    </row>
    <row r="33" spans="2:9" x14ac:dyDescent="0.25">
      <c r="C33" s="33"/>
      <c r="D33" s="33"/>
      <c r="E33" s="33"/>
      <c r="F33" s="16"/>
      <c r="G33" s="18"/>
      <c r="H33" s="19"/>
      <c r="I33" s="16"/>
    </row>
    <row r="34" spans="2:9" x14ac:dyDescent="0.25">
      <c r="C34" s="33"/>
      <c r="D34" s="33"/>
      <c r="E34" s="33"/>
      <c r="F34" s="16"/>
      <c r="G34" s="18"/>
      <c r="H34" s="19"/>
      <c r="I34" s="16"/>
    </row>
    <row r="35" spans="2:9" x14ac:dyDescent="0.25">
      <c r="C35" s="33"/>
      <c r="D35" s="33"/>
      <c r="E35" s="33"/>
      <c r="F35" s="16"/>
      <c r="G35" s="18"/>
      <c r="H35" s="19"/>
      <c r="I35" s="16"/>
    </row>
    <row r="36" spans="2:9" x14ac:dyDescent="0.25">
      <c r="C36" s="33"/>
      <c r="D36" s="33"/>
      <c r="E36" s="33"/>
      <c r="F36" s="16"/>
      <c r="G36" s="18"/>
      <c r="H36" s="19"/>
      <c r="I36" s="16"/>
    </row>
    <row r="37" spans="2:9" x14ac:dyDescent="0.25">
      <c r="C37" s="33"/>
      <c r="D37" s="33"/>
      <c r="E37" s="33"/>
      <c r="F37" s="16"/>
      <c r="G37" s="18"/>
      <c r="H37" s="19"/>
      <c r="I37" s="16"/>
    </row>
    <row r="38" spans="2:9" x14ac:dyDescent="0.25">
      <c r="F38" s="16"/>
      <c r="G38" s="18"/>
      <c r="H38" s="19"/>
      <c r="I38" s="16"/>
    </row>
    <row r="42" spans="2:9" x14ac:dyDescent="0.25">
      <c r="B42" s="18"/>
      <c r="C42" s="19"/>
      <c r="D42" s="16"/>
      <c r="E42" s="16"/>
      <c r="F42" s="16"/>
      <c r="G42" s="18"/>
      <c r="H42" s="19"/>
      <c r="I42" s="16"/>
    </row>
    <row r="43" spans="2:9" x14ac:dyDescent="0.25">
      <c r="B43" s="18"/>
      <c r="C43" s="19"/>
      <c r="D43" s="16"/>
      <c r="E43" s="16"/>
      <c r="F43" s="16"/>
      <c r="G43" s="18"/>
      <c r="H43" s="19"/>
      <c r="I43" s="16"/>
    </row>
    <row r="44" spans="2:9" x14ac:dyDescent="0.25">
      <c r="B44" s="18"/>
      <c r="C44" s="19"/>
      <c r="D44" s="16"/>
      <c r="E44" s="16"/>
      <c r="F44" s="16"/>
      <c r="G44" s="18"/>
      <c r="H44" s="19"/>
      <c r="I44" s="16"/>
    </row>
    <row r="45" spans="2:9" x14ac:dyDescent="0.25">
      <c r="B45" s="18"/>
      <c r="C45" s="19"/>
      <c r="D45" s="16"/>
      <c r="E45" s="16"/>
      <c r="F45" s="16"/>
      <c r="G45" s="18"/>
      <c r="H45" s="19"/>
      <c r="I45" s="16"/>
    </row>
    <row r="46" spans="2:9" x14ac:dyDescent="0.25">
      <c r="B46" s="18"/>
      <c r="C46" s="19"/>
      <c r="D46" s="16"/>
      <c r="E46" s="16"/>
      <c r="F46" s="16"/>
      <c r="G46" s="18"/>
      <c r="H46" s="19"/>
      <c r="I46" s="16"/>
    </row>
    <row r="47" spans="2:9" x14ac:dyDescent="0.25">
      <c r="B47" s="18"/>
      <c r="C47" s="19"/>
      <c r="D47" s="16"/>
      <c r="E47" s="16"/>
      <c r="F47" s="16"/>
      <c r="G47" s="18"/>
      <c r="H47" s="19"/>
      <c r="I47" s="16"/>
    </row>
    <row r="48" spans="2:9" x14ac:dyDescent="0.25">
      <c r="B48" s="18"/>
      <c r="C48" s="19"/>
      <c r="D48" s="16"/>
      <c r="E48" s="16"/>
      <c r="F48" s="16"/>
      <c r="G48" s="18"/>
      <c r="H48" s="19"/>
      <c r="I48" s="16"/>
    </row>
    <row r="49" spans="2:9" x14ac:dyDescent="0.25">
      <c r="B49" s="18"/>
      <c r="C49" s="19"/>
      <c r="D49" s="16"/>
      <c r="E49" s="16"/>
      <c r="F49" s="16"/>
      <c r="G49" s="18"/>
      <c r="H49" s="19"/>
      <c r="I49" s="16"/>
    </row>
    <row r="50" spans="2:9" x14ac:dyDescent="0.25">
      <c r="B50" s="18"/>
      <c r="C50" s="19"/>
      <c r="D50" s="16"/>
      <c r="E50" s="16"/>
      <c r="F50" s="16"/>
      <c r="G50" s="18"/>
      <c r="H50" s="19"/>
      <c r="I50" s="16"/>
    </row>
    <row r="51" spans="2:9" x14ac:dyDescent="0.25">
      <c r="B51" s="18"/>
      <c r="C51" s="19"/>
      <c r="D51" s="16"/>
      <c r="E51" s="16"/>
      <c r="F51" s="16"/>
      <c r="G51" s="18"/>
      <c r="H51" s="19"/>
      <c r="I51" s="16"/>
    </row>
    <row r="52" spans="2:9" x14ac:dyDescent="0.25">
      <c r="B52" s="18"/>
      <c r="C52" s="19"/>
      <c r="D52" s="16"/>
      <c r="E52" s="16"/>
      <c r="F52" s="16"/>
      <c r="G52" s="18"/>
      <c r="H52" s="19"/>
      <c r="I52" s="16"/>
    </row>
    <row r="53" spans="2:9" x14ac:dyDescent="0.25">
      <c r="B53" s="18"/>
      <c r="C53" s="19"/>
      <c r="D53" s="16"/>
      <c r="E53" s="16"/>
      <c r="F53" s="16"/>
      <c r="G53" s="18"/>
      <c r="H53" s="19"/>
      <c r="I53" s="16"/>
    </row>
    <row r="54" spans="2:9" x14ac:dyDescent="0.25">
      <c r="B54" s="18"/>
      <c r="C54" s="19"/>
      <c r="D54" s="16"/>
      <c r="E54" s="16"/>
      <c r="F54" s="16"/>
      <c r="G54" s="18"/>
      <c r="H54" s="19"/>
      <c r="I54" s="16"/>
    </row>
    <row r="55" spans="2:9" x14ac:dyDescent="0.25">
      <c r="B55" s="18"/>
      <c r="C55" s="19"/>
      <c r="D55" s="16"/>
      <c r="E55" s="16"/>
      <c r="F55" s="16"/>
      <c r="G55" s="18"/>
      <c r="H55" s="19"/>
      <c r="I55" s="16"/>
    </row>
    <row r="56" spans="2:9" x14ac:dyDescent="0.25">
      <c r="B56" s="18"/>
      <c r="C56" s="19"/>
      <c r="D56" s="16"/>
      <c r="E56" s="16"/>
      <c r="F56" s="16"/>
      <c r="G56" s="18"/>
      <c r="H56" s="19"/>
      <c r="I56" s="16"/>
    </row>
    <row r="57" spans="2:9" x14ac:dyDescent="0.25">
      <c r="B57" s="18"/>
      <c r="C57" s="19"/>
      <c r="D57" s="16"/>
      <c r="E57" s="16"/>
      <c r="F57" s="16"/>
      <c r="G57" s="18"/>
      <c r="H57" s="19"/>
      <c r="I57" s="16"/>
    </row>
    <row r="58" spans="2:9" x14ac:dyDescent="0.25">
      <c r="B58" s="18"/>
      <c r="C58" s="19"/>
      <c r="D58" s="16"/>
      <c r="E58" s="16"/>
      <c r="F58" s="16"/>
      <c r="G58" s="18"/>
      <c r="H58" s="19"/>
      <c r="I58" s="16"/>
    </row>
    <row r="59" spans="2:9" x14ac:dyDescent="0.25">
      <c r="B59" s="18"/>
      <c r="C59" s="19"/>
      <c r="D59" s="16"/>
      <c r="E59" s="16"/>
      <c r="F59" s="16"/>
      <c r="G59" s="18"/>
      <c r="H59" s="19"/>
      <c r="I59" s="16"/>
    </row>
    <row r="60" spans="2:9" x14ac:dyDescent="0.25">
      <c r="B60" s="18"/>
      <c r="C60" s="19"/>
      <c r="D60" s="16"/>
      <c r="E60" s="16"/>
      <c r="F60" s="16"/>
      <c r="G60" s="18"/>
      <c r="H60" s="19"/>
      <c r="I60" s="16"/>
    </row>
    <row r="61" spans="2:9" x14ac:dyDescent="0.25">
      <c r="B61" s="18"/>
      <c r="C61" s="19"/>
      <c r="D61" s="16"/>
      <c r="E61" s="16"/>
      <c r="F61" s="16"/>
      <c r="G61" s="18"/>
      <c r="H61" s="19"/>
      <c r="I61" s="16"/>
    </row>
  </sheetData>
  <sheetProtection selectLockedCells="1" autoFilter="0" pivotTables="0" selectUnlockedCells="1"/>
  <conditionalFormatting sqref="C55">
    <cfRule type="dataBar" priority="14">
      <dataBar showValue="0">
        <cfvo type="min"/>
        <cfvo type="max"/>
        <color rgb="FF638EC6"/>
      </dataBar>
      <extLst>
        <ext xmlns:x14="http://schemas.microsoft.com/office/spreadsheetml/2009/9/main" uri="{B025F937-C7B1-47D3-B67F-A62EFF666E3E}">
          <x14:id>{D0D9013B-5F4D-48AC-B521-1D7E02D02DF8}</x14:id>
        </ext>
      </extLst>
    </cfRule>
  </conditionalFormatting>
  <conditionalFormatting sqref="C56:C57">
    <cfRule type="dataBar" priority="13">
      <dataBar showValue="0">
        <cfvo type="min"/>
        <cfvo type="max"/>
        <color rgb="FF638EC6"/>
      </dataBar>
      <extLst>
        <ext xmlns:x14="http://schemas.microsoft.com/office/spreadsheetml/2009/9/main" uri="{B025F937-C7B1-47D3-B67F-A62EFF666E3E}">
          <x14:id>{B232E92E-5B17-4EFE-9E5D-BA45E701CDDA}</x14:id>
        </ext>
      </extLst>
    </cfRule>
  </conditionalFormatting>
  <conditionalFormatting sqref="C58:C59">
    <cfRule type="dataBar" priority="12">
      <dataBar showValue="0">
        <cfvo type="min"/>
        <cfvo type="max"/>
        <color rgb="FF638EC6"/>
      </dataBar>
      <extLst>
        <ext xmlns:x14="http://schemas.microsoft.com/office/spreadsheetml/2009/9/main" uri="{B025F937-C7B1-47D3-B67F-A62EFF666E3E}">
          <x14:id>{A45A6118-CF76-43A0-8E5D-7188C2548974}</x14:id>
        </ext>
      </extLst>
    </cfRule>
  </conditionalFormatting>
  <conditionalFormatting sqref="C60:C61">
    <cfRule type="dataBar" priority="11">
      <dataBar showValue="0">
        <cfvo type="min"/>
        <cfvo type="max"/>
        <color rgb="FF638EC6"/>
      </dataBar>
      <extLst>
        <ext xmlns:x14="http://schemas.microsoft.com/office/spreadsheetml/2009/9/main" uri="{B025F937-C7B1-47D3-B67F-A62EFF666E3E}">
          <x14:id>{DA1E32C8-CEE5-459F-8CE3-A6F5D40ACEAB}</x14:id>
        </ext>
      </extLst>
    </cfRule>
  </conditionalFormatting>
  <conditionalFormatting sqref="H55">
    <cfRule type="dataBar" priority="4">
      <dataBar showValue="0">
        <cfvo type="min"/>
        <cfvo type="max"/>
        <color rgb="FF638EC6"/>
      </dataBar>
      <extLst>
        <ext xmlns:x14="http://schemas.microsoft.com/office/spreadsheetml/2009/9/main" uri="{B025F937-C7B1-47D3-B67F-A62EFF666E3E}">
          <x14:id>{5790017C-2A3D-409A-A137-15A9F1C0A80F}</x14:id>
        </ext>
      </extLst>
    </cfRule>
  </conditionalFormatting>
  <conditionalFormatting sqref="H56:H57">
    <cfRule type="dataBar" priority="3">
      <dataBar showValue="0">
        <cfvo type="min"/>
        <cfvo type="max"/>
        <color rgb="FF638EC6"/>
      </dataBar>
      <extLst>
        <ext xmlns:x14="http://schemas.microsoft.com/office/spreadsheetml/2009/9/main" uri="{B025F937-C7B1-47D3-B67F-A62EFF666E3E}">
          <x14:id>{25FD0566-47CF-4177-AEC9-2C0BFBE488B2}</x14:id>
        </ext>
      </extLst>
    </cfRule>
  </conditionalFormatting>
  <conditionalFormatting sqref="H58:H59">
    <cfRule type="dataBar" priority="2">
      <dataBar showValue="0">
        <cfvo type="min"/>
        <cfvo type="max"/>
        <color rgb="FF638EC6"/>
      </dataBar>
      <extLst>
        <ext xmlns:x14="http://schemas.microsoft.com/office/spreadsheetml/2009/9/main" uri="{B025F937-C7B1-47D3-B67F-A62EFF666E3E}">
          <x14:id>{5D97130E-1869-488C-B07F-72A85752F369}</x14:id>
        </ext>
      </extLst>
    </cfRule>
  </conditionalFormatting>
  <conditionalFormatting sqref="H60:H61">
    <cfRule type="dataBar" priority="1">
      <dataBar showValue="0">
        <cfvo type="min"/>
        <cfvo type="max"/>
        <color rgb="FF638EC6"/>
      </dataBar>
      <extLst>
        <ext xmlns:x14="http://schemas.microsoft.com/office/spreadsheetml/2009/9/main" uri="{B025F937-C7B1-47D3-B67F-A62EFF666E3E}">
          <x14:id>{9350780A-4529-4AED-8131-F3C22A916FC6}</x14:id>
        </ext>
      </extLst>
    </cfRule>
  </conditionalFormatting>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dataBar" id="{D0D9013B-5F4D-48AC-B521-1D7E02D02DF8}">
            <x14:dataBar minLength="0" maxLength="100" gradient="0">
              <x14:cfvo type="autoMin"/>
              <x14:cfvo type="autoMax"/>
              <x14:negativeFillColor rgb="FFFF0000"/>
              <x14:axisColor rgb="FF000000"/>
            </x14:dataBar>
          </x14:cfRule>
          <xm:sqref>C55</xm:sqref>
        </x14:conditionalFormatting>
        <x14:conditionalFormatting xmlns:xm="http://schemas.microsoft.com/office/excel/2006/main">
          <x14:cfRule type="dataBar" id="{B232E92E-5B17-4EFE-9E5D-BA45E701CDDA}">
            <x14:dataBar minLength="0" maxLength="100" gradient="0">
              <x14:cfvo type="autoMin"/>
              <x14:cfvo type="autoMax"/>
              <x14:negativeFillColor rgb="FFFF0000"/>
              <x14:axisColor rgb="FF000000"/>
            </x14:dataBar>
          </x14:cfRule>
          <xm:sqref>C56:C57</xm:sqref>
        </x14:conditionalFormatting>
        <x14:conditionalFormatting xmlns:xm="http://schemas.microsoft.com/office/excel/2006/main">
          <x14:cfRule type="dataBar" id="{A45A6118-CF76-43A0-8E5D-7188C2548974}">
            <x14:dataBar minLength="0" maxLength="100" gradient="0">
              <x14:cfvo type="autoMin"/>
              <x14:cfvo type="autoMax"/>
              <x14:negativeFillColor rgb="FFFF0000"/>
              <x14:axisColor rgb="FF000000"/>
            </x14:dataBar>
          </x14:cfRule>
          <xm:sqref>C58:C59</xm:sqref>
        </x14:conditionalFormatting>
        <x14:conditionalFormatting xmlns:xm="http://schemas.microsoft.com/office/excel/2006/main">
          <x14:cfRule type="dataBar" id="{DA1E32C8-CEE5-459F-8CE3-A6F5D40ACEAB}">
            <x14:dataBar minLength="0" maxLength="100" gradient="0">
              <x14:cfvo type="autoMin"/>
              <x14:cfvo type="autoMax"/>
              <x14:negativeFillColor rgb="FFFF0000"/>
              <x14:axisColor rgb="FF000000"/>
            </x14:dataBar>
          </x14:cfRule>
          <xm:sqref>C60:C61</xm:sqref>
        </x14:conditionalFormatting>
        <x14:conditionalFormatting xmlns:xm="http://schemas.microsoft.com/office/excel/2006/main">
          <x14:cfRule type="dataBar" id="{5790017C-2A3D-409A-A137-15A9F1C0A80F}">
            <x14:dataBar minLength="0" maxLength="100" gradient="0">
              <x14:cfvo type="autoMin"/>
              <x14:cfvo type="autoMax"/>
              <x14:negativeFillColor rgb="FFFF0000"/>
              <x14:axisColor rgb="FF000000"/>
            </x14:dataBar>
          </x14:cfRule>
          <xm:sqref>H55</xm:sqref>
        </x14:conditionalFormatting>
        <x14:conditionalFormatting xmlns:xm="http://schemas.microsoft.com/office/excel/2006/main">
          <x14:cfRule type="dataBar" id="{25FD0566-47CF-4177-AEC9-2C0BFBE488B2}">
            <x14:dataBar minLength="0" maxLength="100" gradient="0">
              <x14:cfvo type="autoMin"/>
              <x14:cfvo type="autoMax"/>
              <x14:negativeFillColor rgb="FFFF0000"/>
              <x14:axisColor rgb="FF000000"/>
            </x14:dataBar>
          </x14:cfRule>
          <xm:sqref>H56:H57</xm:sqref>
        </x14:conditionalFormatting>
        <x14:conditionalFormatting xmlns:xm="http://schemas.microsoft.com/office/excel/2006/main">
          <x14:cfRule type="dataBar" id="{5D97130E-1869-488C-B07F-72A85752F369}">
            <x14:dataBar minLength="0" maxLength="100" gradient="0">
              <x14:cfvo type="autoMin"/>
              <x14:cfvo type="autoMax"/>
              <x14:negativeFillColor rgb="FFFF0000"/>
              <x14:axisColor rgb="FF000000"/>
            </x14:dataBar>
          </x14:cfRule>
          <xm:sqref>H58:H59</xm:sqref>
        </x14:conditionalFormatting>
        <x14:conditionalFormatting xmlns:xm="http://schemas.microsoft.com/office/excel/2006/main">
          <x14:cfRule type="dataBar" id="{9350780A-4529-4AED-8131-F3C22A916FC6}">
            <x14:dataBar minLength="0" maxLength="100" gradient="0">
              <x14:cfvo type="autoMin"/>
              <x14:cfvo type="autoMax"/>
              <x14:negativeFillColor rgb="FFFF0000"/>
              <x14:axisColor rgb="FF000000"/>
            </x14:dataBar>
          </x14:cfRule>
          <xm:sqref>H60:H61</xm:sqref>
        </x14:conditionalFormatting>
      </x14:conditionalFormattings>
    </ex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5F3F9-D126-46E1-B5E4-1B6BCEB9AF58}">
  <sheetPr codeName="Tabelle21">
    <pageSetUpPr autoPageBreaks="0"/>
  </sheetPr>
  <dimension ref="A1:K1033"/>
  <sheetViews>
    <sheetView showRowColHeaders="0" workbookViewId="0">
      <pane ySplit="3" topLeftCell="A4" activePane="bottomLeft" state="frozen"/>
      <selection pane="bottomLeft" sqref="A1:XFD1048576"/>
    </sheetView>
  </sheetViews>
  <sheetFormatPr baseColWidth="10" defaultRowHeight="30" customHeight="1" x14ac:dyDescent="0.25"/>
  <cols>
    <col min="1" max="1" width="48.5703125" style="23" bestFit="1" customWidth="1"/>
    <col min="2" max="2" width="54.28515625" style="23" customWidth="1"/>
    <col min="3" max="3" width="22.5703125" style="24" bestFit="1" customWidth="1"/>
    <col min="4" max="4" width="14.140625" style="17" customWidth="1"/>
    <col min="5" max="5" width="48.5703125" style="23" customWidth="1"/>
    <col min="6" max="6" width="54.28515625" style="23" customWidth="1"/>
    <col min="7" max="7" width="22.5703125" style="26" bestFit="1" customWidth="1"/>
    <col min="8" max="8" width="9.140625" style="17" bestFit="1" customWidth="1"/>
    <col min="9" max="9" width="6.85546875" style="17" bestFit="1" customWidth="1"/>
    <col min="10" max="10" width="17.42578125" style="17" bestFit="1" customWidth="1"/>
    <col min="11" max="11" width="6.42578125" style="17" bestFit="1" customWidth="1"/>
    <col min="12" max="16384" width="11.42578125" style="17"/>
  </cols>
  <sheetData>
    <row r="1" spans="1:11" ht="66.75" customHeight="1" x14ac:dyDescent="0.25">
      <c r="A1" s="73"/>
      <c r="B1" s="73"/>
      <c r="C1" s="73"/>
      <c r="D1" s="73"/>
      <c r="E1" s="73"/>
      <c r="F1" s="73"/>
      <c r="G1" s="73"/>
      <c r="H1" s="74"/>
      <c r="I1" s="74"/>
      <c r="J1" s="74"/>
      <c r="K1" s="74"/>
    </row>
    <row r="2" spans="1:11" ht="30.75" customHeight="1" x14ac:dyDescent="0.25">
      <c r="A2" s="75"/>
      <c r="B2" s="75"/>
      <c r="C2" s="75"/>
      <c r="D2" s="74"/>
      <c r="E2" s="75"/>
      <c r="F2" s="75"/>
      <c r="G2" s="75"/>
      <c r="H2" s="74"/>
      <c r="I2" s="74"/>
      <c r="J2" s="74"/>
      <c r="K2" s="74"/>
    </row>
    <row r="3" spans="1:11" ht="15" x14ac:dyDescent="0.25">
      <c r="A3" s="76"/>
      <c r="B3" s="76"/>
      <c r="C3" s="25"/>
      <c r="D3" s="77"/>
      <c r="E3" s="76"/>
      <c r="F3" s="76"/>
      <c r="G3" s="25"/>
      <c r="H3" s="77"/>
      <c r="I3" s="77"/>
      <c r="J3" s="22"/>
      <c r="K3" s="77"/>
    </row>
    <row r="4" spans="1:11" ht="30" customHeight="1" x14ac:dyDescent="0.25">
      <c r="A4" s="78"/>
      <c r="B4" s="79"/>
      <c r="C4" s="29"/>
      <c r="D4" s="74"/>
      <c r="E4" s="79"/>
      <c r="F4" s="79"/>
      <c r="G4" s="30"/>
      <c r="H4" s="74"/>
      <c r="I4" s="74"/>
      <c r="J4" s="80"/>
      <c r="K4" s="74"/>
    </row>
    <row r="5" spans="1:11" ht="30" customHeight="1" x14ac:dyDescent="0.25">
      <c r="A5" s="78"/>
      <c r="B5" s="79"/>
      <c r="C5" s="29"/>
      <c r="D5" s="74"/>
      <c r="E5" s="79"/>
      <c r="F5" s="79"/>
      <c r="G5" s="30"/>
      <c r="H5" s="74"/>
      <c r="I5" s="74"/>
      <c r="J5" s="31"/>
      <c r="K5" s="74"/>
    </row>
    <row r="6" spans="1:11" ht="30" customHeight="1" x14ac:dyDescent="0.25">
      <c r="A6" s="78"/>
      <c r="B6" s="79"/>
      <c r="C6" s="29"/>
      <c r="D6" s="74"/>
      <c r="E6" s="79"/>
      <c r="F6" s="79"/>
      <c r="G6" s="30"/>
      <c r="H6" s="74"/>
      <c r="I6" s="74"/>
      <c r="J6" s="31"/>
      <c r="K6" s="74"/>
    </row>
    <row r="7" spans="1:11" ht="30" customHeight="1" x14ac:dyDescent="0.25">
      <c r="A7" s="78"/>
      <c r="B7" s="79"/>
      <c r="C7" s="29"/>
      <c r="D7" s="74"/>
      <c r="E7" s="79"/>
      <c r="F7" s="79"/>
      <c r="G7" s="30"/>
      <c r="H7" s="74"/>
      <c r="I7" s="74"/>
      <c r="J7" s="80"/>
      <c r="K7" s="74"/>
    </row>
    <row r="8" spans="1:11" ht="30" customHeight="1" x14ac:dyDescent="0.25">
      <c r="A8" s="78"/>
      <c r="B8" s="79"/>
      <c r="C8" s="29"/>
      <c r="D8" s="74"/>
      <c r="E8" s="79"/>
      <c r="F8" s="79"/>
      <c r="G8" s="30"/>
      <c r="H8" s="74"/>
      <c r="I8" s="74"/>
      <c r="J8" s="31"/>
      <c r="K8" s="74"/>
    </row>
    <row r="9" spans="1:11" ht="30" customHeight="1" x14ac:dyDescent="0.25">
      <c r="A9" s="78"/>
      <c r="B9" s="81"/>
      <c r="C9" s="29"/>
      <c r="D9" s="74"/>
      <c r="E9" s="79"/>
      <c r="F9" s="79"/>
      <c r="G9" s="30"/>
      <c r="H9" s="74"/>
      <c r="I9" s="74"/>
      <c r="J9" s="31"/>
      <c r="K9" s="74"/>
    </row>
    <row r="10" spans="1:11" ht="30" customHeight="1" x14ac:dyDescent="0.25">
      <c r="A10" s="78"/>
      <c r="B10" s="79"/>
      <c r="C10" s="29"/>
      <c r="D10" s="74"/>
      <c r="E10" s="79"/>
      <c r="F10" s="79"/>
      <c r="G10" s="30"/>
      <c r="H10" s="74"/>
      <c r="I10" s="74"/>
      <c r="J10" s="31"/>
      <c r="K10" s="74"/>
    </row>
    <row r="11" spans="1:11" ht="30" customHeight="1" x14ac:dyDescent="0.25">
      <c r="A11" s="78"/>
      <c r="B11" s="79"/>
      <c r="C11" s="29"/>
      <c r="D11" s="74"/>
      <c r="E11" s="79"/>
      <c r="F11" s="79"/>
      <c r="G11" s="30"/>
      <c r="H11" s="74"/>
      <c r="I11" s="74"/>
      <c r="J11" s="31"/>
      <c r="K11" s="74"/>
    </row>
    <row r="12" spans="1:11" ht="30" customHeight="1" x14ac:dyDescent="0.25">
      <c r="A12" s="78"/>
      <c r="B12" s="79"/>
      <c r="C12" s="29"/>
      <c r="D12" s="74"/>
      <c r="E12" s="79"/>
      <c r="F12" s="79"/>
      <c r="G12" s="30"/>
      <c r="H12" s="74"/>
      <c r="I12" s="74"/>
      <c r="J12" s="80"/>
      <c r="K12" s="74"/>
    </row>
    <row r="13" spans="1:11" ht="30" customHeight="1" x14ac:dyDescent="0.25">
      <c r="A13" s="78"/>
      <c r="B13" s="79"/>
      <c r="C13" s="29"/>
      <c r="D13" s="74"/>
      <c r="E13" s="79"/>
      <c r="F13" s="79"/>
      <c r="G13" s="30"/>
      <c r="H13" s="74"/>
      <c r="I13" s="74"/>
      <c r="J13" s="80"/>
      <c r="K13" s="74"/>
    </row>
    <row r="14" spans="1:11" ht="30" customHeight="1" x14ac:dyDescent="0.25">
      <c r="A14" s="78"/>
      <c r="B14" s="79"/>
      <c r="C14" s="29"/>
      <c r="D14" s="74"/>
      <c r="E14" s="79"/>
      <c r="F14" s="79"/>
      <c r="G14" s="30"/>
      <c r="H14" s="74"/>
      <c r="I14" s="74"/>
      <c r="J14" s="80"/>
      <c r="K14" s="74"/>
    </row>
    <row r="15" spans="1:11" ht="30" customHeight="1" x14ac:dyDescent="0.25">
      <c r="A15" s="78"/>
      <c r="B15" s="79"/>
      <c r="C15" s="29"/>
      <c r="D15" s="74"/>
      <c r="E15" s="79"/>
      <c r="F15" s="79"/>
      <c r="G15" s="30"/>
      <c r="H15" s="74"/>
      <c r="I15" s="74"/>
      <c r="J15" s="31"/>
      <c r="K15" s="74"/>
    </row>
    <row r="16" spans="1:11" ht="30" customHeight="1" x14ac:dyDescent="0.25">
      <c r="A16" s="78"/>
      <c r="B16" s="79"/>
      <c r="C16" s="29"/>
      <c r="D16" s="74"/>
      <c r="E16" s="79"/>
      <c r="F16" s="79"/>
      <c r="G16" s="30"/>
      <c r="H16" s="74"/>
      <c r="I16" s="74"/>
      <c r="J16" s="31"/>
      <c r="K16" s="74"/>
    </row>
    <row r="17" spans="1:11" ht="30" customHeight="1" x14ac:dyDescent="0.25">
      <c r="A17" s="78"/>
      <c r="B17" s="79"/>
      <c r="C17" s="29"/>
      <c r="D17" s="74"/>
      <c r="E17" s="79"/>
      <c r="F17" s="79"/>
      <c r="G17" s="30"/>
      <c r="H17" s="74"/>
      <c r="I17" s="74"/>
      <c r="J17" s="80"/>
      <c r="K17" s="74"/>
    </row>
    <row r="18" spans="1:11" ht="30" customHeight="1" x14ac:dyDescent="0.25">
      <c r="A18" s="78"/>
      <c r="B18" s="79"/>
      <c r="C18" s="29"/>
      <c r="D18" s="74"/>
      <c r="E18" s="79"/>
      <c r="F18" s="79"/>
      <c r="G18" s="30"/>
      <c r="H18" s="74"/>
      <c r="I18" s="74"/>
      <c r="J18" s="31"/>
      <c r="K18" s="74"/>
    </row>
    <row r="19" spans="1:11" ht="30" customHeight="1" x14ac:dyDescent="0.25">
      <c r="A19" s="78"/>
      <c r="B19" s="79"/>
      <c r="C19" s="29"/>
      <c r="D19" s="74"/>
      <c r="E19" s="79"/>
      <c r="F19" s="79"/>
      <c r="G19" s="30"/>
      <c r="H19" s="74"/>
      <c r="I19" s="74"/>
      <c r="J19" s="80"/>
      <c r="K19" s="74"/>
    </row>
    <row r="20" spans="1:11" ht="30" customHeight="1" x14ac:dyDescent="0.25">
      <c r="A20" s="78"/>
      <c r="B20" s="79"/>
      <c r="C20" s="29"/>
      <c r="D20" s="74"/>
      <c r="E20" s="79"/>
      <c r="F20" s="79"/>
      <c r="G20" s="30"/>
      <c r="H20" s="74"/>
      <c r="I20" s="74"/>
      <c r="J20" s="31"/>
      <c r="K20" s="74"/>
    </row>
    <row r="21" spans="1:11" ht="30" customHeight="1" x14ac:dyDescent="0.25">
      <c r="A21" s="78"/>
      <c r="B21" s="79"/>
      <c r="C21" s="29"/>
      <c r="D21" s="74"/>
      <c r="E21" s="79"/>
      <c r="F21" s="79"/>
      <c r="G21" s="30"/>
      <c r="H21" s="74"/>
      <c r="I21" s="74"/>
      <c r="J21" s="31"/>
      <c r="K21" s="74"/>
    </row>
    <row r="22" spans="1:11" ht="30" customHeight="1" x14ac:dyDescent="0.25">
      <c r="A22" s="78"/>
      <c r="B22" s="79"/>
      <c r="C22" s="29"/>
      <c r="D22" s="74"/>
      <c r="E22" s="79"/>
      <c r="F22" s="79"/>
      <c r="G22" s="30"/>
      <c r="H22" s="74"/>
      <c r="I22" s="74"/>
      <c r="J22" s="31"/>
      <c r="K22" s="74"/>
    </row>
    <row r="23" spans="1:11" ht="30" customHeight="1" x14ac:dyDescent="0.25">
      <c r="A23" s="78"/>
      <c r="B23" s="79"/>
      <c r="C23" s="29"/>
      <c r="D23" s="74"/>
      <c r="E23" s="79"/>
      <c r="F23" s="79"/>
      <c r="G23" s="30"/>
      <c r="H23" s="74"/>
      <c r="I23" s="74"/>
      <c r="J23" s="80"/>
      <c r="K23" s="74"/>
    </row>
    <row r="24" spans="1:11" ht="30" customHeight="1" x14ac:dyDescent="0.25">
      <c r="A24" s="78"/>
      <c r="B24" s="79"/>
      <c r="C24" s="29"/>
      <c r="D24" s="74"/>
      <c r="E24" s="79"/>
      <c r="F24" s="79"/>
      <c r="G24" s="30"/>
      <c r="H24" s="74"/>
      <c r="I24" s="74"/>
      <c r="J24" s="31"/>
      <c r="K24" s="74"/>
    </row>
    <row r="25" spans="1:11" ht="30" customHeight="1" x14ac:dyDescent="0.25">
      <c r="A25" s="78"/>
      <c r="B25" s="79"/>
      <c r="C25" s="29"/>
      <c r="D25" s="74"/>
      <c r="E25" s="79"/>
      <c r="F25" s="79"/>
      <c r="G25" s="30"/>
      <c r="H25" s="74"/>
      <c r="I25" s="74"/>
      <c r="J25" s="80"/>
      <c r="K25" s="74"/>
    </row>
    <row r="26" spans="1:11" ht="30" customHeight="1" x14ac:dyDescent="0.25">
      <c r="A26" s="78"/>
      <c r="B26" s="79"/>
      <c r="C26" s="29"/>
      <c r="D26" s="74"/>
      <c r="E26" s="79"/>
      <c r="F26" s="79"/>
      <c r="G26" s="30"/>
      <c r="H26" s="74"/>
      <c r="I26" s="74"/>
      <c r="J26" s="31"/>
      <c r="K26" s="74"/>
    </row>
    <row r="27" spans="1:11" ht="30" customHeight="1" x14ac:dyDescent="0.25">
      <c r="A27" s="78"/>
      <c r="B27" s="79"/>
      <c r="C27" s="29"/>
      <c r="D27" s="74"/>
      <c r="E27" s="79"/>
      <c r="F27" s="79"/>
      <c r="G27" s="30"/>
      <c r="H27" s="74"/>
      <c r="I27" s="74"/>
      <c r="J27" s="31"/>
      <c r="K27" s="74"/>
    </row>
    <row r="28" spans="1:11" ht="30" customHeight="1" x14ac:dyDescent="0.25">
      <c r="A28" s="78"/>
      <c r="B28" s="79"/>
      <c r="C28" s="29"/>
      <c r="D28" s="74"/>
      <c r="E28" s="79"/>
      <c r="F28" s="79"/>
      <c r="G28" s="30"/>
      <c r="H28" s="74"/>
      <c r="I28" s="74"/>
      <c r="J28" s="31"/>
      <c r="K28" s="74"/>
    </row>
    <row r="29" spans="1:11" ht="30" customHeight="1" x14ac:dyDescent="0.25">
      <c r="A29" s="78"/>
      <c r="B29" s="79"/>
      <c r="C29" s="29"/>
      <c r="D29" s="74"/>
      <c r="E29" s="79"/>
      <c r="F29" s="79"/>
      <c r="G29" s="30"/>
      <c r="H29" s="74"/>
      <c r="I29" s="74"/>
      <c r="J29" s="80"/>
      <c r="K29" s="74"/>
    </row>
    <row r="30" spans="1:11" ht="30" customHeight="1" x14ac:dyDescent="0.25">
      <c r="A30" s="78"/>
      <c r="B30" s="79"/>
      <c r="C30" s="29"/>
      <c r="D30" s="74"/>
      <c r="E30" s="79"/>
      <c r="F30" s="79"/>
      <c r="G30" s="30"/>
      <c r="H30" s="74"/>
      <c r="I30" s="74"/>
      <c r="J30" s="80"/>
      <c r="K30" s="74"/>
    </row>
    <row r="31" spans="1:11" ht="30" customHeight="1" x14ac:dyDescent="0.25">
      <c r="A31" s="78"/>
      <c r="B31" s="79"/>
      <c r="C31" s="29"/>
      <c r="D31" s="74"/>
      <c r="E31" s="79"/>
      <c r="F31" s="79"/>
      <c r="G31" s="28"/>
      <c r="H31" s="74"/>
      <c r="I31" s="74"/>
      <c r="J31" s="80"/>
      <c r="K31" s="74"/>
    </row>
    <row r="32" spans="1:11" ht="30" customHeight="1" x14ac:dyDescent="0.25">
      <c r="A32" s="78"/>
      <c r="B32" s="79"/>
      <c r="C32" s="29"/>
      <c r="D32" s="74"/>
      <c r="E32" s="79"/>
      <c r="F32" s="79"/>
      <c r="G32" s="28"/>
      <c r="H32" s="74"/>
      <c r="I32" s="74"/>
      <c r="J32" s="80"/>
      <c r="K32" s="74"/>
    </row>
    <row r="33" spans="1:11" ht="30" customHeight="1" x14ac:dyDescent="0.25">
      <c r="A33" s="78"/>
      <c r="B33" s="79"/>
      <c r="C33" s="29"/>
      <c r="D33" s="74"/>
      <c r="E33" s="79"/>
      <c r="F33" s="79"/>
      <c r="G33" s="28"/>
      <c r="H33" s="74"/>
      <c r="I33" s="74"/>
      <c r="J33" s="31"/>
      <c r="K33" s="74"/>
    </row>
    <row r="34" spans="1:11" ht="30" customHeight="1" x14ac:dyDescent="0.25">
      <c r="A34" s="78"/>
      <c r="B34" s="79"/>
      <c r="C34" s="29"/>
      <c r="D34" s="74"/>
      <c r="E34" s="79"/>
      <c r="F34" s="79"/>
      <c r="G34" s="28"/>
      <c r="H34" s="74"/>
      <c r="I34" s="74"/>
      <c r="J34" s="80"/>
      <c r="K34" s="74"/>
    </row>
    <row r="35" spans="1:11" ht="30" customHeight="1" x14ac:dyDescent="0.25">
      <c r="A35" s="78"/>
      <c r="B35" s="79"/>
      <c r="C35" s="29"/>
      <c r="D35" s="74"/>
      <c r="E35" s="79"/>
      <c r="F35" s="79"/>
      <c r="G35" s="28"/>
      <c r="H35" s="74"/>
      <c r="I35" s="74"/>
      <c r="J35" s="80"/>
      <c r="K35" s="74"/>
    </row>
    <row r="36" spans="1:11" ht="30" customHeight="1" x14ac:dyDescent="0.25">
      <c r="A36" s="78"/>
      <c r="B36" s="79"/>
      <c r="C36" s="29"/>
      <c r="D36" s="74"/>
      <c r="E36" s="79"/>
      <c r="F36" s="79"/>
      <c r="G36" s="28"/>
      <c r="H36" s="74"/>
      <c r="I36" s="74"/>
      <c r="J36" s="80"/>
      <c r="K36" s="74"/>
    </row>
    <row r="37" spans="1:11" ht="30" customHeight="1" x14ac:dyDescent="0.25">
      <c r="A37" s="78"/>
      <c r="B37" s="79"/>
      <c r="C37" s="29"/>
      <c r="D37" s="74"/>
      <c r="E37" s="79"/>
      <c r="F37" s="79"/>
      <c r="G37" s="28"/>
      <c r="H37" s="74"/>
      <c r="I37" s="74"/>
      <c r="J37" s="80"/>
      <c r="K37" s="74"/>
    </row>
    <row r="38" spans="1:11" ht="30" customHeight="1" x14ac:dyDescent="0.25">
      <c r="A38" s="78"/>
      <c r="B38" s="79"/>
      <c r="C38" s="29"/>
      <c r="D38" s="74"/>
      <c r="E38" s="79"/>
      <c r="F38" s="79"/>
      <c r="G38" s="28"/>
      <c r="H38" s="74"/>
      <c r="I38" s="74"/>
      <c r="J38" s="80"/>
      <c r="K38" s="74"/>
    </row>
    <row r="39" spans="1:11" ht="30" customHeight="1" x14ac:dyDescent="0.25">
      <c r="A39" s="78"/>
      <c r="B39" s="79"/>
      <c r="C39" s="27"/>
      <c r="D39" s="74"/>
      <c r="E39" s="79"/>
      <c r="F39" s="79"/>
      <c r="G39" s="28"/>
      <c r="H39" s="74"/>
      <c r="I39" s="74"/>
      <c r="J39" s="80"/>
      <c r="K39" s="74"/>
    </row>
    <row r="40" spans="1:11" ht="30" customHeight="1" x14ac:dyDescent="0.25">
      <c r="A40" s="78"/>
      <c r="B40" s="79"/>
      <c r="C40" s="27"/>
      <c r="D40" s="74"/>
      <c r="E40" s="79"/>
      <c r="F40" s="79"/>
      <c r="G40" s="28"/>
      <c r="H40" s="74"/>
      <c r="I40" s="74"/>
      <c r="J40" s="31"/>
      <c r="K40" s="74"/>
    </row>
    <row r="41" spans="1:11" ht="30" customHeight="1" x14ac:dyDescent="0.25">
      <c r="A41" s="78"/>
      <c r="B41" s="79"/>
      <c r="C41" s="27"/>
      <c r="D41" s="74"/>
      <c r="E41" s="79"/>
      <c r="F41" s="79"/>
      <c r="G41" s="28"/>
      <c r="H41" s="74"/>
      <c r="I41" s="74"/>
      <c r="J41" s="31"/>
      <c r="K41" s="74"/>
    </row>
    <row r="42" spans="1:11" ht="30" customHeight="1" x14ac:dyDescent="0.25">
      <c r="A42" s="78"/>
      <c r="B42" s="79"/>
      <c r="C42" s="27"/>
      <c r="D42" s="74"/>
      <c r="E42" s="79"/>
      <c r="F42" s="79"/>
      <c r="G42" s="28"/>
      <c r="H42" s="74"/>
      <c r="I42" s="74"/>
      <c r="J42" s="80"/>
      <c r="K42" s="74"/>
    </row>
    <row r="43" spans="1:11" ht="30" customHeight="1" x14ac:dyDescent="0.25">
      <c r="A43" s="78"/>
      <c r="B43" s="79"/>
      <c r="C43" s="27"/>
      <c r="D43" s="74"/>
      <c r="E43" s="79"/>
      <c r="F43" s="79"/>
      <c r="G43" s="28"/>
      <c r="H43" s="74"/>
      <c r="I43" s="74"/>
      <c r="J43" s="80"/>
      <c r="K43" s="74"/>
    </row>
    <row r="44" spans="1:11" ht="30" customHeight="1" x14ac:dyDescent="0.25">
      <c r="A44" s="78"/>
      <c r="B44" s="79"/>
      <c r="C44" s="27"/>
      <c r="D44" s="74"/>
      <c r="E44" s="79"/>
      <c r="F44" s="79"/>
      <c r="G44" s="28"/>
      <c r="H44" s="74"/>
      <c r="I44" s="74"/>
      <c r="J44" s="31"/>
      <c r="K44" s="74"/>
    </row>
    <row r="45" spans="1:11" ht="30" customHeight="1" x14ac:dyDescent="0.25">
      <c r="A45" s="78"/>
      <c r="B45" s="79"/>
      <c r="C45" s="27"/>
      <c r="D45" s="74"/>
      <c r="E45" s="79"/>
      <c r="F45" s="79"/>
      <c r="G45" s="28"/>
      <c r="H45" s="74"/>
      <c r="I45" s="74"/>
      <c r="J45" s="80"/>
      <c r="K45" s="74"/>
    </row>
    <row r="46" spans="1:11" ht="30" customHeight="1" x14ac:dyDescent="0.25">
      <c r="A46" s="78"/>
      <c r="B46" s="79"/>
      <c r="C46" s="27"/>
      <c r="D46" s="74"/>
      <c r="E46" s="79"/>
      <c r="F46" s="79"/>
      <c r="G46" s="28"/>
      <c r="H46" s="74"/>
      <c r="I46" s="74"/>
      <c r="J46" s="80"/>
      <c r="K46" s="74"/>
    </row>
    <row r="47" spans="1:11" ht="30" customHeight="1" x14ac:dyDescent="0.25">
      <c r="A47" s="78"/>
      <c r="B47" s="79"/>
      <c r="C47" s="27"/>
      <c r="D47" s="74"/>
      <c r="E47" s="79"/>
      <c r="F47" s="79"/>
      <c r="G47" s="28"/>
      <c r="H47" s="74"/>
      <c r="I47" s="74"/>
      <c r="J47" s="80"/>
      <c r="K47" s="74"/>
    </row>
    <row r="48" spans="1:11" ht="30" customHeight="1" x14ac:dyDescent="0.25">
      <c r="A48" s="78"/>
      <c r="B48" s="79"/>
      <c r="C48" s="27"/>
      <c r="D48" s="74"/>
      <c r="E48" s="79"/>
      <c r="F48" s="79"/>
      <c r="G48" s="28"/>
      <c r="H48" s="74"/>
      <c r="I48" s="74"/>
      <c r="J48" s="80"/>
      <c r="K48" s="74"/>
    </row>
    <row r="49" spans="1:11" ht="30" customHeight="1" x14ac:dyDescent="0.25">
      <c r="A49" s="78"/>
      <c r="B49" s="79"/>
      <c r="C49" s="27"/>
      <c r="D49" s="74"/>
      <c r="E49" s="79"/>
      <c r="F49" s="79"/>
      <c r="G49" s="28"/>
      <c r="H49" s="74"/>
      <c r="I49" s="74"/>
      <c r="J49" s="80"/>
      <c r="K49" s="74"/>
    </row>
    <row r="50" spans="1:11" ht="30" customHeight="1" x14ac:dyDescent="0.25">
      <c r="A50" s="78"/>
      <c r="B50" s="79"/>
      <c r="C50" s="27"/>
      <c r="D50" s="74"/>
      <c r="E50" s="79"/>
      <c r="F50" s="79"/>
      <c r="G50" s="28"/>
      <c r="H50" s="74"/>
      <c r="I50" s="74"/>
      <c r="J50" s="80"/>
      <c r="K50" s="74"/>
    </row>
    <row r="51" spans="1:11" ht="30" customHeight="1" x14ac:dyDescent="0.25">
      <c r="A51" s="78"/>
      <c r="B51" s="79"/>
      <c r="C51" s="27"/>
      <c r="D51" s="74"/>
      <c r="E51" s="79"/>
      <c r="F51" s="79"/>
      <c r="G51" s="28"/>
      <c r="H51" s="74"/>
      <c r="I51" s="74"/>
      <c r="J51" s="80"/>
      <c r="K51" s="74"/>
    </row>
    <row r="52" spans="1:11" ht="30" customHeight="1" x14ac:dyDescent="0.25">
      <c r="A52" s="78"/>
      <c r="B52" s="79"/>
      <c r="C52" s="27"/>
      <c r="D52" s="74"/>
      <c r="E52" s="79"/>
      <c r="F52" s="79"/>
      <c r="G52" s="28"/>
      <c r="H52" s="74"/>
      <c r="I52" s="74"/>
      <c r="J52" s="80"/>
      <c r="K52" s="74"/>
    </row>
    <row r="53" spans="1:11" ht="30" customHeight="1" x14ac:dyDescent="0.25">
      <c r="A53" s="78"/>
      <c r="B53" s="79"/>
      <c r="C53" s="27"/>
      <c r="D53" s="74"/>
      <c r="E53" s="79"/>
      <c r="F53" s="79"/>
      <c r="G53" s="28"/>
      <c r="H53" s="74"/>
      <c r="I53" s="74"/>
      <c r="J53" s="80"/>
      <c r="K53" s="74"/>
    </row>
    <row r="54" spans="1:11" ht="30" customHeight="1" x14ac:dyDescent="0.25">
      <c r="A54" s="78"/>
      <c r="B54" s="79"/>
      <c r="C54" s="27"/>
      <c r="D54" s="74"/>
      <c r="E54" s="79"/>
      <c r="F54" s="79"/>
      <c r="G54" s="28"/>
      <c r="H54" s="74"/>
      <c r="I54" s="74"/>
      <c r="J54" s="80"/>
      <c r="K54" s="74"/>
    </row>
    <row r="55" spans="1:11" ht="30" customHeight="1" x14ac:dyDescent="0.25">
      <c r="A55" s="78"/>
      <c r="B55" s="79"/>
      <c r="C55" s="27"/>
      <c r="D55" s="74"/>
      <c r="E55" s="79"/>
      <c r="F55" s="79"/>
      <c r="G55" s="28"/>
      <c r="H55" s="74"/>
      <c r="I55" s="74"/>
      <c r="J55" s="80"/>
      <c r="K55" s="74"/>
    </row>
    <row r="56" spans="1:11" ht="30" customHeight="1" x14ac:dyDescent="0.25">
      <c r="A56" s="78"/>
      <c r="B56" s="79"/>
      <c r="C56" s="27"/>
      <c r="D56" s="74"/>
      <c r="E56" s="79"/>
      <c r="F56" s="79"/>
      <c r="G56" s="28"/>
      <c r="H56" s="74"/>
      <c r="I56" s="74"/>
      <c r="J56" s="80"/>
      <c r="K56" s="74"/>
    </row>
    <row r="57" spans="1:11" ht="30" customHeight="1" x14ac:dyDescent="0.25">
      <c r="A57" s="78"/>
      <c r="B57" s="79"/>
      <c r="C57" s="27"/>
      <c r="D57" s="74"/>
      <c r="E57" s="79"/>
      <c r="F57" s="79"/>
      <c r="G57" s="28"/>
      <c r="H57" s="74"/>
      <c r="I57" s="74"/>
      <c r="J57" s="80"/>
      <c r="K57" s="74"/>
    </row>
    <row r="58" spans="1:11" ht="30" customHeight="1" x14ac:dyDescent="0.25">
      <c r="A58" s="78"/>
      <c r="B58" s="79"/>
      <c r="C58" s="27"/>
      <c r="D58" s="74"/>
      <c r="E58" s="79"/>
      <c r="F58" s="79"/>
      <c r="G58" s="28"/>
      <c r="H58" s="74"/>
      <c r="I58" s="74"/>
      <c r="J58" s="80"/>
      <c r="K58" s="74"/>
    </row>
    <row r="59" spans="1:11" ht="30" customHeight="1" x14ac:dyDescent="0.25">
      <c r="A59" s="78"/>
      <c r="B59" s="79"/>
      <c r="C59" s="27"/>
      <c r="D59" s="74"/>
      <c r="E59" s="79"/>
      <c r="F59" s="79"/>
      <c r="G59" s="28"/>
      <c r="H59" s="74"/>
      <c r="I59" s="74"/>
      <c r="J59" s="80"/>
      <c r="K59" s="74"/>
    </row>
    <row r="60" spans="1:11" ht="30" customHeight="1" x14ac:dyDescent="0.25">
      <c r="A60" s="78"/>
      <c r="B60" s="79"/>
      <c r="C60" s="27"/>
      <c r="D60" s="74"/>
      <c r="E60" s="79"/>
      <c r="F60" s="79"/>
      <c r="G60" s="28"/>
      <c r="H60" s="74"/>
      <c r="I60" s="74"/>
      <c r="J60" s="80"/>
      <c r="K60" s="74"/>
    </row>
    <row r="61" spans="1:11" ht="30" customHeight="1" x14ac:dyDescent="0.25">
      <c r="A61" s="78"/>
      <c r="B61" s="79"/>
      <c r="C61" s="27"/>
      <c r="D61" s="74"/>
      <c r="E61" s="79"/>
      <c r="F61" s="79"/>
      <c r="G61" s="28"/>
      <c r="H61" s="74"/>
      <c r="I61" s="74"/>
      <c r="J61" s="80"/>
      <c r="K61" s="74"/>
    </row>
    <row r="62" spans="1:11" ht="30" customHeight="1" x14ac:dyDescent="0.25">
      <c r="A62" s="78"/>
      <c r="B62" s="79"/>
      <c r="C62" s="27"/>
      <c r="D62" s="74"/>
      <c r="E62" s="79"/>
      <c r="F62" s="79"/>
      <c r="G62" s="28"/>
      <c r="H62" s="74"/>
      <c r="I62" s="74"/>
      <c r="J62" s="80"/>
      <c r="K62" s="74"/>
    </row>
    <row r="63" spans="1:11" ht="30" customHeight="1" x14ac:dyDescent="0.25">
      <c r="A63" s="78"/>
      <c r="B63" s="79"/>
      <c r="C63" s="27"/>
      <c r="D63" s="74"/>
      <c r="E63" s="79"/>
      <c r="F63" s="79"/>
      <c r="G63" s="28"/>
      <c r="H63" s="74"/>
      <c r="I63" s="74"/>
      <c r="J63" s="80"/>
      <c r="K63" s="74"/>
    </row>
    <row r="64" spans="1:11" ht="30" customHeight="1" x14ac:dyDescent="0.25">
      <c r="A64" s="78"/>
      <c r="B64" s="79"/>
      <c r="C64" s="27"/>
      <c r="D64" s="74"/>
      <c r="E64" s="79"/>
      <c r="F64" s="79"/>
      <c r="G64" s="28"/>
      <c r="H64" s="74"/>
      <c r="I64" s="74"/>
      <c r="J64" s="80"/>
      <c r="K64" s="74"/>
    </row>
    <row r="65" spans="1:11" ht="30" customHeight="1" x14ac:dyDescent="0.25">
      <c r="A65" s="78"/>
      <c r="B65" s="79"/>
      <c r="C65" s="27"/>
      <c r="D65" s="74"/>
      <c r="E65" s="79"/>
      <c r="F65" s="79"/>
      <c r="G65" s="28"/>
      <c r="H65" s="74"/>
      <c r="I65" s="74"/>
      <c r="J65" s="80"/>
      <c r="K65" s="74"/>
    </row>
    <row r="66" spans="1:11" ht="30" customHeight="1" x14ac:dyDescent="0.25">
      <c r="A66" s="78"/>
      <c r="B66" s="79"/>
      <c r="C66" s="27"/>
      <c r="D66" s="74"/>
      <c r="E66" s="79"/>
      <c r="F66" s="79"/>
      <c r="G66" s="28"/>
      <c r="H66" s="74"/>
      <c r="I66" s="74"/>
      <c r="J66" s="80"/>
      <c r="K66" s="74"/>
    </row>
    <row r="67" spans="1:11" ht="30" customHeight="1" x14ac:dyDescent="0.25">
      <c r="A67" s="78"/>
      <c r="B67" s="79"/>
      <c r="C67" s="27"/>
      <c r="D67" s="74"/>
      <c r="E67" s="79"/>
      <c r="F67" s="79"/>
      <c r="G67" s="28"/>
      <c r="H67" s="74"/>
      <c r="I67" s="74"/>
      <c r="J67" s="80"/>
      <c r="K67" s="74"/>
    </row>
    <row r="68" spans="1:11" ht="30" customHeight="1" x14ac:dyDescent="0.25">
      <c r="A68" s="78"/>
      <c r="B68" s="79"/>
      <c r="C68" s="27"/>
      <c r="D68" s="74"/>
      <c r="E68" s="79"/>
      <c r="F68" s="79"/>
      <c r="G68" s="28"/>
      <c r="H68" s="74"/>
      <c r="I68" s="74"/>
      <c r="J68" s="80"/>
      <c r="K68" s="74"/>
    </row>
    <row r="69" spans="1:11" ht="30" customHeight="1" x14ac:dyDescent="0.25">
      <c r="A69" s="78"/>
      <c r="B69" s="79"/>
      <c r="C69" s="27"/>
      <c r="D69" s="74"/>
      <c r="E69" s="79"/>
      <c r="F69" s="79"/>
      <c r="G69" s="28"/>
      <c r="H69" s="74"/>
      <c r="I69" s="74"/>
      <c r="J69" s="80"/>
      <c r="K69" s="74"/>
    </row>
    <row r="70" spans="1:11" ht="30" customHeight="1" x14ac:dyDescent="0.25">
      <c r="A70" s="78"/>
      <c r="B70" s="79"/>
      <c r="C70" s="27"/>
      <c r="D70" s="74"/>
      <c r="E70" s="79"/>
      <c r="F70" s="79"/>
      <c r="G70" s="28"/>
      <c r="H70" s="74"/>
      <c r="I70" s="74"/>
      <c r="J70" s="80"/>
      <c r="K70" s="74"/>
    </row>
    <row r="71" spans="1:11" ht="30" customHeight="1" x14ac:dyDescent="0.25">
      <c r="A71" s="78"/>
      <c r="B71" s="79"/>
      <c r="C71" s="27"/>
      <c r="D71" s="74"/>
      <c r="E71" s="79"/>
      <c r="F71" s="79"/>
      <c r="G71" s="28"/>
      <c r="H71" s="74"/>
      <c r="I71" s="74"/>
      <c r="J71" s="80"/>
      <c r="K71" s="74"/>
    </row>
    <row r="72" spans="1:11" ht="30" customHeight="1" x14ac:dyDescent="0.25">
      <c r="A72" s="78"/>
      <c r="B72" s="79"/>
      <c r="C72" s="27"/>
      <c r="D72" s="74"/>
      <c r="E72" s="79"/>
      <c r="F72" s="79"/>
      <c r="G72" s="28"/>
      <c r="H72" s="74"/>
      <c r="I72" s="74"/>
      <c r="J72" s="80"/>
      <c r="K72" s="74"/>
    </row>
    <row r="73" spans="1:11" ht="30" customHeight="1" x14ac:dyDescent="0.25">
      <c r="A73" s="78"/>
      <c r="B73" s="79"/>
      <c r="C73" s="27"/>
      <c r="D73" s="74"/>
      <c r="E73" s="79"/>
      <c r="F73" s="79"/>
      <c r="G73" s="28"/>
      <c r="H73" s="74"/>
      <c r="I73" s="74"/>
      <c r="J73" s="80"/>
      <c r="K73" s="74"/>
    </row>
    <row r="74" spans="1:11" ht="30" customHeight="1" x14ac:dyDescent="0.25">
      <c r="A74" s="78"/>
      <c r="B74" s="79"/>
      <c r="C74" s="27"/>
      <c r="D74" s="74"/>
      <c r="E74" s="79"/>
      <c r="F74" s="79"/>
      <c r="G74" s="28"/>
      <c r="H74" s="74"/>
      <c r="I74" s="74"/>
      <c r="J74" s="80"/>
      <c r="K74" s="74"/>
    </row>
    <row r="75" spans="1:11" ht="30" customHeight="1" x14ac:dyDescent="0.25">
      <c r="A75" s="78"/>
      <c r="B75" s="79"/>
      <c r="C75" s="27"/>
      <c r="D75" s="74"/>
      <c r="E75" s="79"/>
      <c r="F75" s="79"/>
      <c r="G75" s="28"/>
      <c r="H75" s="74"/>
      <c r="I75" s="74"/>
      <c r="J75" s="80"/>
      <c r="K75" s="74"/>
    </row>
    <row r="76" spans="1:11" ht="30" customHeight="1" x14ac:dyDescent="0.25">
      <c r="A76" s="78"/>
      <c r="B76" s="79"/>
      <c r="C76" s="27"/>
      <c r="D76" s="74"/>
      <c r="E76" s="79"/>
      <c r="F76" s="79"/>
      <c r="G76" s="28"/>
      <c r="H76" s="74"/>
      <c r="I76" s="74"/>
      <c r="J76" s="80"/>
      <c r="K76" s="74"/>
    </row>
    <row r="77" spans="1:11" ht="30" customHeight="1" x14ac:dyDescent="0.25">
      <c r="A77" s="78"/>
      <c r="B77" s="79"/>
      <c r="C77" s="27"/>
      <c r="D77" s="74"/>
      <c r="E77" s="79"/>
      <c r="F77" s="79"/>
      <c r="G77" s="28"/>
      <c r="H77" s="74"/>
      <c r="I77" s="74"/>
      <c r="J77" s="80"/>
      <c r="K77" s="74"/>
    </row>
    <row r="78" spans="1:11" ht="30" customHeight="1" x14ac:dyDescent="0.25">
      <c r="A78" s="78"/>
      <c r="B78" s="79"/>
      <c r="C78" s="27"/>
      <c r="D78" s="74"/>
      <c r="E78" s="79"/>
      <c r="F78" s="79"/>
      <c r="G78" s="28"/>
      <c r="H78" s="74"/>
      <c r="I78" s="74"/>
      <c r="J78" s="80"/>
      <c r="K78" s="74"/>
    </row>
    <row r="79" spans="1:11" ht="30" customHeight="1" x14ac:dyDescent="0.25">
      <c r="A79" s="78"/>
      <c r="B79" s="79"/>
      <c r="C79" s="27"/>
      <c r="D79" s="74"/>
      <c r="E79" s="79"/>
      <c r="F79" s="79"/>
      <c r="G79" s="28"/>
      <c r="H79" s="74"/>
      <c r="I79" s="74"/>
      <c r="J79" s="80"/>
      <c r="K79" s="74"/>
    </row>
    <row r="80" spans="1:11" ht="30" customHeight="1" x14ac:dyDescent="0.25">
      <c r="A80" s="78"/>
      <c r="B80" s="79"/>
      <c r="C80" s="27"/>
      <c r="D80" s="74"/>
      <c r="E80" s="79"/>
      <c r="F80" s="79"/>
      <c r="G80" s="28"/>
      <c r="H80" s="74"/>
      <c r="I80" s="74"/>
      <c r="J80" s="80"/>
      <c r="K80" s="74"/>
    </row>
    <row r="81" spans="1:11" ht="30" customHeight="1" x14ac:dyDescent="0.25">
      <c r="A81" s="78"/>
      <c r="B81" s="79"/>
      <c r="C81" s="27"/>
      <c r="D81" s="74"/>
      <c r="E81" s="79"/>
      <c r="F81" s="79"/>
      <c r="G81" s="28"/>
      <c r="H81" s="74"/>
      <c r="I81" s="74"/>
      <c r="J81" s="80"/>
      <c r="K81" s="74"/>
    </row>
    <row r="82" spans="1:11" ht="30" customHeight="1" x14ac:dyDescent="0.25">
      <c r="A82" s="78"/>
      <c r="B82" s="79"/>
      <c r="C82" s="27"/>
      <c r="D82" s="74"/>
      <c r="E82" s="79"/>
      <c r="F82" s="79"/>
      <c r="G82" s="28"/>
      <c r="H82" s="74"/>
      <c r="I82" s="74"/>
      <c r="J82" s="80"/>
      <c r="K82" s="74"/>
    </row>
    <row r="83" spans="1:11" ht="30" customHeight="1" x14ac:dyDescent="0.25">
      <c r="A83" s="78"/>
      <c r="B83" s="79"/>
      <c r="C83" s="27"/>
      <c r="D83" s="74"/>
      <c r="E83" s="79"/>
      <c r="F83" s="79"/>
      <c r="G83" s="28"/>
      <c r="H83" s="74"/>
      <c r="I83" s="74"/>
      <c r="J83" s="80"/>
      <c r="K83" s="74"/>
    </row>
    <row r="84" spans="1:11" ht="30" customHeight="1" x14ac:dyDescent="0.25">
      <c r="A84" s="78"/>
      <c r="B84" s="79"/>
      <c r="C84" s="27"/>
      <c r="D84" s="74"/>
      <c r="E84" s="79"/>
      <c r="F84" s="79"/>
      <c r="G84" s="28"/>
      <c r="H84" s="74"/>
      <c r="I84" s="74"/>
      <c r="J84" s="80"/>
      <c r="K84" s="74"/>
    </row>
    <row r="85" spans="1:11" ht="30" customHeight="1" x14ac:dyDescent="0.25">
      <c r="A85" s="78"/>
      <c r="B85" s="79"/>
      <c r="C85" s="27"/>
      <c r="D85" s="74"/>
      <c r="E85" s="79"/>
      <c r="F85" s="79"/>
      <c r="G85" s="28"/>
      <c r="H85" s="74"/>
      <c r="I85" s="74"/>
      <c r="J85" s="80"/>
      <c r="K85" s="74"/>
    </row>
    <row r="86" spans="1:11" ht="30" customHeight="1" x14ac:dyDescent="0.25">
      <c r="A86" s="78"/>
      <c r="B86" s="79"/>
      <c r="C86" s="27"/>
      <c r="D86" s="74"/>
      <c r="E86" s="79"/>
      <c r="F86" s="79"/>
      <c r="G86" s="28"/>
      <c r="H86" s="74"/>
      <c r="I86" s="74"/>
      <c r="J86" s="80"/>
      <c r="K86" s="74"/>
    </row>
    <row r="87" spans="1:11" ht="30" customHeight="1" x14ac:dyDescent="0.25">
      <c r="A87" s="78"/>
      <c r="B87" s="79"/>
      <c r="C87" s="27"/>
      <c r="D87" s="74"/>
      <c r="E87" s="79"/>
      <c r="F87" s="79"/>
      <c r="G87" s="28"/>
      <c r="H87" s="74"/>
      <c r="I87" s="74"/>
      <c r="J87" s="80"/>
      <c r="K87" s="74"/>
    </row>
    <row r="88" spans="1:11" ht="30" customHeight="1" x14ac:dyDescent="0.25">
      <c r="A88" s="78"/>
      <c r="B88" s="79"/>
      <c r="C88" s="27"/>
      <c r="D88" s="74"/>
      <c r="E88" s="79"/>
      <c r="F88" s="79"/>
      <c r="G88" s="28"/>
      <c r="H88" s="74"/>
      <c r="I88" s="74"/>
      <c r="J88" s="80"/>
      <c r="K88" s="74"/>
    </row>
    <row r="89" spans="1:11" ht="30" customHeight="1" x14ac:dyDescent="0.25">
      <c r="A89" s="78"/>
      <c r="B89" s="79"/>
      <c r="C89" s="27"/>
      <c r="D89" s="74"/>
      <c r="E89" s="79"/>
      <c r="F89" s="79"/>
      <c r="G89" s="28"/>
      <c r="H89" s="74"/>
      <c r="I89" s="74"/>
      <c r="J89" s="80"/>
      <c r="K89" s="74"/>
    </row>
    <row r="90" spans="1:11" ht="30" customHeight="1" x14ac:dyDescent="0.25">
      <c r="A90" s="78"/>
      <c r="B90" s="79"/>
      <c r="C90" s="27"/>
      <c r="D90" s="74"/>
      <c r="E90" s="79"/>
      <c r="F90" s="79"/>
      <c r="G90" s="28"/>
      <c r="H90" s="74"/>
      <c r="I90" s="74"/>
      <c r="J90" s="80"/>
      <c r="K90" s="74"/>
    </row>
    <row r="91" spans="1:11" ht="30" customHeight="1" x14ac:dyDescent="0.25">
      <c r="A91" s="78"/>
      <c r="B91" s="79"/>
      <c r="C91" s="27"/>
      <c r="D91" s="74"/>
      <c r="E91" s="79"/>
      <c r="F91" s="79"/>
      <c r="G91" s="28"/>
      <c r="H91" s="74"/>
      <c r="I91" s="74"/>
      <c r="J91" s="80"/>
      <c r="K91" s="74"/>
    </row>
    <row r="92" spans="1:11" ht="30" customHeight="1" x14ac:dyDescent="0.25">
      <c r="A92" s="78"/>
      <c r="B92" s="79"/>
      <c r="C92" s="27"/>
      <c r="D92" s="74"/>
      <c r="E92" s="79"/>
      <c r="F92" s="79"/>
      <c r="G92" s="28"/>
      <c r="H92" s="74"/>
      <c r="I92" s="74"/>
      <c r="J92" s="80"/>
      <c r="K92" s="74"/>
    </row>
    <row r="93" spans="1:11" ht="30" customHeight="1" x14ac:dyDescent="0.25">
      <c r="A93" s="78"/>
      <c r="B93" s="79"/>
      <c r="C93" s="27"/>
      <c r="D93" s="74"/>
      <c r="E93" s="79"/>
      <c r="F93" s="79"/>
      <c r="G93" s="28"/>
      <c r="H93" s="74"/>
      <c r="I93" s="74"/>
      <c r="J93" s="80"/>
      <c r="K93" s="74"/>
    </row>
    <row r="94" spans="1:11" ht="30" customHeight="1" x14ac:dyDescent="0.25">
      <c r="A94" s="78"/>
      <c r="B94" s="79"/>
      <c r="C94" s="27"/>
      <c r="D94" s="74"/>
      <c r="E94" s="79"/>
      <c r="F94" s="79"/>
      <c r="G94" s="28"/>
      <c r="H94" s="74"/>
      <c r="I94" s="74"/>
      <c r="J94" s="80"/>
      <c r="K94" s="74"/>
    </row>
    <row r="95" spans="1:11" ht="30" customHeight="1" x14ac:dyDescent="0.25">
      <c r="A95" s="78"/>
      <c r="B95" s="79"/>
      <c r="C95" s="27"/>
      <c r="D95" s="74"/>
      <c r="E95" s="79"/>
      <c r="F95" s="79"/>
      <c r="G95" s="28"/>
      <c r="H95" s="74"/>
      <c r="I95" s="74"/>
      <c r="J95" s="80"/>
      <c r="K95" s="74"/>
    </row>
    <row r="96" spans="1:11" ht="30" customHeight="1" x14ac:dyDescent="0.25">
      <c r="A96" s="78"/>
      <c r="B96" s="79"/>
      <c r="C96" s="27"/>
      <c r="D96" s="74"/>
      <c r="E96" s="79"/>
      <c r="F96" s="79"/>
      <c r="G96" s="28"/>
      <c r="H96" s="74"/>
      <c r="I96" s="74"/>
      <c r="J96" s="80"/>
      <c r="K96" s="74"/>
    </row>
    <row r="97" spans="1:11" ht="30" customHeight="1" x14ac:dyDescent="0.25">
      <c r="A97" s="78"/>
      <c r="B97" s="79"/>
      <c r="C97" s="27"/>
      <c r="D97" s="74"/>
      <c r="E97" s="79"/>
      <c r="F97" s="79"/>
      <c r="G97" s="28"/>
      <c r="H97" s="74"/>
      <c r="I97" s="74"/>
      <c r="J97" s="80"/>
      <c r="K97" s="74"/>
    </row>
    <row r="98" spans="1:11" ht="30" customHeight="1" x14ac:dyDescent="0.25">
      <c r="A98" s="78"/>
      <c r="B98" s="79"/>
      <c r="C98" s="27"/>
      <c r="D98" s="74"/>
      <c r="E98" s="79"/>
      <c r="F98" s="79"/>
      <c r="G98" s="28"/>
      <c r="H98" s="74"/>
      <c r="I98" s="74"/>
      <c r="J98" s="80"/>
      <c r="K98" s="74"/>
    </row>
    <row r="99" spans="1:11" ht="30" customHeight="1" x14ac:dyDescent="0.25">
      <c r="A99" s="78"/>
      <c r="B99" s="79"/>
      <c r="C99" s="27"/>
      <c r="D99" s="74"/>
      <c r="E99" s="79"/>
      <c r="F99" s="79"/>
      <c r="G99" s="28"/>
      <c r="H99" s="74"/>
      <c r="I99" s="74"/>
      <c r="J99" s="80"/>
      <c r="K99" s="74"/>
    </row>
    <row r="100" spans="1:11" ht="30" customHeight="1" x14ac:dyDescent="0.25">
      <c r="A100" s="78"/>
      <c r="B100" s="79"/>
      <c r="C100" s="27"/>
      <c r="D100" s="74"/>
      <c r="E100" s="79"/>
      <c r="F100" s="79"/>
      <c r="G100" s="28"/>
      <c r="H100" s="74"/>
      <c r="I100" s="74"/>
      <c r="J100" s="80"/>
      <c r="K100" s="74"/>
    </row>
    <row r="101" spans="1:11" ht="30" customHeight="1" x14ac:dyDescent="0.25">
      <c r="A101" s="78"/>
      <c r="B101" s="79"/>
      <c r="C101" s="27"/>
      <c r="D101" s="74"/>
      <c r="E101" s="79"/>
      <c r="F101" s="79"/>
      <c r="G101" s="28"/>
      <c r="H101" s="74"/>
      <c r="I101" s="74"/>
      <c r="J101" s="80"/>
      <c r="K101" s="74"/>
    </row>
    <row r="102" spans="1:11" ht="30" customHeight="1" x14ac:dyDescent="0.25">
      <c r="A102" s="78"/>
      <c r="B102" s="79"/>
      <c r="C102" s="27"/>
      <c r="D102" s="74"/>
      <c r="E102" s="79"/>
      <c r="F102" s="79"/>
      <c r="G102" s="28"/>
      <c r="H102" s="74"/>
      <c r="I102" s="74"/>
      <c r="J102" s="80"/>
      <c r="K102" s="74"/>
    </row>
    <row r="103" spans="1:11" ht="30" customHeight="1" x14ac:dyDescent="0.25">
      <c r="A103" s="78"/>
      <c r="B103" s="79"/>
      <c r="C103" s="27"/>
      <c r="D103" s="74"/>
      <c r="E103" s="79"/>
      <c r="F103" s="79"/>
      <c r="G103" s="28"/>
      <c r="H103" s="74"/>
      <c r="I103" s="74"/>
      <c r="J103" s="80"/>
      <c r="K103" s="74"/>
    </row>
    <row r="104" spans="1:11" ht="30" customHeight="1" x14ac:dyDescent="0.25">
      <c r="A104" s="78"/>
      <c r="B104" s="79"/>
      <c r="C104" s="27"/>
      <c r="D104" s="74"/>
      <c r="E104" s="79"/>
      <c r="F104" s="79"/>
      <c r="G104" s="28"/>
      <c r="H104" s="74"/>
      <c r="I104" s="74"/>
      <c r="J104" s="80"/>
      <c r="K104" s="74"/>
    </row>
    <row r="105" spans="1:11" ht="30" customHeight="1" x14ac:dyDescent="0.25">
      <c r="A105" s="78"/>
      <c r="B105" s="79"/>
      <c r="C105" s="27"/>
      <c r="D105" s="74"/>
      <c r="E105" s="79"/>
      <c r="F105" s="79"/>
      <c r="G105" s="28"/>
      <c r="H105" s="74"/>
      <c r="I105" s="74"/>
      <c r="J105" s="80"/>
      <c r="K105" s="74"/>
    </row>
    <row r="106" spans="1:11" ht="30" customHeight="1" x14ac:dyDescent="0.25">
      <c r="A106" s="78"/>
      <c r="B106" s="79"/>
      <c r="C106" s="27"/>
      <c r="D106" s="74"/>
      <c r="E106" s="79"/>
      <c r="F106" s="79"/>
      <c r="G106" s="28"/>
      <c r="H106" s="74"/>
      <c r="I106" s="74"/>
      <c r="J106" s="80"/>
      <c r="K106" s="74"/>
    </row>
    <row r="107" spans="1:11" ht="30" customHeight="1" x14ac:dyDescent="0.25">
      <c r="A107" s="78"/>
      <c r="B107" s="79"/>
      <c r="C107" s="27"/>
      <c r="D107" s="74"/>
      <c r="E107" s="79"/>
      <c r="F107" s="79"/>
      <c r="G107" s="28"/>
      <c r="H107" s="74"/>
      <c r="I107" s="74"/>
      <c r="J107" s="80"/>
      <c r="K107" s="74"/>
    </row>
    <row r="108" spans="1:11" ht="30" customHeight="1" x14ac:dyDescent="0.25">
      <c r="A108" s="78"/>
      <c r="B108" s="79"/>
      <c r="C108" s="27"/>
      <c r="D108" s="74"/>
      <c r="E108" s="79"/>
      <c r="F108" s="79"/>
      <c r="G108" s="28"/>
      <c r="H108" s="74"/>
      <c r="I108" s="74"/>
      <c r="J108" s="80"/>
      <c r="K108" s="74"/>
    </row>
    <row r="109" spans="1:11" ht="30" customHeight="1" x14ac:dyDescent="0.25">
      <c r="A109" s="78"/>
      <c r="B109" s="79"/>
      <c r="C109" s="27"/>
      <c r="D109" s="74"/>
      <c r="E109" s="79"/>
      <c r="F109" s="79"/>
      <c r="G109" s="28"/>
      <c r="H109" s="74"/>
      <c r="I109" s="74"/>
      <c r="J109" s="80"/>
      <c r="K109" s="74"/>
    </row>
    <row r="110" spans="1:11" ht="30" customHeight="1" x14ac:dyDescent="0.25">
      <c r="A110" s="78"/>
      <c r="B110" s="79"/>
      <c r="C110" s="27"/>
      <c r="D110" s="74"/>
      <c r="E110" s="79"/>
      <c r="F110" s="79"/>
      <c r="G110" s="28"/>
      <c r="H110" s="74"/>
      <c r="I110" s="74"/>
      <c r="J110" s="80"/>
      <c r="K110" s="74"/>
    </row>
    <row r="111" spans="1:11" ht="30" customHeight="1" x14ac:dyDescent="0.25">
      <c r="A111" s="78"/>
      <c r="B111" s="79"/>
      <c r="C111" s="27"/>
      <c r="D111" s="74"/>
      <c r="E111" s="79"/>
      <c r="F111" s="79"/>
      <c r="G111" s="28"/>
      <c r="H111" s="74"/>
      <c r="I111" s="74"/>
      <c r="J111" s="80"/>
      <c r="K111" s="74"/>
    </row>
    <row r="112" spans="1:11" ht="30" customHeight="1" x14ac:dyDescent="0.25">
      <c r="A112" s="78"/>
      <c r="B112" s="79"/>
      <c r="C112" s="27"/>
      <c r="D112" s="74"/>
      <c r="E112" s="79"/>
      <c r="F112" s="79"/>
      <c r="G112" s="28"/>
      <c r="H112" s="74"/>
      <c r="I112" s="74"/>
      <c r="J112" s="80"/>
      <c r="K112" s="74"/>
    </row>
    <row r="113" spans="1:11" ht="30" customHeight="1" x14ac:dyDescent="0.25">
      <c r="A113" s="78"/>
      <c r="B113" s="79"/>
      <c r="C113" s="27"/>
      <c r="D113" s="74"/>
      <c r="E113" s="79"/>
      <c r="F113" s="79"/>
      <c r="G113" s="28"/>
      <c r="H113" s="74"/>
      <c r="I113" s="74"/>
      <c r="J113" s="80"/>
      <c r="K113" s="74"/>
    </row>
    <row r="114" spans="1:11" ht="30" customHeight="1" x14ac:dyDescent="0.25">
      <c r="A114" s="78"/>
      <c r="B114" s="79"/>
      <c r="C114" s="27"/>
      <c r="D114" s="74"/>
      <c r="E114" s="79"/>
      <c r="F114" s="79"/>
      <c r="G114" s="28"/>
      <c r="H114" s="74"/>
      <c r="I114" s="74"/>
      <c r="J114" s="80"/>
      <c r="K114" s="74"/>
    </row>
    <row r="115" spans="1:11" ht="30" customHeight="1" x14ac:dyDescent="0.25">
      <c r="A115" s="78"/>
      <c r="B115" s="79"/>
      <c r="C115" s="27"/>
      <c r="D115" s="74"/>
      <c r="E115" s="79"/>
      <c r="F115" s="79"/>
      <c r="G115" s="28"/>
      <c r="H115" s="74"/>
      <c r="I115" s="74"/>
      <c r="J115" s="80"/>
      <c r="K115" s="74"/>
    </row>
    <row r="116" spans="1:11" ht="30" customHeight="1" x14ac:dyDescent="0.25">
      <c r="A116" s="78"/>
      <c r="B116" s="79"/>
      <c r="C116" s="27"/>
      <c r="D116" s="74"/>
      <c r="E116" s="79"/>
      <c r="F116" s="79"/>
      <c r="G116" s="28"/>
      <c r="H116" s="74"/>
      <c r="I116" s="74"/>
      <c r="J116" s="80"/>
      <c r="K116" s="74"/>
    </row>
    <row r="117" spans="1:11" ht="30" customHeight="1" x14ac:dyDescent="0.25">
      <c r="A117" s="78"/>
      <c r="B117" s="79"/>
      <c r="C117" s="27"/>
      <c r="D117" s="74"/>
      <c r="E117" s="79"/>
      <c r="F117" s="79"/>
      <c r="G117" s="28"/>
      <c r="H117" s="74"/>
      <c r="I117" s="74"/>
      <c r="J117" s="80"/>
      <c r="K117" s="74"/>
    </row>
    <row r="118" spans="1:11" ht="30" customHeight="1" x14ac:dyDescent="0.25">
      <c r="A118" s="78"/>
      <c r="B118" s="79"/>
      <c r="C118" s="27"/>
      <c r="D118" s="74"/>
      <c r="E118" s="79"/>
      <c r="F118" s="79"/>
      <c r="G118" s="28"/>
      <c r="H118" s="74"/>
      <c r="I118" s="74"/>
      <c r="J118" s="80"/>
      <c r="K118" s="74"/>
    </row>
    <row r="119" spans="1:11" ht="30" customHeight="1" x14ac:dyDescent="0.25">
      <c r="A119" s="78"/>
      <c r="B119" s="79"/>
      <c r="C119" s="27"/>
      <c r="D119" s="74"/>
      <c r="E119" s="79"/>
      <c r="F119" s="79"/>
      <c r="G119" s="28"/>
      <c r="H119" s="74"/>
      <c r="I119" s="74"/>
      <c r="J119" s="80"/>
      <c r="K119" s="74"/>
    </row>
    <row r="120" spans="1:11" ht="30" customHeight="1" x14ac:dyDescent="0.25">
      <c r="A120" s="78"/>
      <c r="B120" s="79"/>
      <c r="C120" s="27"/>
      <c r="D120" s="74"/>
      <c r="E120" s="79"/>
      <c r="F120" s="79"/>
      <c r="G120" s="28"/>
      <c r="H120" s="74"/>
      <c r="I120" s="74"/>
      <c r="J120" s="80"/>
      <c r="K120" s="74"/>
    </row>
    <row r="121" spans="1:11" ht="30" customHeight="1" x14ac:dyDescent="0.25">
      <c r="A121" s="78"/>
      <c r="B121" s="79"/>
      <c r="C121" s="27"/>
      <c r="D121" s="74"/>
      <c r="E121" s="79"/>
      <c r="F121" s="79"/>
      <c r="G121" s="28"/>
      <c r="H121" s="74"/>
      <c r="I121" s="74"/>
      <c r="J121" s="80"/>
      <c r="K121" s="74"/>
    </row>
    <row r="122" spans="1:11" ht="30" customHeight="1" x14ac:dyDescent="0.25">
      <c r="A122" s="78"/>
      <c r="B122" s="79"/>
      <c r="C122" s="27"/>
      <c r="D122" s="74"/>
      <c r="E122" s="79"/>
      <c r="F122" s="79"/>
      <c r="G122" s="28"/>
      <c r="H122" s="74"/>
      <c r="I122" s="74"/>
      <c r="J122" s="80"/>
      <c r="K122" s="74"/>
    </row>
    <row r="123" spans="1:11" ht="30" customHeight="1" x14ac:dyDescent="0.25">
      <c r="A123" s="78"/>
      <c r="B123" s="79"/>
      <c r="C123" s="27"/>
      <c r="D123" s="74"/>
      <c r="E123" s="79"/>
      <c r="F123" s="79"/>
      <c r="G123" s="28"/>
      <c r="H123" s="74"/>
      <c r="I123" s="74"/>
      <c r="J123" s="80"/>
      <c r="K123" s="74"/>
    </row>
    <row r="124" spans="1:11" ht="30" customHeight="1" x14ac:dyDescent="0.25">
      <c r="A124" s="78"/>
      <c r="B124" s="79"/>
      <c r="C124" s="27"/>
      <c r="D124" s="74"/>
      <c r="E124" s="79"/>
      <c r="F124" s="79"/>
      <c r="G124" s="28"/>
      <c r="H124" s="74"/>
      <c r="I124" s="74"/>
      <c r="J124" s="80"/>
      <c r="K124" s="74"/>
    </row>
    <row r="125" spans="1:11" ht="30" customHeight="1" x14ac:dyDescent="0.25">
      <c r="A125" s="78"/>
      <c r="B125" s="79"/>
      <c r="C125" s="27"/>
      <c r="D125" s="74"/>
      <c r="E125" s="79"/>
      <c r="F125" s="79"/>
      <c r="G125" s="28"/>
      <c r="H125" s="74"/>
      <c r="I125" s="74"/>
      <c r="J125" s="80"/>
      <c r="K125" s="74"/>
    </row>
    <row r="126" spans="1:11" ht="30" customHeight="1" x14ac:dyDescent="0.25">
      <c r="A126" s="78"/>
      <c r="B126" s="79"/>
      <c r="C126" s="27"/>
      <c r="D126" s="74"/>
      <c r="E126" s="79"/>
      <c r="F126" s="79"/>
      <c r="G126" s="28"/>
      <c r="H126" s="74"/>
      <c r="I126" s="74"/>
      <c r="J126" s="80"/>
      <c r="K126" s="74"/>
    </row>
    <row r="127" spans="1:11" ht="30" customHeight="1" x14ac:dyDescent="0.25">
      <c r="A127" s="78"/>
      <c r="B127" s="79"/>
      <c r="C127" s="27"/>
      <c r="D127" s="74"/>
      <c r="E127" s="79"/>
      <c r="F127" s="79"/>
      <c r="G127" s="28"/>
      <c r="H127" s="74"/>
      <c r="I127" s="74"/>
      <c r="J127" s="80"/>
      <c r="K127" s="74"/>
    </row>
    <row r="128" spans="1:11" ht="30" customHeight="1" x14ac:dyDescent="0.25">
      <c r="A128" s="78"/>
      <c r="B128" s="79"/>
      <c r="C128" s="27"/>
      <c r="D128" s="74"/>
      <c r="E128" s="79"/>
      <c r="F128" s="79"/>
      <c r="G128" s="28"/>
      <c r="H128" s="74"/>
      <c r="I128" s="74"/>
      <c r="J128" s="80"/>
      <c r="K128" s="74"/>
    </row>
    <row r="129" spans="1:11" ht="30" customHeight="1" x14ac:dyDescent="0.25">
      <c r="A129" s="78"/>
      <c r="B129" s="79"/>
      <c r="C129" s="27"/>
      <c r="D129" s="74"/>
      <c r="E129" s="79"/>
      <c r="F129" s="79"/>
      <c r="G129" s="28"/>
      <c r="H129" s="74"/>
      <c r="I129" s="74"/>
      <c r="J129" s="80"/>
      <c r="K129" s="74"/>
    </row>
    <row r="130" spans="1:11" ht="30" customHeight="1" x14ac:dyDescent="0.25">
      <c r="A130" s="78"/>
      <c r="B130" s="79"/>
      <c r="C130" s="27"/>
      <c r="D130" s="74"/>
      <c r="E130" s="79"/>
      <c r="F130" s="79"/>
      <c r="G130" s="28"/>
      <c r="H130" s="74"/>
      <c r="I130" s="74"/>
      <c r="J130" s="80"/>
      <c r="K130" s="74"/>
    </row>
    <row r="131" spans="1:11" ht="30" customHeight="1" x14ac:dyDescent="0.25">
      <c r="A131" s="78"/>
      <c r="B131" s="79"/>
      <c r="C131" s="27"/>
      <c r="D131" s="74"/>
      <c r="E131" s="79"/>
      <c r="F131" s="79"/>
      <c r="G131" s="28"/>
      <c r="H131" s="74"/>
      <c r="I131" s="74"/>
      <c r="J131" s="80"/>
      <c r="K131" s="74"/>
    </row>
    <row r="132" spans="1:11" ht="30" customHeight="1" x14ac:dyDescent="0.25">
      <c r="A132" s="78"/>
      <c r="B132" s="79"/>
      <c r="C132" s="27"/>
      <c r="D132" s="74"/>
      <c r="E132" s="79"/>
      <c r="F132" s="79"/>
      <c r="G132" s="28"/>
      <c r="H132" s="74"/>
      <c r="I132" s="74"/>
      <c r="J132" s="80"/>
      <c r="K132" s="74"/>
    </row>
    <row r="133" spans="1:11" ht="30" customHeight="1" x14ac:dyDescent="0.25">
      <c r="A133" s="78"/>
      <c r="B133" s="79"/>
      <c r="C133" s="27"/>
      <c r="D133" s="74"/>
      <c r="E133" s="79"/>
      <c r="F133" s="79"/>
      <c r="G133" s="28"/>
      <c r="H133" s="74"/>
      <c r="I133" s="74"/>
      <c r="J133" s="80"/>
      <c r="K133" s="74"/>
    </row>
    <row r="134" spans="1:11" ht="30" customHeight="1" x14ac:dyDescent="0.25">
      <c r="A134" s="78"/>
      <c r="B134" s="79"/>
      <c r="C134" s="27"/>
      <c r="D134" s="74"/>
      <c r="E134" s="79"/>
      <c r="F134" s="79"/>
      <c r="G134" s="28"/>
      <c r="H134" s="74"/>
      <c r="I134" s="74"/>
      <c r="J134" s="80"/>
      <c r="K134" s="74"/>
    </row>
    <row r="135" spans="1:11" ht="30" customHeight="1" x14ac:dyDescent="0.25">
      <c r="A135" s="78"/>
      <c r="B135" s="79"/>
      <c r="C135" s="27"/>
      <c r="D135" s="74"/>
      <c r="E135" s="79"/>
      <c r="F135" s="79"/>
      <c r="G135" s="28"/>
      <c r="H135" s="74"/>
      <c r="I135" s="74"/>
      <c r="J135" s="80"/>
      <c r="K135" s="74"/>
    </row>
    <row r="136" spans="1:11" ht="30" customHeight="1" x14ac:dyDescent="0.25">
      <c r="A136" s="78"/>
      <c r="B136" s="79"/>
      <c r="C136" s="27"/>
      <c r="D136" s="74"/>
      <c r="E136" s="79"/>
      <c r="F136" s="79"/>
      <c r="G136" s="28"/>
      <c r="H136" s="74"/>
      <c r="I136" s="74"/>
      <c r="J136" s="80"/>
      <c r="K136" s="74"/>
    </row>
    <row r="137" spans="1:11" ht="30" customHeight="1" x14ac:dyDescent="0.25">
      <c r="A137" s="78"/>
      <c r="B137" s="79"/>
      <c r="C137" s="27"/>
      <c r="D137" s="74"/>
      <c r="E137" s="79"/>
      <c r="F137" s="79"/>
      <c r="G137" s="28"/>
      <c r="H137" s="74"/>
      <c r="I137" s="74"/>
      <c r="J137" s="80"/>
      <c r="K137" s="74"/>
    </row>
    <row r="138" spans="1:11" ht="30" customHeight="1" x14ac:dyDescent="0.25">
      <c r="A138" s="78"/>
      <c r="B138" s="79"/>
      <c r="C138" s="27"/>
      <c r="D138" s="74"/>
      <c r="E138" s="79"/>
      <c r="F138" s="79"/>
      <c r="G138" s="28"/>
      <c r="H138" s="74"/>
      <c r="I138" s="74"/>
      <c r="J138" s="80"/>
      <c r="K138" s="74"/>
    </row>
    <row r="139" spans="1:11" ht="30" customHeight="1" x14ac:dyDescent="0.25">
      <c r="A139" s="78"/>
      <c r="B139" s="79"/>
      <c r="C139" s="27"/>
      <c r="D139" s="74"/>
      <c r="E139" s="79"/>
      <c r="F139" s="79"/>
      <c r="G139" s="28"/>
      <c r="H139" s="74"/>
      <c r="I139" s="74"/>
      <c r="J139" s="80"/>
      <c r="K139" s="74"/>
    </row>
    <row r="140" spans="1:11" ht="30" customHeight="1" x14ac:dyDescent="0.25">
      <c r="A140" s="78"/>
      <c r="B140" s="79"/>
      <c r="C140" s="27"/>
      <c r="D140" s="74"/>
      <c r="E140" s="79"/>
      <c r="F140" s="79"/>
      <c r="G140" s="28"/>
      <c r="H140" s="74"/>
      <c r="I140" s="74"/>
      <c r="J140" s="80"/>
      <c r="K140" s="74"/>
    </row>
    <row r="141" spans="1:11" ht="30" customHeight="1" x14ac:dyDescent="0.25">
      <c r="A141" s="78"/>
      <c r="B141" s="79"/>
      <c r="C141" s="27"/>
      <c r="D141" s="74"/>
      <c r="E141" s="79"/>
      <c r="F141" s="79"/>
      <c r="G141" s="28"/>
      <c r="H141" s="74"/>
      <c r="I141" s="74"/>
      <c r="J141" s="80"/>
      <c r="K141" s="74"/>
    </row>
    <row r="142" spans="1:11" ht="30" customHeight="1" x14ac:dyDescent="0.25">
      <c r="A142" s="78"/>
      <c r="B142" s="79"/>
      <c r="C142" s="27"/>
      <c r="D142" s="74"/>
      <c r="E142" s="79"/>
      <c r="F142" s="79"/>
      <c r="G142" s="28"/>
      <c r="H142" s="74"/>
      <c r="I142" s="74"/>
      <c r="J142" s="80"/>
      <c r="K142" s="74"/>
    </row>
    <row r="143" spans="1:11" ht="30" customHeight="1" x14ac:dyDescent="0.25">
      <c r="A143" s="78"/>
      <c r="B143" s="79"/>
      <c r="C143" s="27"/>
      <c r="D143" s="74"/>
      <c r="E143" s="79"/>
      <c r="F143" s="79"/>
      <c r="G143" s="28"/>
      <c r="H143" s="74"/>
      <c r="I143" s="74"/>
      <c r="J143" s="80"/>
      <c r="K143" s="74"/>
    </row>
    <row r="144" spans="1:11" ht="30" customHeight="1" x14ac:dyDescent="0.25">
      <c r="A144" s="78"/>
      <c r="B144" s="79"/>
      <c r="C144" s="27"/>
      <c r="D144" s="74"/>
      <c r="E144" s="79"/>
      <c r="F144" s="79"/>
      <c r="G144" s="28"/>
      <c r="H144" s="74"/>
      <c r="I144" s="74"/>
      <c r="J144" s="80"/>
      <c r="K144" s="74"/>
    </row>
    <row r="145" spans="1:11" ht="30" customHeight="1" x14ac:dyDescent="0.25">
      <c r="A145" s="78"/>
      <c r="B145" s="79"/>
      <c r="C145" s="27"/>
      <c r="D145" s="74"/>
      <c r="E145" s="79"/>
      <c r="F145" s="79"/>
      <c r="G145" s="28"/>
      <c r="H145" s="74"/>
      <c r="I145" s="74"/>
      <c r="J145" s="80"/>
      <c r="K145" s="74"/>
    </row>
    <row r="146" spans="1:11" ht="30" customHeight="1" x14ac:dyDescent="0.25">
      <c r="A146" s="78"/>
      <c r="B146" s="79"/>
      <c r="C146" s="27"/>
      <c r="D146" s="74"/>
      <c r="E146" s="79"/>
      <c r="F146" s="79"/>
      <c r="G146" s="28"/>
      <c r="H146" s="74"/>
      <c r="I146" s="74"/>
      <c r="J146" s="80"/>
      <c r="K146" s="74"/>
    </row>
    <row r="147" spans="1:11" ht="30" customHeight="1" x14ac:dyDescent="0.25">
      <c r="A147" s="78"/>
      <c r="B147" s="79"/>
      <c r="C147" s="27"/>
      <c r="D147" s="74"/>
      <c r="E147" s="79"/>
      <c r="F147" s="79"/>
      <c r="G147" s="28"/>
      <c r="H147" s="74"/>
      <c r="I147" s="74"/>
      <c r="J147" s="80"/>
      <c r="K147" s="74"/>
    </row>
    <row r="148" spans="1:11" ht="30" customHeight="1" x14ac:dyDescent="0.25">
      <c r="A148" s="78"/>
      <c r="B148" s="79"/>
      <c r="C148" s="27"/>
      <c r="D148" s="74"/>
      <c r="E148" s="79"/>
      <c r="F148" s="79"/>
      <c r="G148" s="28"/>
      <c r="H148" s="74"/>
      <c r="I148" s="74"/>
      <c r="J148" s="80"/>
      <c r="K148" s="74"/>
    </row>
    <row r="149" spans="1:11" ht="30" customHeight="1" x14ac:dyDescent="0.25">
      <c r="A149" s="78"/>
      <c r="B149" s="79"/>
      <c r="C149" s="27"/>
      <c r="D149" s="74"/>
      <c r="E149" s="79"/>
      <c r="F149" s="79"/>
      <c r="G149" s="28"/>
      <c r="H149" s="74"/>
      <c r="I149" s="74"/>
      <c r="J149" s="80"/>
      <c r="K149" s="74"/>
    </row>
    <row r="150" spans="1:11" ht="30" customHeight="1" x14ac:dyDescent="0.25">
      <c r="A150" s="78"/>
      <c r="B150" s="79"/>
      <c r="C150" s="27"/>
      <c r="D150" s="74"/>
      <c r="E150" s="79"/>
      <c r="F150" s="79"/>
      <c r="G150" s="28"/>
      <c r="H150" s="74"/>
      <c r="I150" s="74"/>
      <c r="J150" s="80"/>
      <c r="K150" s="74"/>
    </row>
    <row r="151" spans="1:11" ht="30" customHeight="1" x14ac:dyDescent="0.25">
      <c r="A151" s="78"/>
      <c r="B151" s="79"/>
      <c r="C151" s="27"/>
      <c r="D151" s="74"/>
      <c r="E151" s="79"/>
      <c r="F151" s="79"/>
      <c r="G151" s="28"/>
      <c r="H151" s="74"/>
      <c r="I151" s="74"/>
      <c r="J151" s="80"/>
      <c r="K151" s="74"/>
    </row>
    <row r="152" spans="1:11" ht="30" customHeight="1" x14ac:dyDescent="0.25">
      <c r="A152" s="78"/>
      <c r="B152" s="79"/>
      <c r="C152" s="27"/>
      <c r="D152" s="74"/>
      <c r="E152" s="79"/>
      <c r="F152" s="79"/>
      <c r="G152" s="28"/>
      <c r="H152" s="74"/>
      <c r="I152" s="74"/>
      <c r="J152" s="80"/>
      <c r="K152" s="74"/>
    </row>
    <row r="153" spans="1:11" ht="30" customHeight="1" x14ac:dyDescent="0.25">
      <c r="A153" s="78"/>
      <c r="B153" s="79"/>
      <c r="C153" s="27"/>
      <c r="D153" s="74"/>
      <c r="E153" s="79"/>
      <c r="F153" s="79"/>
      <c r="G153" s="28"/>
      <c r="H153" s="74"/>
      <c r="I153" s="74"/>
      <c r="J153" s="80"/>
      <c r="K153" s="74"/>
    </row>
    <row r="154" spans="1:11" ht="30" customHeight="1" x14ac:dyDescent="0.25">
      <c r="A154" s="78"/>
      <c r="B154" s="79"/>
      <c r="C154" s="27"/>
      <c r="D154" s="74"/>
      <c r="E154" s="79"/>
      <c r="F154" s="79"/>
      <c r="G154" s="28"/>
      <c r="H154" s="74"/>
      <c r="I154" s="74"/>
      <c r="J154" s="80"/>
      <c r="K154" s="74"/>
    </row>
    <row r="155" spans="1:11" ht="30" customHeight="1" x14ac:dyDescent="0.25">
      <c r="A155" s="78"/>
      <c r="B155" s="79"/>
      <c r="C155" s="27"/>
      <c r="D155" s="74"/>
      <c r="E155" s="79"/>
      <c r="F155" s="79"/>
      <c r="G155" s="28"/>
      <c r="H155" s="74"/>
      <c r="I155" s="74"/>
      <c r="J155" s="80"/>
      <c r="K155" s="74"/>
    </row>
    <row r="156" spans="1:11" ht="30" customHeight="1" x14ac:dyDescent="0.25">
      <c r="A156" s="78"/>
      <c r="B156" s="79"/>
      <c r="C156" s="27"/>
      <c r="D156" s="74"/>
      <c r="E156" s="79"/>
      <c r="F156" s="79"/>
      <c r="G156" s="28"/>
      <c r="H156" s="74"/>
      <c r="I156" s="74"/>
      <c r="J156" s="80"/>
      <c r="K156" s="74"/>
    </row>
    <row r="157" spans="1:11" ht="30" customHeight="1" x14ac:dyDescent="0.25">
      <c r="A157" s="78"/>
      <c r="B157" s="79"/>
      <c r="C157" s="27"/>
      <c r="D157" s="74"/>
      <c r="E157" s="79"/>
      <c r="F157" s="79"/>
      <c r="G157" s="28"/>
      <c r="H157" s="74"/>
      <c r="I157" s="74"/>
      <c r="J157" s="80"/>
      <c r="K157" s="74"/>
    </row>
    <row r="158" spans="1:11" ht="30" customHeight="1" x14ac:dyDescent="0.25">
      <c r="A158" s="78"/>
      <c r="B158" s="79"/>
      <c r="C158" s="27"/>
      <c r="D158" s="74"/>
      <c r="E158" s="79"/>
      <c r="F158" s="79"/>
      <c r="G158" s="28"/>
      <c r="H158" s="74"/>
      <c r="I158" s="74"/>
      <c r="J158" s="80"/>
      <c r="K158" s="74"/>
    </row>
    <row r="159" spans="1:11" ht="30" customHeight="1" x14ac:dyDescent="0.25">
      <c r="A159" s="78"/>
      <c r="B159" s="79"/>
      <c r="C159" s="27"/>
      <c r="D159" s="74"/>
      <c r="E159" s="79"/>
      <c r="F159" s="79"/>
      <c r="G159" s="28"/>
      <c r="H159" s="74"/>
      <c r="I159" s="74"/>
      <c r="J159" s="80"/>
      <c r="K159" s="74"/>
    </row>
    <row r="160" spans="1:11" ht="30" customHeight="1" x14ac:dyDescent="0.25">
      <c r="A160" s="78"/>
      <c r="B160" s="79"/>
      <c r="C160" s="27"/>
      <c r="D160" s="74"/>
      <c r="E160" s="79"/>
      <c r="F160" s="79"/>
      <c r="G160" s="28"/>
      <c r="H160" s="74"/>
      <c r="I160" s="74"/>
      <c r="J160" s="80"/>
      <c r="K160" s="74"/>
    </row>
    <row r="161" spans="1:11" ht="30" customHeight="1" x14ac:dyDescent="0.25">
      <c r="A161" s="78"/>
      <c r="B161" s="79"/>
      <c r="C161" s="27"/>
      <c r="D161" s="74"/>
      <c r="E161" s="79"/>
      <c r="F161" s="79"/>
      <c r="G161" s="28"/>
      <c r="H161" s="74"/>
      <c r="I161" s="74"/>
      <c r="J161" s="80"/>
      <c r="K161" s="74"/>
    </row>
    <row r="162" spans="1:11" ht="30" customHeight="1" x14ac:dyDescent="0.25">
      <c r="A162" s="78"/>
      <c r="B162" s="79"/>
      <c r="C162" s="27"/>
      <c r="D162" s="74"/>
      <c r="E162" s="79"/>
      <c r="F162" s="79"/>
      <c r="G162" s="28"/>
      <c r="H162" s="74"/>
      <c r="I162" s="74"/>
      <c r="J162" s="80"/>
      <c r="K162" s="74"/>
    </row>
    <row r="163" spans="1:11" ht="30" customHeight="1" x14ac:dyDescent="0.25">
      <c r="A163" s="78"/>
      <c r="B163" s="79"/>
      <c r="C163" s="27"/>
      <c r="D163" s="74"/>
      <c r="E163" s="79"/>
      <c r="F163" s="79"/>
      <c r="G163" s="28"/>
      <c r="H163" s="74"/>
      <c r="I163" s="74"/>
      <c r="J163" s="80"/>
      <c r="K163" s="74"/>
    </row>
    <row r="164" spans="1:11" ht="30" customHeight="1" x14ac:dyDescent="0.25">
      <c r="A164" s="78"/>
      <c r="B164" s="79"/>
      <c r="C164" s="27"/>
      <c r="D164" s="74"/>
      <c r="E164" s="79"/>
      <c r="F164" s="79"/>
      <c r="G164" s="28"/>
      <c r="H164" s="74"/>
      <c r="I164" s="74"/>
      <c r="J164" s="80"/>
      <c r="K164" s="74"/>
    </row>
    <row r="165" spans="1:11" ht="30" customHeight="1" x14ac:dyDescent="0.25">
      <c r="A165" s="78"/>
      <c r="B165" s="79"/>
      <c r="C165" s="27"/>
      <c r="D165" s="74"/>
      <c r="E165" s="79"/>
      <c r="F165" s="79"/>
      <c r="G165" s="28"/>
      <c r="H165" s="74"/>
      <c r="I165" s="74"/>
      <c r="J165" s="80"/>
      <c r="K165" s="74"/>
    </row>
    <row r="166" spans="1:11" ht="30" customHeight="1" x14ac:dyDescent="0.25">
      <c r="A166" s="78"/>
      <c r="B166" s="79"/>
      <c r="C166" s="27"/>
      <c r="D166" s="74"/>
      <c r="E166" s="79"/>
      <c r="F166" s="79"/>
      <c r="G166" s="28"/>
      <c r="H166" s="74"/>
      <c r="I166" s="74"/>
      <c r="J166" s="80"/>
      <c r="K166" s="74"/>
    </row>
    <row r="167" spans="1:11" ht="30" customHeight="1" x14ac:dyDescent="0.25">
      <c r="A167" s="78"/>
      <c r="B167" s="79"/>
      <c r="C167" s="27"/>
      <c r="D167" s="74"/>
      <c r="E167" s="79"/>
      <c r="F167" s="79"/>
      <c r="G167" s="28"/>
      <c r="H167" s="74"/>
      <c r="I167" s="74"/>
      <c r="J167" s="80"/>
      <c r="K167" s="74"/>
    </row>
    <row r="168" spans="1:11" ht="30" customHeight="1" x14ac:dyDescent="0.25">
      <c r="A168" s="78"/>
      <c r="B168" s="79"/>
      <c r="C168" s="27"/>
      <c r="D168" s="74"/>
      <c r="E168" s="79"/>
      <c r="F168" s="79"/>
      <c r="G168" s="28"/>
      <c r="H168" s="74"/>
      <c r="I168" s="74"/>
      <c r="J168" s="80"/>
      <c r="K168" s="74"/>
    </row>
    <row r="169" spans="1:11" ht="30" customHeight="1" x14ac:dyDescent="0.25">
      <c r="A169" s="78"/>
      <c r="B169" s="79"/>
      <c r="C169" s="27"/>
      <c r="D169" s="74"/>
      <c r="E169" s="79"/>
      <c r="F169" s="79"/>
      <c r="G169" s="28"/>
      <c r="H169" s="74"/>
      <c r="I169" s="74"/>
      <c r="J169" s="80"/>
      <c r="K169" s="74"/>
    </row>
    <row r="170" spans="1:11" ht="30" customHeight="1" x14ac:dyDescent="0.25">
      <c r="A170" s="78"/>
      <c r="B170" s="79"/>
      <c r="C170" s="27"/>
      <c r="D170" s="74"/>
      <c r="E170" s="79"/>
      <c r="F170" s="79"/>
      <c r="G170" s="28"/>
      <c r="H170" s="74"/>
      <c r="I170" s="74"/>
      <c r="J170" s="80"/>
      <c r="K170" s="74"/>
    </row>
    <row r="171" spans="1:11" ht="30" customHeight="1" x14ac:dyDescent="0.25">
      <c r="A171" s="78"/>
      <c r="B171" s="79"/>
      <c r="C171" s="27"/>
      <c r="D171" s="74"/>
      <c r="E171" s="79"/>
      <c r="F171" s="79"/>
      <c r="G171" s="28"/>
      <c r="H171" s="74"/>
      <c r="I171" s="74"/>
      <c r="J171" s="80"/>
      <c r="K171" s="74"/>
    </row>
    <row r="172" spans="1:11" ht="30" customHeight="1" x14ac:dyDescent="0.25">
      <c r="A172" s="78"/>
      <c r="B172" s="79"/>
      <c r="C172" s="27"/>
      <c r="D172" s="74"/>
      <c r="E172" s="79"/>
      <c r="F172" s="79"/>
      <c r="G172" s="28"/>
      <c r="H172" s="74"/>
      <c r="I172" s="74"/>
      <c r="J172" s="80"/>
      <c r="K172" s="74"/>
    </row>
    <row r="173" spans="1:11" ht="30" customHeight="1" x14ac:dyDescent="0.25">
      <c r="A173" s="78"/>
      <c r="B173" s="79"/>
      <c r="C173" s="27"/>
      <c r="D173" s="74"/>
      <c r="E173" s="79"/>
      <c r="F173" s="79"/>
      <c r="G173" s="28"/>
      <c r="H173" s="74"/>
      <c r="I173" s="74"/>
      <c r="J173" s="80"/>
      <c r="K173" s="74"/>
    </row>
    <row r="174" spans="1:11" ht="30" customHeight="1" x14ac:dyDescent="0.25">
      <c r="A174" s="78"/>
      <c r="B174" s="79"/>
      <c r="C174" s="27"/>
      <c r="D174" s="74"/>
      <c r="E174" s="79"/>
      <c r="F174" s="79"/>
      <c r="G174" s="28"/>
      <c r="H174" s="74"/>
      <c r="I174" s="74"/>
      <c r="J174" s="80"/>
      <c r="K174" s="74"/>
    </row>
    <row r="175" spans="1:11" ht="30" customHeight="1" x14ac:dyDescent="0.25">
      <c r="A175" s="78"/>
      <c r="B175" s="79"/>
      <c r="C175" s="27"/>
      <c r="D175" s="74"/>
      <c r="E175" s="79"/>
      <c r="F175" s="79"/>
      <c r="G175" s="28"/>
      <c r="H175" s="74"/>
      <c r="I175" s="74"/>
      <c r="J175" s="80"/>
      <c r="K175" s="74"/>
    </row>
    <row r="176" spans="1:11" ht="30" customHeight="1" x14ac:dyDescent="0.25">
      <c r="A176" s="78"/>
      <c r="B176" s="79"/>
      <c r="C176" s="27"/>
      <c r="D176" s="74"/>
      <c r="E176" s="79"/>
      <c r="F176" s="79"/>
      <c r="G176" s="28"/>
      <c r="H176" s="74"/>
      <c r="I176" s="74"/>
      <c r="J176" s="80"/>
      <c r="K176" s="74"/>
    </row>
    <row r="177" spans="1:11" ht="30" customHeight="1" x14ac:dyDescent="0.25">
      <c r="A177" s="78"/>
      <c r="B177" s="79"/>
      <c r="C177" s="27"/>
      <c r="D177" s="74"/>
      <c r="E177" s="79"/>
      <c r="F177" s="79"/>
      <c r="G177" s="28"/>
      <c r="H177" s="74"/>
      <c r="I177" s="74"/>
      <c r="J177" s="80"/>
      <c r="K177" s="74"/>
    </row>
    <row r="178" spans="1:11" ht="30" customHeight="1" x14ac:dyDescent="0.25">
      <c r="A178" s="78"/>
      <c r="B178" s="79"/>
      <c r="C178" s="27"/>
      <c r="D178" s="74"/>
      <c r="E178" s="79"/>
      <c r="F178" s="79"/>
      <c r="G178" s="28"/>
      <c r="H178" s="74"/>
      <c r="I178" s="74"/>
      <c r="J178" s="80"/>
      <c r="K178" s="74"/>
    </row>
    <row r="179" spans="1:11" ht="30" customHeight="1" x14ac:dyDescent="0.25">
      <c r="A179" s="78"/>
      <c r="B179" s="79"/>
      <c r="C179" s="27"/>
      <c r="D179" s="74"/>
      <c r="E179" s="79"/>
      <c r="F179" s="79"/>
      <c r="G179" s="28"/>
      <c r="H179" s="74"/>
      <c r="I179" s="74"/>
      <c r="J179" s="80"/>
      <c r="K179" s="74"/>
    </row>
    <row r="180" spans="1:11" ht="30" customHeight="1" x14ac:dyDescent="0.25">
      <c r="A180" s="78"/>
      <c r="B180" s="79"/>
      <c r="C180" s="27"/>
      <c r="D180" s="74"/>
      <c r="E180" s="79"/>
      <c r="F180" s="79"/>
      <c r="G180" s="28"/>
      <c r="H180" s="74"/>
      <c r="I180" s="74"/>
      <c r="J180" s="80"/>
      <c r="K180" s="74"/>
    </row>
    <row r="181" spans="1:11" ht="30" customHeight="1" x14ac:dyDescent="0.25">
      <c r="A181" s="78"/>
      <c r="B181" s="79"/>
      <c r="C181" s="27"/>
      <c r="D181" s="74"/>
      <c r="E181" s="79"/>
      <c r="F181" s="79"/>
      <c r="G181" s="28"/>
      <c r="H181" s="74"/>
      <c r="I181" s="74"/>
      <c r="J181" s="80"/>
      <c r="K181" s="74"/>
    </row>
    <row r="182" spans="1:11" ht="30" customHeight="1" x14ac:dyDescent="0.25">
      <c r="A182" s="78"/>
      <c r="B182" s="79"/>
      <c r="C182" s="27"/>
      <c r="D182" s="74"/>
      <c r="E182" s="79"/>
      <c r="F182" s="79"/>
      <c r="G182" s="28"/>
      <c r="H182" s="74"/>
      <c r="I182" s="74"/>
      <c r="J182" s="80"/>
      <c r="K182" s="74"/>
    </row>
    <row r="183" spans="1:11" ht="30" customHeight="1" x14ac:dyDescent="0.25">
      <c r="A183" s="78"/>
      <c r="B183" s="79"/>
      <c r="C183" s="27"/>
      <c r="D183" s="74"/>
      <c r="E183" s="79"/>
      <c r="F183" s="79"/>
      <c r="G183" s="28"/>
      <c r="H183" s="74"/>
      <c r="I183" s="74"/>
      <c r="J183" s="80"/>
      <c r="K183" s="74"/>
    </row>
    <row r="184" spans="1:11" ht="30" customHeight="1" x14ac:dyDescent="0.25">
      <c r="A184" s="78"/>
      <c r="B184" s="79"/>
      <c r="C184" s="27"/>
      <c r="D184" s="74"/>
      <c r="E184" s="79"/>
      <c r="F184" s="79"/>
      <c r="G184" s="28"/>
      <c r="H184" s="74"/>
      <c r="I184" s="74"/>
      <c r="J184" s="80"/>
      <c r="K184" s="74"/>
    </row>
    <row r="185" spans="1:11" ht="30" customHeight="1" x14ac:dyDescent="0.25">
      <c r="A185" s="78"/>
      <c r="B185" s="79"/>
      <c r="C185" s="27"/>
      <c r="D185" s="74"/>
      <c r="E185" s="79"/>
      <c r="F185" s="79"/>
      <c r="G185" s="28"/>
      <c r="H185" s="74"/>
      <c r="I185" s="74"/>
      <c r="J185" s="80"/>
      <c r="K185" s="74"/>
    </row>
    <row r="186" spans="1:11" ht="30" customHeight="1" x14ac:dyDescent="0.25">
      <c r="A186" s="78"/>
      <c r="B186" s="79"/>
      <c r="C186" s="27"/>
      <c r="D186" s="74"/>
      <c r="E186" s="79"/>
      <c r="F186" s="79"/>
      <c r="G186" s="28"/>
      <c r="H186" s="74"/>
      <c r="I186" s="74"/>
      <c r="J186" s="80"/>
      <c r="K186" s="74"/>
    </row>
    <row r="187" spans="1:11" ht="30" customHeight="1" x14ac:dyDescent="0.25">
      <c r="A187" s="78"/>
      <c r="B187" s="79"/>
      <c r="C187" s="27"/>
      <c r="D187" s="74"/>
      <c r="E187" s="79"/>
      <c r="F187" s="79"/>
      <c r="G187" s="28"/>
      <c r="H187" s="74"/>
      <c r="I187" s="74"/>
      <c r="J187" s="80"/>
      <c r="K187" s="74"/>
    </row>
    <row r="188" spans="1:11" ht="30" customHeight="1" x14ac:dyDescent="0.25">
      <c r="A188" s="78"/>
      <c r="B188" s="79"/>
      <c r="C188" s="27"/>
      <c r="D188" s="74"/>
      <c r="E188" s="79"/>
      <c r="F188" s="79"/>
      <c r="G188" s="28"/>
      <c r="H188" s="74"/>
      <c r="I188" s="74"/>
      <c r="J188" s="80"/>
      <c r="K188" s="74"/>
    </row>
    <row r="189" spans="1:11" ht="30" customHeight="1" x14ac:dyDescent="0.25">
      <c r="A189" s="78"/>
      <c r="B189" s="79"/>
      <c r="C189" s="27"/>
      <c r="D189" s="74"/>
      <c r="E189" s="79"/>
      <c r="F189" s="79"/>
      <c r="G189" s="28"/>
      <c r="H189" s="74"/>
      <c r="I189" s="74"/>
      <c r="J189" s="80"/>
      <c r="K189" s="74"/>
    </row>
    <row r="190" spans="1:11" ht="30" customHeight="1" x14ac:dyDescent="0.25">
      <c r="A190" s="78"/>
      <c r="B190" s="79"/>
      <c r="C190" s="27"/>
      <c r="D190" s="74"/>
      <c r="E190" s="79"/>
      <c r="F190" s="79"/>
      <c r="G190" s="28"/>
      <c r="H190" s="74"/>
      <c r="I190" s="74"/>
      <c r="J190" s="80"/>
      <c r="K190" s="74"/>
    </row>
    <row r="191" spans="1:11" ht="30" customHeight="1" x14ac:dyDescent="0.25">
      <c r="A191" s="78"/>
      <c r="B191" s="79"/>
      <c r="C191" s="27"/>
      <c r="D191" s="74"/>
      <c r="E191" s="79"/>
      <c r="F191" s="79"/>
      <c r="G191" s="28"/>
      <c r="H191" s="74"/>
      <c r="I191" s="74"/>
      <c r="J191" s="80"/>
      <c r="K191" s="74"/>
    </row>
    <row r="192" spans="1:11" ht="30" customHeight="1" x14ac:dyDescent="0.25">
      <c r="A192" s="78"/>
      <c r="B192" s="79"/>
      <c r="C192" s="27"/>
      <c r="D192" s="74"/>
      <c r="E192" s="79"/>
      <c r="F192" s="79"/>
      <c r="G192" s="28"/>
      <c r="H192" s="74"/>
      <c r="I192" s="74"/>
      <c r="J192" s="80"/>
      <c r="K192" s="74"/>
    </row>
    <row r="193" spans="1:11" ht="30" customHeight="1" x14ac:dyDescent="0.25">
      <c r="A193" s="78"/>
      <c r="B193" s="79"/>
      <c r="C193" s="27"/>
      <c r="D193" s="74"/>
      <c r="E193" s="79"/>
      <c r="F193" s="79"/>
      <c r="G193" s="28"/>
      <c r="H193" s="74"/>
      <c r="I193" s="74"/>
      <c r="J193" s="80"/>
      <c r="K193" s="74"/>
    </row>
    <row r="194" spans="1:11" ht="30" customHeight="1" x14ac:dyDescent="0.25">
      <c r="A194" s="78"/>
      <c r="B194" s="79"/>
      <c r="C194" s="27"/>
      <c r="D194" s="74"/>
      <c r="E194" s="79"/>
      <c r="F194" s="79"/>
      <c r="G194" s="28"/>
      <c r="H194" s="74"/>
      <c r="I194" s="74"/>
      <c r="J194" s="80"/>
      <c r="K194" s="74"/>
    </row>
    <row r="195" spans="1:11" ht="30" customHeight="1" x14ac:dyDescent="0.25">
      <c r="A195" s="78"/>
      <c r="B195" s="79"/>
      <c r="C195" s="27"/>
      <c r="D195" s="74"/>
      <c r="E195" s="79"/>
      <c r="F195" s="79"/>
      <c r="G195" s="28"/>
      <c r="H195" s="74"/>
      <c r="I195" s="74"/>
      <c r="J195" s="80"/>
      <c r="K195" s="74"/>
    </row>
    <row r="196" spans="1:11" ht="30" customHeight="1" x14ac:dyDescent="0.25">
      <c r="A196" s="78"/>
      <c r="B196" s="79"/>
      <c r="C196" s="27"/>
      <c r="D196" s="74"/>
      <c r="E196" s="79"/>
      <c r="F196" s="79"/>
      <c r="G196" s="28"/>
      <c r="H196" s="74"/>
      <c r="I196" s="74"/>
      <c r="J196" s="80"/>
      <c r="K196" s="74"/>
    </row>
    <row r="197" spans="1:11" ht="30" customHeight="1" x14ac:dyDescent="0.25">
      <c r="A197" s="78"/>
      <c r="B197" s="79"/>
      <c r="C197" s="27"/>
      <c r="D197" s="74"/>
      <c r="E197" s="79"/>
      <c r="F197" s="79"/>
      <c r="G197" s="28"/>
      <c r="H197" s="74"/>
      <c r="I197" s="74"/>
      <c r="J197" s="80"/>
      <c r="K197" s="74"/>
    </row>
    <row r="198" spans="1:11" ht="30" customHeight="1" x14ac:dyDescent="0.25">
      <c r="A198" s="78"/>
      <c r="B198" s="79"/>
      <c r="C198" s="27"/>
      <c r="D198" s="74"/>
      <c r="E198" s="79"/>
      <c r="F198" s="79"/>
      <c r="G198" s="28"/>
      <c r="H198" s="74"/>
      <c r="I198" s="74"/>
      <c r="J198" s="80"/>
      <c r="K198" s="74"/>
    </row>
    <row r="199" spans="1:11" ht="30" customHeight="1" x14ac:dyDescent="0.25">
      <c r="A199" s="78"/>
      <c r="B199" s="79"/>
      <c r="C199" s="27"/>
      <c r="D199" s="74"/>
      <c r="E199" s="79"/>
      <c r="F199" s="79"/>
      <c r="G199" s="28"/>
      <c r="H199" s="74"/>
      <c r="I199" s="74"/>
      <c r="J199" s="80"/>
      <c r="K199" s="74"/>
    </row>
    <row r="200" spans="1:11" ht="30" customHeight="1" x14ac:dyDescent="0.25">
      <c r="A200" s="78"/>
      <c r="B200" s="79"/>
      <c r="C200" s="27"/>
      <c r="D200" s="74"/>
      <c r="E200" s="79"/>
      <c r="F200" s="79"/>
      <c r="G200" s="28"/>
      <c r="H200" s="74"/>
      <c r="I200" s="74"/>
      <c r="J200" s="80"/>
      <c r="K200" s="74"/>
    </row>
    <row r="201" spans="1:11" ht="30" customHeight="1" x14ac:dyDescent="0.25">
      <c r="A201" s="78"/>
      <c r="B201" s="79"/>
      <c r="C201" s="27"/>
      <c r="D201" s="74"/>
      <c r="E201" s="79"/>
      <c r="F201" s="79"/>
      <c r="G201" s="28"/>
      <c r="H201" s="74"/>
      <c r="I201" s="74"/>
      <c r="J201" s="80"/>
      <c r="K201" s="74"/>
    </row>
    <row r="202" spans="1:11" ht="30" customHeight="1" x14ac:dyDescent="0.25">
      <c r="A202" s="78"/>
      <c r="B202" s="79"/>
      <c r="C202" s="27"/>
      <c r="D202" s="74"/>
      <c r="E202" s="79"/>
      <c r="F202" s="79"/>
      <c r="G202" s="28"/>
      <c r="H202" s="74"/>
      <c r="I202" s="74"/>
      <c r="J202" s="80"/>
      <c r="K202" s="74"/>
    </row>
    <row r="203" spans="1:11" ht="30" customHeight="1" x14ac:dyDescent="0.25">
      <c r="A203" s="78"/>
      <c r="B203" s="79"/>
      <c r="C203" s="27"/>
      <c r="D203" s="74"/>
      <c r="E203" s="79"/>
      <c r="F203" s="79"/>
      <c r="G203" s="28"/>
      <c r="H203" s="74"/>
      <c r="I203" s="74"/>
      <c r="J203" s="80"/>
      <c r="K203" s="74"/>
    </row>
    <row r="204" spans="1:11" ht="30" customHeight="1" x14ac:dyDescent="0.25">
      <c r="A204" s="78"/>
      <c r="B204" s="79"/>
      <c r="C204" s="27"/>
      <c r="D204" s="74"/>
      <c r="E204" s="79"/>
      <c r="F204" s="79"/>
      <c r="G204" s="28"/>
      <c r="H204" s="74"/>
      <c r="I204" s="74"/>
      <c r="J204" s="80"/>
      <c r="K204" s="74"/>
    </row>
    <row r="205" spans="1:11" ht="30" customHeight="1" x14ac:dyDescent="0.25">
      <c r="A205" s="78"/>
      <c r="B205" s="79"/>
      <c r="C205" s="27"/>
      <c r="D205" s="74"/>
      <c r="E205" s="79"/>
      <c r="F205" s="79"/>
      <c r="G205" s="28"/>
      <c r="H205" s="74"/>
      <c r="I205" s="74"/>
      <c r="J205" s="80"/>
      <c r="K205" s="74"/>
    </row>
    <row r="206" spans="1:11" ht="30" customHeight="1" x14ac:dyDescent="0.25">
      <c r="A206" s="78"/>
      <c r="B206" s="79"/>
      <c r="C206" s="27"/>
      <c r="D206" s="74"/>
      <c r="E206" s="79"/>
      <c r="F206" s="79"/>
      <c r="G206" s="28"/>
      <c r="H206" s="74"/>
      <c r="I206" s="74"/>
      <c r="J206" s="80"/>
      <c r="K206" s="74"/>
    </row>
    <row r="207" spans="1:11" ht="30" customHeight="1" x14ac:dyDescent="0.25">
      <c r="A207" s="78"/>
      <c r="B207" s="79"/>
      <c r="C207" s="27"/>
      <c r="D207" s="74"/>
      <c r="E207" s="79"/>
      <c r="F207" s="79"/>
      <c r="G207" s="28"/>
      <c r="H207" s="74"/>
      <c r="I207" s="74"/>
      <c r="J207" s="80"/>
      <c r="K207" s="74"/>
    </row>
    <row r="208" spans="1:11" ht="30" customHeight="1" x14ac:dyDescent="0.25">
      <c r="A208" s="78"/>
      <c r="B208" s="79"/>
      <c r="C208" s="27"/>
      <c r="D208" s="74"/>
      <c r="E208" s="79"/>
      <c r="F208" s="79"/>
      <c r="G208" s="28"/>
      <c r="H208" s="74"/>
      <c r="I208" s="74"/>
      <c r="J208" s="80"/>
      <c r="K208" s="74"/>
    </row>
    <row r="209" spans="1:11" ht="30" customHeight="1" x14ac:dyDescent="0.25">
      <c r="A209" s="78"/>
      <c r="B209" s="79"/>
      <c r="C209" s="27"/>
      <c r="D209" s="74"/>
      <c r="E209" s="79"/>
      <c r="F209" s="79"/>
      <c r="G209" s="28"/>
      <c r="H209" s="74"/>
      <c r="I209" s="74"/>
      <c r="J209" s="80"/>
      <c r="K209" s="74"/>
    </row>
    <row r="210" spans="1:11" ht="30" customHeight="1" x14ac:dyDescent="0.25">
      <c r="A210" s="78"/>
      <c r="B210" s="79"/>
      <c r="C210" s="27"/>
      <c r="D210" s="74"/>
      <c r="E210" s="79"/>
      <c r="F210" s="79"/>
      <c r="G210" s="28"/>
      <c r="H210" s="74"/>
      <c r="I210" s="74"/>
      <c r="J210" s="80"/>
      <c r="K210" s="74"/>
    </row>
    <row r="211" spans="1:11" ht="30" customHeight="1" x14ac:dyDescent="0.25">
      <c r="A211" s="78"/>
      <c r="B211" s="79"/>
      <c r="C211" s="27"/>
      <c r="D211" s="74"/>
      <c r="E211" s="79"/>
      <c r="F211" s="79"/>
      <c r="G211" s="28"/>
      <c r="H211" s="74"/>
      <c r="I211" s="74"/>
      <c r="J211" s="80"/>
      <c r="K211" s="74"/>
    </row>
    <row r="212" spans="1:11" ht="30" customHeight="1" x14ac:dyDescent="0.25">
      <c r="A212" s="78"/>
      <c r="B212" s="79"/>
      <c r="C212" s="27"/>
      <c r="D212" s="74"/>
      <c r="E212" s="79"/>
      <c r="F212" s="79"/>
      <c r="G212" s="28"/>
      <c r="H212" s="74"/>
      <c r="I212" s="74"/>
      <c r="J212" s="80"/>
      <c r="K212" s="74"/>
    </row>
    <row r="213" spans="1:11" ht="30" customHeight="1" x14ac:dyDescent="0.25">
      <c r="A213" s="78"/>
      <c r="B213" s="79"/>
      <c r="C213" s="27"/>
      <c r="D213" s="74"/>
      <c r="E213" s="79"/>
      <c r="F213" s="79"/>
      <c r="G213" s="28"/>
      <c r="H213" s="74"/>
      <c r="I213" s="74"/>
      <c r="J213" s="80"/>
      <c r="K213" s="74"/>
    </row>
    <row r="214" spans="1:11" ht="30" customHeight="1" x14ac:dyDescent="0.25">
      <c r="A214" s="78"/>
      <c r="B214" s="79"/>
      <c r="C214" s="27"/>
      <c r="D214" s="74"/>
      <c r="E214" s="79"/>
      <c r="F214" s="79"/>
      <c r="G214" s="28"/>
      <c r="H214" s="74"/>
      <c r="I214" s="74"/>
      <c r="J214" s="80"/>
      <c r="K214" s="74"/>
    </row>
    <row r="215" spans="1:11" ht="30" customHeight="1" x14ac:dyDescent="0.25">
      <c r="A215" s="78"/>
      <c r="B215" s="79"/>
      <c r="C215" s="27"/>
      <c r="D215" s="74"/>
      <c r="E215" s="79"/>
      <c r="F215" s="79"/>
      <c r="G215" s="28"/>
      <c r="H215" s="74"/>
      <c r="I215" s="74"/>
      <c r="J215" s="80"/>
      <c r="K215" s="74"/>
    </row>
    <row r="216" spans="1:11" ht="30" customHeight="1" x14ac:dyDescent="0.25">
      <c r="A216" s="78"/>
      <c r="B216" s="79"/>
      <c r="C216" s="27"/>
      <c r="D216" s="74"/>
      <c r="E216" s="79"/>
      <c r="F216" s="79"/>
      <c r="G216" s="28"/>
      <c r="H216" s="74"/>
      <c r="I216" s="74"/>
      <c r="J216" s="80"/>
      <c r="K216" s="74"/>
    </row>
    <row r="217" spans="1:11" ht="30" customHeight="1" x14ac:dyDescent="0.25">
      <c r="A217" s="78"/>
      <c r="B217" s="79"/>
      <c r="C217" s="27"/>
      <c r="D217" s="74"/>
      <c r="E217" s="79"/>
      <c r="F217" s="79"/>
      <c r="G217" s="28"/>
      <c r="H217" s="74"/>
      <c r="I217" s="74"/>
      <c r="J217" s="80"/>
      <c r="K217" s="74"/>
    </row>
    <row r="218" spans="1:11" ht="30" customHeight="1" x14ac:dyDescent="0.25">
      <c r="A218" s="78"/>
      <c r="B218" s="79"/>
      <c r="C218" s="27"/>
      <c r="D218" s="74"/>
      <c r="E218" s="79"/>
      <c r="F218" s="79"/>
      <c r="G218" s="28"/>
      <c r="H218" s="74"/>
      <c r="I218" s="74"/>
      <c r="J218" s="80"/>
      <c r="K218" s="74"/>
    </row>
    <row r="219" spans="1:11" ht="30" customHeight="1" x14ac:dyDescent="0.25">
      <c r="A219" s="78"/>
      <c r="B219" s="79"/>
      <c r="C219" s="27"/>
      <c r="D219" s="74"/>
      <c r="E219" s="79"/>
      <c r="F219" s="79"/>
      <c r="G219" s="28"/>
      <c r="H219" s="74"/>
      <c r="I219" s="74"/>
      <c r="J219" s="80"/>
      <c r="K219" s="74"/>
    </row>
    <row r="220" spans="1:11" ht="30" customHeight="1" x14ac:dyDescent="0.25">
      <c r="A220" s="78"/>
      <c r="B220" s="79"/>
      <c r="C220" s="27"/>
      <c r="D220" s="74"/>
      <c r="E220" s="79"/>
      <c r="F220" s="79"/>
      <c r="G220" s="28"/>
      <c r="H220" s="74"/>
      <c r="I220" s="74"/>
      <c r="J220" s="80"/>
      <c r="K220" s="74"/>
    </row>
    <row r="221" spans="1:11" ht="30" customHeight="1" x14ac:dyDescent="0.25">
      <c r="A221" s="78"/>
      <c r="B221" s="79"/>
      <c r="C221" s="27"/>
      <c r="D221" s="74"/>
      <c r="E221" s="79"/>
      <c r="F221" s="79"/>
      <c r="G221" s="28"/>
      <c r="H221" s="74"/>
      <c r="I221" s="74"/>
      <c r="J221" s="80"/>
      <c r="K221" s="74"/>
    </row>
    <row r="222" spans="1:11" ht="30" customHeight="1" x14ac:dyDescent="0.25">
      <c r="A222" s="78"/>
      <c r="B222" s="79"/>
      <c r="C222" s="27"/>
      <c r="D222" s="74"/>
      <c r="E222" s="79"/>
      <c r="F222" s="79"/>
      <c r="G222" s="28"/>
      <c r="H222" s="74"/>
      <c r="I222" s="74"/>
      <c r="J222" s="80"/>
      <c r="K222" s="74"/>
    </row>
    <row r="223" spans="1:11" ht="30" customHeight="1" x14ac:dyDescent="0.25">
      <c r="A223" s="78"/>
      <c r="B223" s="79"/>
      <c r="C223" s="27"/>
      <c r="D223" s="74"/>
      <c r="E223" s="79"/>
      <c r="F223" s="79"/>
      <c r="G223" s="28"/>
      <c r="H223" s="74"/>
      <c r="I223" s="74"/>
      <c r="J223" s="80"/>
      <c r="K223" s="74"/>
    </row>
    <row r="224" spans="1:11" ht="30" customHeight="1" x14ac:dyDescent="0.25">
      <c r="A224" s="78"/>
      <c r="B224" s="79"/>
      <c r="C224" s="27"/>
      <c r="D224" s="74"/>
      <c r="E224" s="79"/>
      <c r="F224" s="79"/>
      <c r="G224" s="28"/>
      <c r="H224" s="74"/>
      <c r="I224" s="74"/>
      <c r="J224" s="80"/>
      <c r="K224" s="74"/>
    </row>
    <row r="225" spans="1:11" ht="30" customHeight="1" x14ac:dyDescent="0.25">
      <c r="A225" s="78"/>
      <c r="B225" s="79"/>
      <c r="C225" s="27"/>
      <c r="D225" s="74"/>
      <c r="E225" s="79"/>
      <c r="F225" s="79"/>
      <c r="G225" s="28"/>
      <c r="H225" s="74"/>
      <c r="I225" s="74"/>
      <c r="J225" s="80"/>
      <c r="K225" s="74"/>
    </row>
    <row r="226" spans="1:11" ht="30" customHeight="1" x14ac:dyDescent="0.25">
      <c r="A226" s="78"/>
      <c r="B226" s="79"/>
      <c r="C226" s="27"/>
      <c r="D226" s="74"/>
      <c r="E226" s="79"/>
      <c r="F226" s="79"/>
      <c r="G226" s="28"/>
      <c r="H226" s="74"/>
      <c r="I226" s="74"/>
      <c r="J226" s="80"/>
      <c r="K226" s="74"/>
    </row>
    <row r="227" spans="1:11" ht="30" customHeight="1" x14ac:dyDescent="0.25">
      <c r="A227" s="78"/>
      <c r="B227" s="79"/>
      <c r="C227" s="27"/>
      <c r="D227" s="74"/>
      <c r="E227" s="79"/>
      <c r="F227" s="79"/>
      <c r="G227" s="28"/>
      <c r="H227" s="74"/>
      <c r="I227" s="74"/>
      <c r="J227" s="80"/>
      <c r="K227" s="74"/>
    </row>
    <row r="228" spans="1:11" ht="30" customHeight="1" x14ac:dyDescent="0.25">
      <c r="A228" s="78"/>
      <c r="B228" s="79"/>
      <c r="C228" s="27"/>
      <c r="D228" s="74"/>
      <c r="E228" s="79"/>
      <c r="F228" s="79"/>
      <c r="G228" s="28"/>
      <c r="H228" s="74"/>
      <c r="I228" s="74"/>
      <c r="J228" s="80"/>
      <c r="K228" s="74"/>
    </row>
    <row r="229" spans="1:11" ht="30" customHeight="1" x14ac:dyDescent="0.25">
      <c r="A229" s="78"/>
      <c r="B229" s="79"/>
      <c r="C229" s="27"/>
      <c r="D229" s="74"/>
      <c r="E229" s="79"/>
      <c r="F229" s="79"/>
      <c r="G229" s="28"/>
      <c r="H229" s="74"/>
      <c r="I229" s="74"/>
      <c r="J229" s="80"/>
      <c r="K229" s="74"/>
    </row>
    <row r="230" spans="1:11" ht="30" customHeight="1" x14ac:dyDescent="0.25">
      <c r="A230" s="78"/>
      <c r="B230" s="79"/>
      <c r="C230" s="27"/>
      <c r="D230" s="74"/>
      <c r="E230" s="79"/>
      <c r="F230" s="79"/>
      <c r="G230" s="28"/>
      <c r="H230" s="74"/>
      <c r="I230" s="74"/>
      <c r="J230" s="80"/>
      <c r="K230" s="74"/>
    </row>
    <row r="231" spans="1:11" ht="30" customHeight="1" x14ac:dyDescent="0.25">
      <c r="A231" s="78"/>
      <c r="B231" s="79"/>
      <c r="C231" s="27"/>
      <c r="D231" s="74"/>
      <c r="E231" s="79"/>
      <c r="F231" s="79"/>
      <c r="G231" s="28"/>
      <c r="H231" s="74"/>
      <c r="I231" s="74"/>
      <c r="J231" s="80"/>
      <c r="K231" s="74"/>
    </row>
    <row r="232" spans="1:11" ht="30" customHeight="1" x14ac:dyDescent="0.25">
      <c r="A232" s="78"/>
      <c r="B232" s="79"/>
      <c r="C232" s="27"/>
      <c r="D232" s="74"/>
      <c r="E232" s="79"/>
      <c r="F232" s="79"/>
      <c r="G232" s="28"/>
      <c r="H232" s="74"/>
      <c r="I232" s="74"/>
      <c r="J232" s="80"/>
      <c r="K232" s="74"/>
    </row>
    <row r="233" spans="1:11" ht="30" customHeight="1" x14ac:dyDescent="0.25">
      <c r="A233" s="78"/>
      <c r="B233" s="79"/>
      <c r="C233" s="27"/>
      <c r="D233" s="74"/>
      <c r="E233" s="79"/>
      <c r="F233" s="79"/>
      <c r="G233" s="28"/>
      <c r="H233" s="74"/>
      <c r="I233" s="74"/>
      <c r="J233" s="80"/>
      <c r="K233" s="74"/>
    </row>
    <row r="234" spans="1:11" ht="30" customHeight="1" x14ac:dyDescent="0.25">
      <c r="A234" s="78"/>
      <c r="B234" s="79"/>
      <c r="C234" s="27"/>
      <c r="D234" s="74"/>
      <c r="E234" s="79"/>
      <c r="F234" s="79"/>
      <c r="G234" s="28"/>
      <c r="H234" s="74"/>
      <c r="I234" s="74"/>
      <c r="J234" s="80"/>
      <c r="K234" s="74"/>
    </row>
    <row r="235" spans="1:11" ht="30" customHeight="1" x14ac:dyDescent="0.25">
      <c r="A235" s="78"/>
      <c r="B235" s="79"/>
      <c r="C235" s="27"/>
      <c r="D235" s="74"/>
      <c r="E235" s="79"/>
      <c r="F235" s="79"/>
      <c r="G235" s="28"/>
      <c r="H235" s="74"/>
      <c r="I235" s="74"/>
      <c r="J235" s="80"/>
      <c r="K235" s="74"/>
    </row>
    <row r="236" spans="1:11" ht="30" customHeight="1" x14ac:dyDescent="0.25">
      <c r="A236" s="78"/>
      <c r="B236" s="79"/>
      <c r="C236" s="27"/>
      <c r="D236" s="74"/>
      <c r="E236" s="79"/>
      <c r="F236" s="79"/>
      <c r="G236" s="28"/>
      <c r="H236" s="74"/>
      <c r="I236" s="74"/>
      <c r="J236" s="80"/>
      <c r="K236" s="74"/>
    </row>
    <row r="237" spans="1:11" ht="30" customHeight="1" x14ac:dyDescent="0.25">
      <c r="A237" s="78"/>
      <c r="B237" s="79"/>
      <c r="C237" s="27"/>
      <c r="D237" s="74"/>
      <c r="E237" s="79"/>
      <c r="F237" s="79"/>
      <c r="G237" s="28"/>
      <c r="H237" s="74"/>
      <c r="I237" s="74"/>
      <c r="J237" s="80"/>
      <c r="K237" s="74"/>
    </row>
    <row r="238" spans="1:11" ht="30" customHeight="1" x14ac:dyDescent="0.25">
      <c r="A238" s="78"/>
      <c r="B238" s="79"/>
      <c r="C238" s="27"/>
      <c r="D238" s="74"/>
      <c r="E238" s="79"/>
      <c r="F238" s="79"/>
      <c r="G238" s="28"/>
      <c r="H238" s="74"/>
      <c r="I238" s="74"/>
      <c r="J238" s="80"/>
      <c r="K238" s="74"/>
    </row>
    <row r="239" spans="1:11" ht="30" customHeight="1" x14ac:dyDescent="0.25">
      <c r="A239" s="78"/>
      <c r="B239" s="79"/>
      <c r="C239" s="27"/>
      <c r="D239" s="74"/>
      <c r="E239" s="79"/>
      <c r="F239" s="79"/>
      <c r="G239" s="28"/>
      <c r="H239" s="74"/>
      <c r="I239" s="74"/>
      <c r="J239" s="80"/>
      <c r="K239" s="74"/>
    </row>
    <row r="240" spans="1:11" ht="30" customHeight="1" x14ac:dyDescent="0.25">
      <c r="A240" s="78"/>
      <c r="B240" s="79"/>
      <c r="C240" s="27"/>
      <c r="D240" s="74"/>
      <c r="E240" s="79"/>
      <c r="F240" s="79"/>
      <c r="G240" s="28"/>
      <c r="H240" s="74"/>
      <c r="I240" s="74"/>
      <c r="J240" s="80"/>
      <c r="K240" s="74"/>
    </row>
    <row r="241" spans="1:11" ht="30" customHeight="1" x14ac:dyDescent="0.25">
      <c r="A241" s="78"/>
      <c r="B241" s="79"/>
      <c r="C241" s="27"/>
      <c r="D241" s="74"/>
      <c r="E241" s="79"/>
      <c r="F241" s="79"/>
      <c r="G241" s="28"/>
      <c r="H241" s="74"/>
      <c r="I241" s="74"/>
      <c r="J241" s="80"/>
      <c r="K241" s="74"/>
    </row>
    <row r="242" spans="1:11" ht="30" customHeight="1" x14ac:dyDescent="0.25">
      <c r="A242" s="78"/>
      <c r="B242" s="79"/>
      <c r="C242" s="27"/>
      <c r="D242" s="74"/>
      <c r="E242" s="79"/>
      <c r="F242" s="79"/>
      <c r="G242" s="28"/>
      <c r="H242" s="74"/>
      <c r="I242" s="74"/>
      <c r="J242" s="80"/>
      <c r="K242" s="74"/>
    </row>
    <row r="243" spans="1:11" ht="30" customHeight="1" x14ac:dyDescent="0.25">
      <c r="A243" s="78"/>
      <c r="B243" s="79"/>
      <c r="C243" s="27"/>
      <c r="D243" s="74"/>
      <c r="E243" s="79"/>
      <c r="F243" s="79"/>
      <c r="G243" s="28"/>
      <c r="H243" s="74"/>
      <c r="I243" s="74"/>
      <c r="J243" s="80"/>
      <c r="K243" s="74"/>
    </row>
    <row r="244" spans="1:11" ht="30" customHeight="1" x14ac:dyDescent="0.25">
      <c r="A244" s="78"/>
      <c r="B244" s="79"/>
      <c r="C244" s="27"/>
      <c r="D244" s="74"/>
      <c r="E244" s="79"/>
      <c r="F244" s="79"/>
      <c r="G244" s="28"/>
      <c r="H244" s="74"/>
      <c r="I244" s="74"/>
      <c r="J244" s="80"/>
      <c r="K244" s="74"/>
    </row>
    <row r="245" spans="1:11" ht="30" customHeight="1" x14ac:dyDescent="0.25">
      <c r="A245" s="78"/>
      <c r="B245" s="79"/>
      <c r="C245" s="27"/>
      <c r="D245" s="74"/>
      <c r="E245" s="79"/>
      <c r="F245" s="79"/>
      <c r="G245" s="28"/>
      <c r="H245" s="74"/>
      <c r="I245" s="74"/>
      <c r="J245" s="80"/>
      <c r="K245" s="74"/>
    </row>
    <row r="246" spans="1:11" ht="30" customHeight="1" x14ac:dyDescent="0.25">
      <c r="A246" s="78"/>
      <c r="B246" s="79"/>
      <c r="C246" s="27"/>
      <c r="D246" s="74"/>
      <c r="E246" s="79"/>
      <c r="F246" s="79"/>
      <c r="G246" s="28"/>
      <c r="H246" s="74"/>
      <c r="I246" s="74"/>
      <c r="J246" s="80"/>
      <c r="K246" s="74"/>
    </row>
    <row r="247" spans="1:11" ht="30" customHeight="1" x14ac:dyDescent="0.25">
      <c r="A247" s="78"/>
      <c r="B247" s="79"/>
      <c r="C247" s="27"/>
      <c r="D247" s="74"/>
      <c r="E247" s="79"/>
      <c r="F247" s="79"/>
      <c r="G247" s="28"/>
      <c r="H247" s="74"/>
      <c r="I247" s="74"/>
      <c r="J247" s="80"/>
      <c r="K247" s="74"/>
    </row>
    <row r="248" spans="1:11" ht="30" customHeight="1" x14ac:dyDescent="0.25">
      <c r="A248" s="78"/>
      <c r="B248" s="79"/>
      <c r="C248" s="27"/>
      <c r="D248" s="74"/>
      <c r="E248" s="79"/>
      <c r="F248" s="79"/>
      <c r="G248" s="28"/>
      <c r="H248" s="74"/>
      <c r="I248" s="74"/>
      <c r="J248" s="80"/>
      <c r="K248" s="74"/>
    </row>
    <row r="249" spans="1:11" ht="30" customHeight="1" x14ac:dyDescent="0.25">
      <c r="A249" s="78"/>
      <c r="B249" s="79"/>
      <c r="C249" s="27"/>
      <c r="D249" s="74"/>
      <c r="E249" s="79"/>
      <c r="F249" s="79"/>
      <c r="G249" s="28"/>
      <c r="H249" s="74"/>
      <c r="I249" s="74"/>
      <c r="J249" s="80"/>
      <c r="K249" s="74"/>
    </row>
    <row r="250" spans="1:11" ht="30" customHeight="1" x14ac:dyDescent="0.25">
      <c r="A250" s="78"/>
      <c r="B250" s="79"/>
      <c r="C250" s="27"/>
      <c r="D250" s="74"/>
      <c r="E250" s="79"/>
      <c r="F250" s="79"/>
      <c r="G250" s="28"/>
      <c r="H250" s="74"/>
      <c r="I250" s="74"/>
      <c r="J250" s="80"/>
      <c r="K250" s="74"/>
    </row>
    <row r="251" spans="1:11" ht="30" customHeight="1" x14ac:dyDescent="0.25">
      <c r="A251" s="78"/>
      <c r="B251" s="79"/>
      <c r="C251" s="27"/>
      <c r="D251" s="74"/>
      <c r="E251" s="79"/>
      <c r="F251" s="79"/>
      <c r="G251" s="28"/>
      <c r="H251" s="74"/>
      <c r="I251" s="74"/>
      <c r="J251" s="80"/>
      <c r="K251" s="74"/>
    </row>
    <row r="252" spans="1:11" ht="30" customHeight="1" x14ac:dyDescent="0.25">
      <c r="A252" s="78"/>
      <c r="B252" s="79"/>
      <c r="C252" s="27"/>
      <c r="D252" s="74"/>
      <c r="E252" s="79"/>
      <c r="F252" s="79"/>
      <c r="G252" s="28"/>
      <c r="H252" s="74"/>
      <c r="I252" s="74"/>
      <c r="J252" s="80"/>
      <c r="K252" s="74"/>
    </row>
    <row r="253" spans="1:11" ht="30" customHeight="1" x14ac:dyDescent="0.25">
      <c r="A253" s="78"/>
      <c r="B253" s="79"/>
      <c r="C253" s="27"/>
      <c r="D253" s="74"/>
      <c r="E253" s="79"/>
      <c r="F253" s="79"/>
      <c r="G253" s="28"/>
      <c r="H253" s="74"/>
      <c r="I253" s="74"/>
      <c r="J253" s="80"/>
      <c r="K253" s="74"/>
    </row>
    <row r="254" spans="1:11" ht="30" customHeight="1" x14ac:dyDescent="0.25">
      <c r="A254" s="78"/>
      <c r="B254" s="79"/>
      <c r="C254" s="27"/>
      <c r="D254" s="74"/>
      <c r="E254" s="79"/>
      <c r="F254" s="79"/>
      <c r="G254" s="28"/>
      <c r="H254" s="74"/>
      <c r="I254" s="74"/>
      <c r="J254" s="80"/>
      <c r="K254" s="74"/>
    </row>
    <row r="255" spans="1:11" ht="30" customHeight="1" x14ac:dyDescent="0.25">
      <c r="A255" s="78"/>
      <c r="B255" s="79"/>
      <c r="C255" s="27"/>
      <c r="D255" s="74"/>
      <c r="E255" s="79"/>
      <c r="F255" s="79"/>
      <c r="G255" s="28"/>
      <c r="H255" s="74"/>
      <c r="I255" s="74"/>
      <c r="J255" s="80"/>
      <c r="K255" s="74"/>
    </row>
    <row r="256" spans="1:11" ht="30" customHeight="1" x14ac:dyDescent="0.25">
      <c r="A256" s="78"/>
      <c r="B256" s="79"/>
      <c r="C256" s="27"/>
      <c r="D256" s="74"/>
      <c r="E256" s="79"/>
      <c r="F256" s="79"/>
      <c r="G256" s="28"/>
      <c r="H256" s="74"/>
      <c r="I256" s="74"/>
      <c r="J256" s="80"/>
      <c r="K256" s="74"/>
    </row>
    <row r="257" spans="1:11" ht="30" customHeight="1" x14ac:dyDescent="0.25">
      <c r="A257" s="78"/>
      <c r="B257" s="79"/>
      <c r="C257" s="27"/>
      <c r="D257" s="74"/>
      <c r="E257" s="79"/>
      <c r="F257" s="79"/>
      <c r="G257" s="28"/>
      <c r="H257" s="74"/>
      <c r="I257" s="74"/>
      <c r="J257" s="80"/>
      <c r="K257" s="74"/>
    </row>
    <row r="258" spans="1:11" ht="30" customHeight="1" x14ac:dyDescent="0.25">
      <c r="A258" s="78"/>
      <c r="B258" s="79"/>
      <c r="C258" s="27"/>
      <c r="D258" s="74"/>
      <c r="E258" s="79"/>
      <c r="F258" s="79"/>
      <c r="G258" s="28"/>
      <c r="H258" s="74"/>
      <c r="I258" s="74"/>
      <c r="J258" s="80"/>
      <c r="K258" s="74"/>
    </row>
    <row r="259" spans="1:11" ht="30" customHeight="1" x14ac:dyDescent="0.25">
      <c r="A259" s="78"/>
      <c r="B259" s="79"/>
      <c r="C259" s="27"/>
      <c r="D259" s="74"/>
      <c r="E259" s="79"/>
      <c r="F259" s="79"/>
      <c r="G259" s="28"/>
      <c r="H259" s="74"/>
      <c r="I259" s="74"/>
      <c r="J259" s="80"/>
      <c r="K259" s="74"/>
    </row>
    <row r="260" spans="1:11" ht="30" customHeight="1" x14ac:dyDescent="0.25">
      <c r="A260" s="78"/>
      <c r="B260" s="79"/>
      <c r="C260" s="27"/>
      <c r="D260" s="74"/>
      <c r="E260" s="79"/>
      <c r="F260" s="79"/>
      <c r="G260" s="28"/>
      <c r="H260" s="74"/>
      <c r="I260" s="74"/>
      <c r="J260" s="80"/>
      <c r="K260" s="74"/>
    </row>
    <row r="261" spans="1:11" ht="30" customHeight="1" x14ac:dyDescent="0.25">
      <c r="A261" s="78"/>
      <c r="B261" s="79"/>
      <c r="C261" s="27"/>
      <c r="D261" s="74"/>
      <c r="E261" s="79"/>
      <c r="F261" s="79"/>
      <c r="G261" s="28"/>
      <c r="H261" s="74"/>
      <c r="I261" s="74"/>
      <c r="J261" s="80"/>
      <c r="K261" s="74"/>
    </row>
    <row r="262" spans="1:11" ht="30" customHeight="1" x14ac:dyDescent="0.25">
      <c r="A262" s="78"/>
      <c r="B262" s="79"/>
      <c r="C262" s="27"/>
      <c r="D262" s="74"/>
      <c r="E262" s="79"/>
      <c r="F262" s="79"/>
      <c r="G262" s="28"/>
      <c r="H262" s="74"/>
      <c r="I262" s="74"/>
      <c r="J262" s="80"/>
      <c r="K262" s="74"/>
    </row>
    <row r="263" spans="1:11" ht="30" customHeight="1" x14ac:dyDescent="0.25">
      <c r="A263" s="78"/>
      <c r="B263" s="79"/>
      <c r="C263" s="27"/>
      <c r="D263" s="74"/>
      <c r="E263" s="79"/>
      <c r="F263" s="79"/>
      <c r="G263" s="28"/>
      <c r="H263" s="74"/>
      <c r="I263" s="74"/>
      <c r="J263" s="80"/>
      <c r="K263" s="74"/>
    </row>
    <row r="264" spans="1:11" ht="30" customHeight="1" x14ac:dyDescent="0.25">
      <c r="A264" s="78"/>
      <c r="B264" s="79"/>
      <c r="C264" s="27"/>
      <c r="D264" s="74"/>
      <c r="E264" s="79"/>
      <c r="F264" s="79"/>
      <c r="G264" s="28"/>
      <c r="H264" s="74"/>
      <c r="I264" s="74"/>
      <c r="J264" s="80"/>
      <c r="K264" s="74"/>
    </row>
    <row r="265" spans="1:11" ht="30" customHeight="1" x14ac:dyDescent="0.25">
      <c r="A265" s="78"/>
      <c r="B265" s="79"/>
      <c r="C265" s="27"/>
      <c r="D265" s="74"/>
      <c r="E265" s="79"/>
      <c r="F265" s="79"/>
      <c r="G265" s="28"/>
      <c r="H265" s="74"/>
      <c r="I265" s="74"/>
      <c r="J265" s="80"/>
      <c r="K265" s="74"/>
    </row>
    <row r="266" spans="1:11" ht="30" customHeight="1" x14ac:dyDescent="0.25">
      <c r="A266" s="78"/>
      <c r="B266" s="79"/>
      <c r="C266" s="27"/>
      <c r="D266" s="74"/>
      <c r="E266" s="79"/>
      <c r="F266" s="79"/>
      <c r="G266" s="28"/>
      <c r="H266" s="74"/>
      <c r="I266" s="74"/>
      <c r="J266" s="80"/>
      <c r="K266" s="74"/>
    </row>
    <row r="267" spans="1:11" ht="30" customHeight="1" x14ac:dyDescent="0.25">
      <c r="A267" s="78"/>
      <c r="B267" s="79"/>
      <c r="C267" s="27"/>
      <c r="D267" s="74"/>
      <c r="E267" s="79"/>
      <c r="F267" s="79"/>
      <c r="G267" s="28"/>
      <c r="H267" s="74"/>
      <c r="I267" s="74"/>
      <c r="J267" s="80"/>
      <c r="K267" s="74"/>
    </row>
    <row r="268" spans="1:11" ht="30" customHeight="1" x14ac:dyDescent="0.25">
      <c r="A268" s="78"/>
      <c r="B268" s="79"/>
      <c r="C268" s="27"/>
      <c r="D268" s="74"/>
      <c r="E268" s="79"/>
      <c r="F268" s="79"/>
      <c r="G268" s="28"/>
      <c r="H268" s="74"/>
      <c r="I268" s="74"/>
      <c r="J268" s="80"/>
      <c r="K268" s="74"/>
    </row>
    <row r="269" spans="1:11" ht="30" customHeight="1" x14ac:dyDescent="0.25">
      <c r="A269" s="78"/>
      <c r="B269" s="79"/>
      <c r="C269" s="27"/>
      <c r="D269" s="74"/>
      <c r="E269" s="79"/>
      <c r="F269" s="79"/>
      <c r="G269" s="28"/>
      <c r="H269" s="74"/>
      <c r="I269" s="74"/>
      <c r="J269" s="80"/>
      <c r="K269" s="74"/>
    </row>
    <row r="270" spans="1:11" ht="30" customHeight="1" x14ac:dyDescent="0.25">
      <c r="A270" s="78"/>
      <c r="B270" s="79"/>
      <c r="C270" s="27"/>
      <c r="D270" s="74"/>
      <c r="E270" s="79"/>
      <c r="F270" s="79"/>
      <c r="G270" s="28"/>
      <c r="H270" s="74"/>
      <c r="I270" s="74"/>
      <c r="J270" s="80"/>
      <c r="K270" s="74"/>
    </row>
    <row r="271" spans="1:11" ht="30" customHeight="1" x14ac:dyDescent="0.25">
      <c r="A271" s="78"/>
      <c r="B271" s="79"/>
      <c r="C271" s="27"/>
      <c r="D271" s="74"/>
      <c r="E271" s="79"/>
      <c r="F271" s="79"/>
      <c r="G271" s="28"/>
      <c r="H271" s="74"/>
      <c r="I271" s="74"/>
      <c r="J271" s="80"/>
      <c r="K271" s="74"/>
    </row>
    <row r="272" spans="1:11" ht="30" customHeight="1" x14ac:dyDescent="0.25">
      <c r="A272" s="78"/>
      <c r="B272" s="79"/>
      <c r="C272" s="27"/>
      <c r="D272" s="74"/>
      <c r="E272" s="79"/>
      <c r="F272" s="79"/>
      <c r="G272" s="28"/>
      <c r="H272" s="74"/>
      <c r="I272" s="74"/>
      <c r="J272" s="80"/>
      <c r="K272" s="74"/>
    </row>
    <row r="273" spans="1:11" ht="30" customHeight="1" x14ac:dyDescent="0.25">
      <c r="A273" s="78"/>
      <c r="B273" s="79"/>
      <c r="C273" s="27"/>
      <c r="D273" s="74"/>
      <c r="E273" s="79"/>
      <c r="F273" s="79"/>
      <c r="G273" s="28"/>
      <c r="H273" s="74"/>
      <c r="I273" s="74"/>
      <c r="J273" s="80"/>
      <c r="K273" s="74"/>
    </row>
    <row r="274" spans="1:11" ht="30" customHeight="1" x14ac:dyDescent="0.25">
      <c r="A274" s="78"/>
      <c r="B274" s="79"/>
      <c r="C274" s="27"/>
      <c r="D274" s="74"/>
      <c r="E274" s="79"/>
      <c r="F274" s="79"/>
      <c r="G274" s="28"/>
      <c r="H274" s="74"/>
      <c r="I274" s="74"/>
      <c r="J274" s="80"/>
      <c r="K274" s="74"/>
    </row>
    <row r="275" spans="1:11" ht="30" customHeight="1" x14ac:dyDescent="0.25">
      <c r="A275" s="78"/>
      <c r="B275" s="79"/>
      <c r="C275" s="27"/>
      <c r="D275" s="74"/>
      <c r="E275" s="79"/>
      <c r="F275" s="79"/>
      <c r="G275" s="28"/>
      <c r="H275" s="74"/>
      <c r="I275" s="74"/>
      <c r="J275" s="80"/>
      <c r="K275" s="74"/>
    </row>
    <row r="276" spans="1:11" ht="30" customHeight="1" x14ac:dyDescent="0.25">
      <c r="A276" s="78"/>
      <c r="B276" s="79"/>
      <c r="C276" s="27"/>
      <c r="D276" s="74"/>
      <c r="E276" s="79"/>
      <c r="F276" s="79"/>
      <c r="G276" s="28"/>
      <c r="H276" s="74"/>
      <c r="I276" s="74"/>
      <c r="J276" s="80"/>
      <c r="K276" s="74"/>
    </row>
    <row r="277" spans="1:11" ht="30" customHeight="1" x14ac:dyDescent="0.25">
      <c r="A277" s="78"/>
      <c r="B277" s="79"/>
      <c r="C277" s="27"/>
      <c r="D277" s="74"/>
      <c r="E277" s="79"/>
      <c r="F277" s="79"/>
      <c r="G277" s="28"/>
      <c r="H277" s="74"/>
      <c r="I277" s="74"/>
      <c r="J277" s="80"/>
      <c r="K277" s="74"/>
    </row>
    <row r="278" spans="1:11" ht="30" customHeight="1" x14ac:dyDescent="0.25">
      <c r="A278" s="78"/>
      <c r="B278" s="79"/>
      <c r="C278" s="27"/>
      <c r="D278" s="74"/>
      <c r="E278" s="79"/>
      <c r="F278" s="79"/>
      <c r="G278" s="28"/>
      <c r="H278" s="74"/>
      <c r="I278" s="74"/>
      <c r="J278" s="80"/>
      <c r="K278" s="74"/>
    </row>
    <row r="279" spans="1:11" ht="30" customHeight="1" x14ac:dyDescent="0.25">
      <c r="A279" s="78"/>
      <c r="B279" s="79"/>
      <c r="C279" s="27"/>
      <c r="D279" s="74"/>
      <c r="E279" s="79"/>
      <c r="F279" s="79"/>
      <c r="G279" s="28"/>
      <c r="H279" s="74"/>
      <c r="I279" s="74"/>
      <c r="J279" s="80"/>
      <c r="K279" s="74"/>
    </row>
    <row r="280" spans="1:11" ht="30" customHeight="1" x14ac:dyDescent="0.25">
      <c r="A280" s="78"/>
      <c r="B280" s="79"/>
      <c r="C280" s="27"/>
      <c r="D280" s="74"/>
      <c r="E280" s="79"/>
      <c r="F280" s="79"/>
      <c r="G280" s="28"/>
      <c r="H280" s="74"/>
      <c r="I280" s="74"/>
      <c r="J280" s="80"/>
      <c r="K280" s="74"/>
    </row>
    <row r="281" spans="1:11" ht="30" customHeight="1" x14ac:dyDescent="0.25">
      <c r="A281" s="78"/>
      <c r="B281" s="79"/>
      <c r="C281" s="27"/>
      <c r="D281" s="74"/>
      <c r="E281" s="79"/>
      <c r="F281" s="79"/>
      <c r="G281" s="28"/>
      <c r="H281" s="74"/>
      <c r="I281" s="74"/>
      <c r="J281" s="80"/>
      <c r="K281" s="74"/>
    </row>
    <row r="282" spans="1:11" ht="30" customHeight="1" x14ac:dyDescent="0.25">
      <c r="A282" s="78"/>
      <c r="B282" s="79"/>
      <c r="C282" s="27"/>
      <c r="D282" s="74"/>
      <c r="E282" s="79"/>
      <c r="F282" s="79"/>
      <c r="G282" s="28"/>
      <c r="H282" s="74"/>
      <c r="I282" s="74"/>
      <c r="J282" s="80"/>
      <c r="K282" s="74"/>
    </row>
    <row r="283" spans="1:11" ht="30" customHeight="1" x14ac:dyDescent="0.25">
      <c r="A283" s="78"/>
      <c r="B283" s="79"/>
      <c r="C283" s="27"/>
      <c r="D283" s="74"/>
      <c r="E283" s="79"/>
      <c r="F283" s="79"/>
      <c r="G283" s="28"/>
      <c r="H283" s="74"/>
      <c r="I283" s="74"/>
      <c r="J283" s="80"/>
      <c r="K283" s="74"/>
    </row>
    <row r="284" spans="1:11" ht="30" customHeight="1" x14ac:dyDescent="0.25">
      <c r="A284" s="78"/>
      <c r="B284" s="79"/>
      <c r="C284" s="27"/>
      <c r="D284" s="74"/>
      <c r="E284" s="79"/>
      <c r="F284" s="79"/>
      <c r="G284" s="28"/>
      <c r="H284" s="74"/>
      <c r="I284" s="74"/>
      <c r="J284" s="80"/>
      <c r="K284" s="74"/>
    </row>
    <row r="285" spans="1:11" ht="30" customHeight="1" x14ac:dyDescent="0.25">
      <c r="A285" s="78"/>
      <c r="B285" s="79"/>
      <c r="C285" s="27"/>
      <c r="D285" s="74"/>
      <c r="E285" s="79"/>
      <c r="F285" s="79"/>
      <c r="G285" s="28"/>
      <c r="H285" s="74"/>
      <c r="I285" s="74"/>
      <c r="J285" s="80"/>
      <c r="K285" s="74"/>
    </row>
    <row r="286" spans="1:11" ht="30" customHeight="1" x14ac:dyDescent="0.25">
      <c r="A286" s="78"/>
      <c r="B286" s="79"/>
      <c r="C286" s="27"/>
      <c r="D286" s="74"/>
      <c r="E286" s="79"/>
      <c r="F286" s="79"/>
      <c r="G286" s="28"/>
      <c r="H286" s="74"/>
      <c r="I286" s="74"/>
      <c r="J286" s="80"/>
      <c r="K286" s="74"/>
    </row>
    <row r="287" spans="1:11" ht="30" customHeight="1" x14ac:dyDescent="0.25">
      <c r="A287" s="78"/>
      <c r="B287" s="79"/>
      <c r="C287" s="27"/>
      <c r="D287" s="74"/>
      <c r="E287" s="79"/>
      <c r="F287" s="79"/>
      <c r="G287" s="28"/>
      <c r="H287" s="74"/>
      <c r="I287" s="74"/>
      <c r="J287" s="80"/>
      <c r="K287" s="74"/>
    </row>
    <row r="288" spans="1:11" ht="30" customHeight="1" x14ac:dyDescent="0.25">
      <c r="A288" s="78"/>
      <c r="B288" s="79"/>
      <c r="C288" s="27"/>
      <c r="D288" s="74"/>
      <c r="E288" s="79"/>
      <c r="F288" s="79"/>
      <c r="G288" s="28"/>
      <c r="H288" s="74"/>
      <c r="I288" s="74"/>
      <c r="J288" s="80"/>
      <c r="K288" s="74"/>
    </row>
    <row r="289" spans="1:11" ht="30" customHeight="1" x14ac:dyDescent="0.25">
      <c r="A289" s="78"/>
      <c r="B289" s="79"/>
      <c r="C289" s="27"/>
      <c r="D289" s="74"/>
      <c r="E289" s="79"/>
      <c r="F289" s="79"/>
      <c r="G289" s="28"/>
      <c r="H289" s="74"/>
      <c r="I289" s="74"/>
      <c r="J289" s="80"/>
      <c r="K289" s="74"/>
    </row>
    <row r="290" spans="1:11" ht="30" customHeight="1" x14ac:dyDescent="0.25">
      <c r="A290" s="78"/>
      <c r="B290" s="79"/>
      <c r="C290" s="27"/>
      <c r="D290" s="74"/>
      <c r="E290" s="79"/>
      <c r="F290" s="79"/>
      <c r="G290" s="28"/>
      <c r="H290" s="74"/>
      <c r="I290" s="74"/>
      <c r="J290" s="80"/>
      <c r="K290" s="74"/>
    </row>
    <row r="291" spans="1:11" ht="30" customHeight="1" x14ac:dyDescent="0.25">
      <c r="A291" s="78"/>
      <c r="B291" s="79"/>
      <c r="C291" s="27"/>
      <c r="D291" s="74"/>
      <c r="E291" s="79"/>
      <c r="F291" s="79"/>
      <c r="G291" s="28"/>
      <c r="H291" s="74"/>
      <c r="I291" s="74"/>
      <c r="J291" s="80"/>
      <c r="K291" s="74"/>
    </row>
    <row r="292" spans="1:11" ht="30" customHeight="1" x14ac:dyDescent="0.25">
      <c r="A292" s="78"/>
      <c r="B292" s="79"/>
      <c r="C292" s="27"/>
      <c r="D292" s="74"/>
      <c r="E292" s="79"/>
      <c r="F292" s="79"/>
      <c r="G292" s="28"/>
      <c r="H292" s="74"/>
      <c r="I292" s="74"/>
      <c r="J292" s="80"/>
      <c r="K292" s="74"/>
    </row>
    <row r="293" spans="1:11" ht="30" customHeight="1" x14ac:dyDescent="0.25">
      <c r="A293" s="78"/>
      <c r="B293" s="79"/>
      <c r="C293" s="27"/>
      <c r="D293" s="74"/>
      <c r="E293" s="79"/>
      <c r="F293" s="79"/>
      <c r="G293" s="28"/>
      <c r="H293" s="74"/>
      <c r="I293" s="74"/>
      <c r="J293" s="80"/>
      <c r="K293" s="74"/>
    </row>
    <row r="294" spans="1:11" ht="30" customHeight="1" x14ac:dyDescent="0.25">
      <c r="A294" s="78"/>
      <c r="B294" s="79"/>
      <c r="C294" s="27"/>
      <c r="D294" s="74"/>
      <c r="E294" s="79"/>
      <c r="F294" s="79"/>
      <c r="G294" s="28"/>
      <c r="H294" s="74"/>
      <c r="I294" s="74"/>
      <c r="J294" s="80"/>
      <c r="K294" s="74"/>
    </row>
    <row r="295" spans="1:11" ht="30" customHeight="1" x14ac:dyDescent="0.25">
      <c r="A295" s="78"/>
      <c r="B295" s="79"/>
      <c r="C295" s="27"/>
      <c r="D295" s="74"/>
      <c r="E295" s="79"/>
      <c r="F295" s="79"/>
      <c r="G295" s="28"/>
      <c r="H295" s="74"/>
      <c r="I295" s="74"/>
      <c r="J295" s="80"/>
      <c r="K295" s="74"/>
    </row>
    <row r="296" spans="1:11" ht="30" customHeight="1" x14ac:dyDescent="0.25">
      <c r="A296" s="78"/>
      <c r="B296" s="79"/>
      <c r="C296" s="27"/>
      <c r="D296" s="74"/>
      <c r="E296" s="79"/>
      <c r="F296" s="79"/>
      <c r="G296" s="28"/>
      <c r="H296" s="74"/>
      <c r="I296" s="74"/>
      <c r="J296" s="80"/>
      <c r="K296" s="74"/>
    </row>
    <row r="297" spans="1:11" ht="30" customHeight="1" x14ac:dyDescent="0.25">
      <c r="A297" s="78"/>
      <c r="B297" s="79"/>
      <c r="C297" s="27"/>
      <c r="D297" s="74"/>
      <c r="E297" s="79"/>
      <c r="F297" s="79"/>
      <c r="G297" s="28"/>
      <c r="H297" s="74"/>
      <c r="I297" s="74"/>
      <c r="J297" s="80"/>
      <c r="K297" s="74"/>
    </row>
    <row r="298" spans="1:11" ht="30" customHeight="1" x14ac:dyDescent="0.25">
      <c r="A298" s="78"/>
      <c r="B298" s="79"/>
      <c r="C298" s="27"/>
      <c r="D298" s="74"/>
      <c r="E298" s="79"/>
      <c r="F298" s="79"/>
      <c r="G298" s="28"/>
      <c r="H298" s="74"/>
      <c r="I298" s="74"/>
      <c r="J298" s="80"/>
      <c r="K298" s="74"/>
    </row>
    <row r="299" spans="1:11" ht="30" customHeight="1" x14ac:dyDescent="0.25">
      <c r="A299" s="78"/>
      <c r="B299" s="79"/>
      <c r="C299" s="27"/>
      <c r="D299" s="74"/>
      <c r="E299" s="79"/>
      <c r="F299" s="79"/>
      <c r="G299" s="28"/>
      <c r="H299" s="74"/>
      <c r="I299" s="74"/>
      <c r="J299" s="80"/>
      <c r="K299" s="74"/>
    </row>
    <row r="300" spans="1:11" ht="30" customHeight="1" x14ac:dyDescent="0.25">
      <c r="A300" s="78"/>
      <c r="B300" s="79"/>
      <c r="C300" s="27"/>
      <c r="D300" s="74"/>
      <c r="E300" s="79"/>
      <c r="F300" s="79"/>
      <c r="G300" s="28"/>
      <c r="H300" s="74"/>
      <c r="I300" s="74"/>
      <c r="J300" s="80"/>
      <c r="K300" s="74"/>
    </row>
    <row r="301" spans="1:11" ht="30" customHeight="1" x14ac:dyDescent="0.25">
      <c r="A301" s="78"/>
      <c r="B301" s="79"/>
      <c r="C301" s="27"/>
      <c r="D301" s="74"/>
      <c r="E301" s="79"/>
      <c r="F301" s="79"/>
      <c r="G301" s="28"/>
      <c r="H301" s="74"/>
      <c r="I301" s="74"/>
      <c r="J301" s="80"/>
      <c r="K301" s="74"/>
    </row>
    <row r="302" spans="1:11" ht="30" customHeight="1" x14ac:dyDescent="0.25">
      <c r="A302" s="78"/>
      <c r="B302" s="79"/>
      <c r="C302" s="27"/>
      <c r="D302" s="74"/>
      <c r="E302" s="79"/>
      <c r="F302" s="79"/>
      <c r="G302" s="28"/>
      <c r="H302" s="74"/>
      <c r="I302" s="74"/>
      <c r="J302" s="80"/>
      <c r="K302" s="74"/>
    </row>
    <row r="303" spans="1:11" ht="30" customHeight="1" x14ac:dyDescent="0.25">
      <c r="A303" s="78"/>
      <c r="B303" s="79"/>
      <c r="C303" s="27"/>
      <c r="D303" s="74"/>
      <c r="E303" s="79"/>
      <c r="F303" s="79"/>
      <c r="G303" s="28"/>
      <c r="H303" s="74"/>
      <c r="I303" s="74"/>
      <c r="J303" s="80"/>
      <c r="K303" s="74"/>
    </row>
    <row r="304" spans="1:11" ht="30" customHeight="1" x14ac:dyDescent="0.25">
      <c r="A304" s="78"/>
      <c r="B304" s="79"/>
      <c r="C304" s="27"/>
      <c r="D304" s="74"/>
      <c r="E304" s="79"/>
      <c r="F304" s="79"/>
      <c r="G304" s="28"/>
      <c r="H304" s="74"/>
      <c r="I304" s="74"/>
      <c r="J304" s="80"/>
      <c r="K304" s="74"/>
    </row>
    <row r="305" spans="1:11" ht="30" customHeight="1" x14ac:dyDescent="0.25">
      <c r="A305" s="78"/>
      <c r="B305" s="79"/>
      <c r="C305" s="27"/>
      <c r="D305" s="74"/>
      <c r="E305" s="79"/>
      <c r="F305" s="79"/>
      <c r="G305" s="28"/>
      <c r="H305" s="74"/>
      <c r="I305" s="74"/>
      <c r="J305" s="80"/>
      <c r="K305" s="74"/>
    </row>
    <row r="306" spans="1:11" ht="30" customHeight="1" x14ac:dyDescent="0.25">
      <c r="A306" s="78"/>
      <c r="B306" s="79"/>
      <c r="C306" s="27"/>
      <c r="D306" s="74"/>
      <c r="E306" s="79"/>
      <c r="F306" s="79"/>
      <c r="G306" s="28"/>
      <c r="H306" s="74"/>
      <c r="I306" s="74"/>
      <c r="J306" s="80"/>
      <c r="K306" s="74"/>
    </row>
    <row r="307" spans="1:11" ht="30" customHeight="1" x14ac:dyDescent="0.25">
      <c r="A307" s="78"/>
      <c r="B307" s="79"/>
      <c r="C307" s="27"/>
      <c r="D307" s="74"/>
      <c r="E307" s="79"/>
      <c r="F307" s="79"/>
      <c r="G307" s="28"/>
      <c r="H307" s="74"/>
      <c r="I307" s="74"/>
      <c r="J307" s="80"/>
      <c r="K307" s="74"/>
    </row>
    <row r="308" spans="1:11" ht="30" customHeight="1" x14ac:dyDescent="0.25">
      <c r="A308" s="78"/>
      <c r="B308" s="79"/>
      <c r="C308" s="27"/>
      <c r="D308" s="74"/>
      <c r="E308" s="79"/>
      <c r="F308" s="79"/>
      <c r="G308" s="28"/>
      <c r="H308" s="74"/>
      <c r="I308" s="74"/>
      <c r="J308" s="80"/>
      <c r="K308" s="74"/>
    </row>
    <row r="309" spans="1:11" ht="30" customHeight="1" x14ac:dyDescent="0.25">
      <c r="A309" s="78"/>
      <c r="B309" s="79"/>
      <c r="C309" s="27"/>
      <c r="D309" s="74"/>
      <c r="E309" s="79"/>
      <c r="F309" s="79"/>
      <c r="G309" s="28"/>
      <c r="H309" s="74"/>
      <c r="I309" s="74"/>
      <c r="J309" s="80"/>
      <c r="K309" s="74"/>
    </row>
    <row r="310" spans="1:11" ht="30" customHeight="1" x14ac:dyDescent="0.25">
      <c r="A310" s="78"/>
      <c r="B310" s="79"/>
      <c r="C310" s="27"/>
      <c r="D310" s="74"/>
      <c r="E310" s="79"/>
      <c r="F310" s="79"/>
      <c r="G310" s="28"/>
      <c r="H310" s="74"/>
      <c r="I310" s="74"/>
      <c r="J310" s="80"/>
      <c r="K310" s="74"/>
    </row>
    <row r="311" spans="1:11" ht="30" customHeight="1" x14ac:dyDescent="0.25">
      <c r="A311" s="78"/>
      <c r="B311" s="79"/>
      <c r="C311" s="27"/>
      <c r="D311" s="74"/>
      <c r="E311" s="79"/>
      <c r="F311" s="79"/>
      <c r="G311" s="28"/>
      <c r="H311" s="74"/>
      <c r="I311" s="74"/>
      <c r="J311" s="80"/>
      <c r="K311" s="74"/>
    </row>
    <row r="312" spans="1:11" ht="30" customHeight="1" x14ac:dyDescent="0.25">
      <c r="A312" s="78"/>
      <c r="B312" s="79"/>
      <c r="C312" s="27"/>
      <c r="D312" s="74"/>
      <c r="E312" s="79"/>
      <c r="F312" s="79"/>
      <c r="G312" s="28"/>
      <c r="H312" s="74"/>
      <c r="I312" s="74"/>
      <c r="J312" s="80"/>
      <c r="K312" s="74"/>
    </row>
    <row r="313" spans="1:11" ht="30" customHeight="1" x14ac:dyDescent="0.25">
      <c r="A313" s="78"/>
      <c r="B313" s="79"/>
      <c r="C313" s="27"/>
      <c r="D313" s="74"/>
      <c r="E313" s="79"/>
      <c r="F313" s="79"/>
      <c r="G313" s="28"/>
      <c r="H313" s="74"/>
      <c r="I313" s="74"/>
      <c r="J313" s="80"/>
      <c r="K313" s="74"/>
    </row>
    <row r="314" spans="1:11" ht="30" customHeight="1" x14ac:dyDescent="0.25">
      <c r="A314" s="78"/>
      <c r="B314" s="79"/>
      <c r="C314" s="27"/>
      <c r="D314" s="74"/>
      <c r="E314" s="79"/>
      <c r="F314" s="79"/>
      <c r="G314" s="28"/>
      <c r="H314" s="74"/>
      <c r="I314" s="74"/>
      <c r="J314" s="80"/>
      <c r="K314" s="74"/>
    </row>
    <row r="315" spans="1:11" ht="30" customHeight="1" x14ac:dyDescent="0.25">
      <c r="A315" s="78"/>
      <c r="B315" s="79"/>
      <c r="C315" s="27"/>
      <c r="D315" s="74"/>
      <c r="E315" s="79"/>
      <c r="F315" s="79"/>
      <c r="G315" s="28"/>
      <c r="H315" s="74"/>
      <c r="I315" s="74"/>
      <c r="J315" s="80"/>
      <c r="K315" s="74"/>
    </row>
    <row r="316" spans="1:11" ht="30" customHeight="1" x14ac:dyDescent="0.25">
      <c r="A316" s="78"/>
      <c r="B316" s="79"/>
      <c r="C316" s="27"/>
      <c r="D316" s="74"/>
      <c r="E316" s="79"/>
      <c r="F316" s="79"/>
      <c r="G316" s="28"/>
      <c r="H316" s="74"/>
      <c r="I316" s="74"/>
      <c r="J316" s="80"/>
      <c r="K316" s="74"/>
    </row>
    <row r="317" spans="1:11" ht="30" customHeight="1" x14ac:dyDescent="0.25">
      <c r="A317" s="78"/>
      <c r="B317" s="79"/>
      <c r="C317" s="27"/>
      <c r="D317" s="74"/>
      <c r="E317" s="79"/>
      <c r="F317" s="79"/>
      <c r="G317" s="28"/>
      <c r="H317" s="74"/>
      <c r="I317" s="74"/>
      <c r="J317" s="80"/>
      <c r="K317" s="74"/>
    </row>
    <row r="318" spans="1:11" ht="30" customHeight="1" x14ac:dyDescent="0.25">
      <c r="A318" s="78"/>
      <c r="B318" s="79"/>
      <c r="C318" s="27"/>
      <c r="D318" s="74"/>
      <c r="E318" s="79"/>
      <c r="F318" s="79"/>
      <c r="G318" s="28"/>
      <c r="H318" s="74"/>
      <c r="I318" s="74"/>
      <c r="J318" s="80"/>
      <c r="K318" s="74"/>
    </row>
    <row r="319" spans="1:11" ht="30" customHeight="1" x14ac:dyDescent="0.25">
      <c r="A319" s="78"/>
      <c r="B319" s="79"/>
      <c r="C319" s="27"/>
      <c r="D319" s="74"/>
      <c r="E319" s="79"/>
      <c r="F319" s="79"/>
      <c r="G319" s="28"/>
      <c r="H319" s="74"/>
      <c r="I319" s="74"/>
      <c r="J319" s="80"/>
      <c r="K319" s="74"/>
    </row>
    <row r="320" spans="1:11" ht="30" customHeight="1" x14ac:dyDescent="0.25">
      <c r="A320" s="78"/>
      <c r="B320" s="79"/>
      <c r="C320" s="27"/>
      <c r="D320" s="74"/>
      <c r="E320" s="79"/>
      <c r="F320" s="79"/>
      <c r="G320" s="28"/>
      <c r="H320" s="74"/>
      <c r="I320" s="74"/>
      <c r="J320" s="80"/>
      <c r="K320" s="74"/>
    </row>
    <row r="321" spans="1:11" ht="30" customHeight="1" x14ac:dyDescent="0.25">
      <c r="A321" s="78"/>
      <c r="B321" s="79"/>
      <c r="C321" s="27"/>
      <c r="D321" s="74"/>
      <c r="E321" s="79"/>
      <c r="F321" s="79"/>
      <c r="G321" s="28"/>
      <c r="H321" s="74"/>
      <c r="I321" s="74"/>
      <c r="J321" s="80"/>
      <c r="K321" s="74"/>
    </row>
    <row r="322" spans="1:11" ht="30" customHeight="1" x14ac:dyDescent="0.25">
      <c r="A322" s="78"/>
      <c r="B322" s="79"/>
      <c r="C322" s="27"/>
      <c r="D322" s="74"/>
      <c r="E322" s="79"/>
      <c r="F322" s="79"/>
      <c r="G322" s="28"/>
      <c r="H322" s="74"/>
      <c r="I322" s="74"/>
      <c r="J322" s="80"/>
      <c r="K322" s="74"/>
    </row>
    <row r="323" spans="1:11" ht="30" customHeight="1" x14ac:dyDescent="0.25">
      <c r="A323" s="78"/>
      <c r="B323" s="79"/>
      <c r="C323" s="27"/>
      <c r="D323" s="74"/>
      <c r="E323" s="79"/>
      <c r="F323" s="79"/>
      <c r="G323" s="28"/>
      <c r="H323" s="74"/>
      <c r="I323" s="74"/>
      <c r="J323" s="80"/>
      <c r="K323" s="74"/>
    </row>
    <row r="324" spans="1:11" ht="30" customHeight="1" x14ac:dyDescent="0.25">
      <c r="A324" s="78"/>
      <c r="B324" s="79"/>
      <c r="C324" s="27"/>
      <c r="D324" s="74"/>
      <c r="E324" s="79"/>
      <c r="F324" s="79"/>
      <c r="G324" s="28"/>
      <c r="H324" s="74"/>
      <c r="I324" s="74"/>
      <c r="J324" s="80"/>
      <c r="K324" s="74"/>
    </row>
    <row r="325" spans="1:11" ht="30" customHeight="1" x14ac:dyDescent="0.25">
      <c r="A325" s="78"/>
      <c r="B325" s="79"/>
      <c r="C325" s="27"/>
      <c r="D325" s="74"/>
      <c r="E325" s="79"/>
      <c r="F325" s="79"/>
      <c r="G325" s="28"/>
      <c r="H325" s="74"/>
      <c r="I325" s="74"/>
      <c r="J325" s="80"/>
      <c r="K325" s="74"/>
    </row>
    <row r="326" spans="1:11" ht="30" customHeight="1" x14ac:dyDescent="0.25">
      <c r="A326" s="78"/>
      <c r="B326" s="79"/>
      <c r="C326" s="27"/>
      <c r="D326" s="74"/>
      <c r="E326" s="79"/>
      <c r="F326" s="79"/>
      <c r="G326" s="28"/>
      <c r="H326" s="74"/>
      <c r="I326" s="74"/>
      <c r="J326" s="80"/>
      <c r="K326" s="74"/>
    </row>
    <row r="327" spans="1:11" ht="30" customHeight="1" x14ac:dyDescent="0.25">
      <c r="A327" s="78"/>
      <c r="B327" s="79"/>
      <c r="C327" s="27"/>
      <c r="D327" s="74"/>
      <c r="E327" s="79"/>
      <c r="F327" s="79"/>
      <c r="G327" s="28"/>
      <c r="H327" s="74"/>
      <c r="I327" s="74"/>
      <c r="J327" s="80"/>
      <c r="K327" s="74"/>
    </row>
    <row r="328" spans="1:11" ht="30" customHeight="1" x14ac:dyDescent="0.25">
      <c r="A328" s="78"/>
      <c r="B328" s="79"/>
      <c r="C328" s="27"/>
      <c r="D328" s="74"/>
      <c r="E328" s="79"/>
      <c r="F328" s="79"/>
      <c r="G328" s="28"/>
      <c r="H328" s="74"/>
      <c r="I328" s="74"/>
      <c r="J328" s="80"/>
      <c r="K328" s="74"/>
    </row>
    <row r="329" spans="1:11" ht="30" customHeight="1" x14ac:dyDescent="0.25">
      <c r="A329" s="78"/>
      <c r="B329" s="79"/>
      <c r="C329" s="27"/>
      <c r="D329" s="74"/>
      <c r="E329" s="79"/>
      <c r="F329" s="79"/>
      <c r="G329" s="28"/>
      <c r="H329" s="74"/>
      <c r="I329" s="74"/>
      <c r="J329" s="80"/>
      <c r="K329" s="74"/>
    </row>
    <row r="330" spans="1:11" ht="30" customHeight="1" x14ac:dyDescent="0.25">
      <c r="A330" s="78"/>
      <c r="B330" s="79"/>
      <c r="C330" s="27"/>
      <c r="D330" s="74"/>
      <c r="E330" s="79"/>
      <c r="F330" s="79"/>
      <c r="G330" s="28"/>
      <c r="H330" s="74"/>
      <c r="I330" s="74"/>
      <c r="J330" s="80"/>
      <c r="K330" s="74"/>
    </row>
    <row r="331" spans="1:11" ht="30" customHeight="1" x14ac:dyDescent="0.25">
      <c r="A331" s="78"/>
      <c r="B331" s="79"/>
      <c r="C331" s="27"/>
      <c r="D331" s="74"/>
      <c r="E331" s="79"/>
      <c r="F331" s="79"/>
      <c r="G331" s="28"/>
      <c r="H331" s="74"/>
      <c r="I331" s="74"/>
      <c r="J331" s="80"/>
      <c r="K331" s="74"/>
    </row>
    <row r="332" spans="1:11" ht="30" customHeight="1" x14ac:dyDescent="0.25">
      <c r="A332" s="78"/>
      <c r="B332" s="79"/>
      <c r="C332" s="27"/>
      <c r="D332" s="74"/>
      <c r="E332" s="79"/>
      <c r="F332" s="79"/>
      <c r="G332" s="28"/>
      <c r="H332" s="74"/>
      <c r="I332" s="74"/>
      <c r="J332" s="80"/>
      <c r="K332" s="74"/>
    </row>
    <row r="333" spans="1:11" ht="30" customHeight="1" x14ac:dyDescent="0.25">
      <c r="A333" s="78"/>
      <c r="B333" s="79"/>
      <c r="C333" s="27"/>
      <c r="D333" s="74"/>
      <c r="E333" s="79"/>
      <c r="F333" s="79"/>
      <c r="G333" s="28"/>
      <c r="H333" s="74"/>
      <c r="I333" s="74"/>
      <c r="J333" s="80"/>
      <c r="K333" s="74"/>
    </row>
    <row r="334" spans="1:11" ht="30" customHeight="1" x14ac:dyDescent="0.25">
      <c r="A334" s="78"/>
      <c r="B334" s="79"/>
      <c r="C334" s="27"/>
      <c r="D334" s="74"/>
      <c r="E334" s="79"/>
      <c r="F334" s="79"/>
      <c r="G334" s="28"/>
      <c r="H334" s="74"/>
      <c r="I334" s="74"/>
      <c r="J334" s="80"/>
      <c r="K334" s="74"/>
    </row>
    <row r="335" spans="1:11" ht="30" customHeight="1" x14ac:dyDescent="0.25">
      <c r="A335" s="78"/>
      <c r="B335" s="79"/>
      <c r="C335" s="27"/>
      <c r="D335" s="74"/>
      <c r="E335" s="79"/>
      <c r="F335" s="79"/>
      <c r="G335" s="28"/>
      <c r="H335" s="74"/>
      <c r="I335" s="74"/>
      <c r="J335" s="80"/>
      <c r="K335" s="74"/>
    </row>
    <row r="336" spans="1:11" ht="30" customHeight="1" x14ac:dyDescent="0.25">
      <c r="A336" s="78"/>
      <c r="B336" s="79"/>
      <c r="C336" s="27"/>
      <c r="D336" s="74"/>
      <c r="E336" s="79"/>
      <c r="F336" s="79"/>
      <c r="G336" s="28"/>
      <c r="H336" s="74"/>
      <c r="I336" s="74"/>
      <c r="J336" s="80"/>
      <c r="K336" s="74"/>
    </row>
    <row r="337" spans="1:11" ht="30" customHeight="1" x14ac:dyDescent="0.25">
      <c r="A337" s="78"/>
      <c r="B337" s="79"/>
      <c r="C337" s="27"/>
      <c r="D337" s="74"/>
      <c r="E337" s="79"/>
      <c r="F337" s="79"/>
      <c r="G337" s="28"/>
      <c r="H337" s="74"/>
      <c r="I337" s="74"/>
      <c r="J337" s="80"/>
      <c r="K337" s="74"/>
    </row>
    <row r="338" spans="1:11" ht="30" customHeight="1" x14ac:dyDescent="0.25">
      <c r="A338" s="78"/>
      <c r="B338" s="79"/>
      <c r="C338" s="27"/>
      <c r="D338" s="74"/>
      <c r="E338" s="79"/>
      <c r="F338" s="79"/>
      <c r="G338" s="28"/>
      <c r="H338" s="74"/>
      <c r="I338" s="74"/>
      <c r="J338" s="80"/>
      <c r="K338" s="74"/>
    </row>
    <row r="339" spans="1:11" ht="30" customHeight="1" x14ac:dyDescent="0.25">
      <c r="A339" s="78"/>
      <c r="B339" s="79"/>
      <c r="C339" s="27"/>
      <c r="D339" s="74"/>
      <c r="E339" s="79"/>
      <c r="F339" s="79"/>
      <c r="G339" s="28"/>
      <c r="H339" s="74"/>
      <c r="I339" s="74"/>
      <c r="J339" s="80"/>
      <c r="K339" s="74"/>
    </row>
    <row r="340" spans="1:11" ht="30" customHeight="1" x14ac:dyDescent="0.25">
      <c r="A340" s="78"/>
      <c r="B340" s="79"/>
      <c r="C340" s="27"/>
      <c r="D340" s="74"/>
      <c r="E340" s="79"/>
      <c r="F340" s="79"/>
      <c r="G340" s="28"/>
      <c r="H340" s="74"/>
      <c r="I340" s="74"/>
      <c r="J340" s="80"/>
      <c r="K340" s="74"/>
    </row>
    <row r="341" spans="1:11" ht="30" customHeight="1" x14ac:dyDescent="0.25">
      <c r="A341" s="78"/>
      <c r="B341" s="79"/>
      <c r="C341" s="27"/>
      <c r="D341" s="74"/>
      <c r="E341" s="79"/>
      <c r="F341" s="79"/>
      <c r="G341" s="28"/>
      <c r="H341" s="74"/>
      <c r="I341" s="74"/>
      <c r="J341" s="80"/>
      <c r="K341" s="74"/>
    </row>
    <row r="342" spans="1:11" ht="30" customHeight="1" x14ac:dyDescent="0.25">
      <c r="A342" s="78"/>
      <c r="B342" s="79"/>
      <c r="C342" s="27"/>
      <c r="D342" s="74"/>
      <c r="E342" s="79"/>
      <c r="F342" s="79"/>
      <c r="G342" s="28"/>
      <c r="H342" s="74"/>
      <c r="I342" s="74"/>
      <c r="J342" s="80"/>
      <c r="K342" s="74"/>
    </row>
    <row r="343" spans="1:11" ht="30" customHeight="1" x14ac:dyDescent="0.25">
      <c r="A343" s="78"/>
      <c r="B343" s="79"/>
      <c r="C343" s="27"/>
      <c r="D343" s="74"/>
      <c r="E343" s="79"/>
      <c r="F343" s="79"/>
      <c r="G343" s="28"/>
      <c r="H343" s="74"/>
      <c r="I343" s="74"/>
      <c r="J343" s="80"/>
      <c r="K343" s="74"/>
    </row>
    <row r="344" spans="1:11" ht="30" customHeight="1" x14ac:dyDescent="0.25">
      <c r="A344" s="78"/>
      <c r="B344" s="79"/>
      <c r="C344" s="27"/>
      <c r="D344" s="74"/>
      <c r="E344" s="79"/>
      <c r="F344" s="79"/>
      <c r="G344" s="28"/>
      <c r="H344" s="74"/>
      <c r="I344" s="74"/>
      <c r="J344" s="80"/>
      <c r="K344" s="74"/>
    </row>
    <row r="345" spans="1:11" ht="30" customHeight="1" x14ac:dyDescent="0.25">
      <c r="A345" s="78"/>
      <c r="B345" s="79"/>
      <c r="C345" s="27"/>
      <c r="D345" s="74"/>
      <c r="E345" s="79"/>
      <c r="F345" s="79"/>
      <c r="G345" s="28"/>
      <c r="H345" s="74"/>
      <c r="I345" s="74"/>
      <c r="J345" s="80"/>
      <c r="K345" s="74"/>
    </row>
    <row r="346" spans="1:11" ht="30" customHeight="1" x14ac:dyDescent="0.25">
      <c r="A346" s="78"/>
      <c r="B346" s="79"/>
      <c r="C346" s="27"/>
      <c r="D346" s="74"/>
      <c r="E346" s="79"/>
      <c r="F346" s="79"/>
      <c r="G346" s="28"/>
      <c r="H346" s="74"/>
      <c r="I346" s="74"/>
      <c r="J346" s="80"/>
      <c r="K346" s="74"/>
    </row>
    <row r="347" spans="1:11" ht="30" customHeight="1" x14ac:dyDescent="0.25">
      <c r="A347" s="78"/>
      <c r="B347" s="79"/>
      <c r="C347" s="27"/>
      <c r="D347" s="74"/>
      <c r="E347" s="79"/>
      <c r="F347" s="79"/>
      <c r="G347" s="28"/>
      <c r="H347" s="74"/>
      <c r="I347" s="74"/>
      <c r="J347" s="80"/>
      <c r="K347" s="74"/>
    </row>
    <row r="348" spans="1:11" ht="30" customHeight="1" x14ac:dyDescent="0.25">
      <c r="A348" s="78"/>
      <c r="B348" s="79"/>
      <c r="C348" s="27"/>
      <c r="D348" s="74"/>
      <c r="E348" s="79"/>
      <c r="F348" s="79"/>
      <c r="G348" s="28"/>
      <c r="H348" s="74"/>
      <c r="I348" s="74"/>
      <c r="J348" s="80"/>
      <c r="K348" s="74"/>
    </row>
    <row r="349" spans="1:11" ht="30" customHeight="1" x14ac:dyDescent="0.25">
      <c r="A349" s="78"/>
      <c r="B349" s="79"/>
      <c r="C349" s="27"/>
      <c r="D349" s="74"/>
      <c r="E349" s="79"/>
      <c r="F349" s="79"/>
      <c r="G349" s="28"/>
      <c r="H349" s="74"/>
      <c r="I349" s="74"/>
      <c r="J349" s="80"/>
      <c r="K349" s="74"/>
    </row>
    <row r="350" spans="1:11" ht="30" customHeight="1" x14ac:dyDescent="0.25">
      <c r="A350" s="78"/>
      <c r="B350" s="79"/>
      <c r="C350" s="27"/>
      <c r="D350" s="74"/>
      <c r="E350" s="79"/>
      <c r="F350" s="79"/>
      <c r="G350" s="28"/>
      <c r="H350" s="74"/>
      <c r="I350" s="74"/>
      <c r="J350" s="80"/>
      <c r="K350" s="74"/>
    </row>
    <row r="351" spans="1:11" ht="30" customHeight="1" x14ac:dyDescent="0.25">
      <c r="A351" s="78"/>
      <c r="B351" s="79"/>
      <c r="C351" s="27"/>
      <c r="D351" s="74"/>
      <c r="E351" s="79"/>
      <c r="F351" s="79"/>
      <c r="G351" s="28"/>
      <c r="H351" s="74"/>
      <c r="I351" s="74"/>
      <c r="J351" s="80"/>
      <c r="K351" s="74"/>
    </row>
    <row r="352" spans="1:11" ht="30" customHeight="1" x14ac:dyDescent="0.25">
      <c r="A352" s="78"/>
      <c r="B352" s="79"/>
      <c r="C352" s="27"/>
      <c r="D352" s="74"/>
      <c r="E352" s="79"/>
      <c r="F352" s="79"/>
      <c r="G352" s="28"/>
      <c r="H352" s="74"/>
      <c r="I352" s="74"/>
      <c r="J352" s="80"/>
      <c r="K352" s="74"/>
    </row>
    <row r="353" spans="1:11" ht="30" customHeight="1" x14ac:dyDescent="0.25">
      <c r="A353" s="78"/>
      <c r="B353" s="79"/>
      <c r="C353" s="27"/>
      <c r="D353" s="74"/>
      <c r="E353" s="79"/>
      <c r="F353" s="79"/>
      <c r="G353" s="28"/>
      <c r="H353" s="74"/>
      <c r="I353" s="74"/>
      <c r="J353" s="80"/>
      <c r="K353" s="74"/>
    </row>
    <row r="354" spans="1:11" ht="30" customHeight="1" x14ac:dyDescent="0.25">
      <c r="A354" s="78"/>
      <c r="B354" s="79"/>
      <c r="C354" s="27"/>
      <c r="D354" s="74"/>
      <c r="E354" s="79"/>
      <c r="F354" s="79"/>
      <c r="G354" s="28"/>
      <c r="H354" s="74"/>
      <c r="I354" s="74"/>
      <c r="J354" s="80"/>
      <c r="K354" s="74"/>
    </row>
    <row r="355" spans="1:11" ht="30" customHeight="1" x14ac:dyDescent="0.25">
      <c r="A355" s="78"/>
      <c r="B355" s="79"/>
      <c r="C355" s="27"/>
      <c r="D355" s="74"/>
      <c r="E355" s="79"/>
      <c r="F355" s="79"/>
      <c r="G355" s="28"/>
      <c r="H355" s="74"/>
      <c r="I355" s="74"/>
      <c r="J355" s="80"/>
      <c r="K355" s="74"/>
    </row>
    <row r="356" spans="1:11" ht="30" customHeight="1" x14ac:dyDescent="0.25">
      <c r="A356" s="78"/>
      <c r="B356" s="79"/>
      <c r="C356" s="27"/>
      <c r="D356" s="74"/>
      <c r="E356" s="79"/>
      <c r="F356" s="79"/>
      <c r="G356" s="28"/>
      <c r="H356" s="74"/>
      <c r="I356" s="74"/>
      <c r="J356" s="80"/>
      <c r="K356" s="74"/>
    </row>
    <row r="357" spans="1:11" ht="30" customHeight="1" x14ac:dyDescent="0.25">
      <c r="A357" s="78"/>
      <c r="B357" s="79"/>
      <c r="C357" s="27"/>
      <c r="D357" s="74"/>
      <c r="E357" s="79"/>
      <c r="F357" s="79"/>
      <c r="G357" s="28"/>
      <c r="H357" s="74"/>
      <c r="I357" s="74"/>
      <c r="J357" s="80"/>
      <c r="K357" s="74"/>
    </row>
    <row r="358" spans="1:11" ht="30" customHeight="1" x14ac:dyDescent="0.25">
      <c r="A358" s="78"/>
      <c r="B358" s="79"/>
      <c r="C358" s="27"/>
      <c r="D358" s="74"/>
      <c r="E358" s="79"/>
      <c r="F358" s="79"/>
      <c r="G358" s="28"/>
      <c r="H358" s="74"/>
      <c r="I358" s="74"/>
      <c r="J358" s="80"/>
      <c r="K358" s="74"/>
    </row>
    <row r="359" spans="1:11" ht="30" customHeight="1" x14ac:dyDescent="0.25">
      <c r="A359" s="78"/>
      <c r="B359" s="79"/>
      <c r="C359" s="27"/>
      <c r="D359" s="74"/>
      <c r="E359" s="79"/>
      <c r="F359" s="79"/>
      <c r="G359" s="28"/>
      <c r="H359" s="74"/>
      <c r="I359" s="74"/>
      <c r="J359" s="80"/>
      <c r="K359" s="74"/>
    </row>
    <row r="360" spans="1:11" ht="30" customHeight="1" x14ac:dyDescent="0.25">
      <c r="A360" s="78"/>
      <c r="B360" s="79"/>
      <c r="C360" s="27"/>
      <c r="D360" s="74"/>
      <c r="E360" s="79"/>
      <c r="F360" s="79"/>
      <c r="G360" s="28"/>
      <c r="H360" s="74"/>
      <c r="I360" s="74"/>
      <c r="J360" s="80"/>
      <c r="K360" s="74"/>
    </row>
    <row r="361" spans="1:11" ht="30" customHeight="1" x14ac:dyDescent="0.25">
      <c r="A361" s="78"/>
      <c r="B361" s="79"/>
      <c r="C361" s="27"/>
      <c r="D361" s="74"/>
      <c r="E361" s="79"/>
      <c r="F361" s="79"/>
      <c r="G361" s="28"/>
      <c r="H361" s="74"/>
      <c r="I361" s="74"/>
      <c r="J361" s="80"/>
      <c r="K361" s="74"/>
    </row>
    <row r="362" spans="1:11" ht="30" customHeight="1" x14ac:dyDescent="0.25">
      <c r="A362" s="78"/>
      <c r="B362" s="79"/>
      <c r="C362" s="27"/>
      <c r="D362" s="74"/>
      <c r="E362" s="79"/>
      <c r="F362" s="79"/>
      <c r="G362" s="28"/>
      <c r="H362" s="74"/>
      <c r="I362" s="74"/>
      <c r="J362" s="80"/>
      <c r="K362" s="74"/>
    </row>
    <row r="363" spans="1:11" ht="30" customHeight="1" x14ac:dyDescent="0.25">
      <c r="A363" s="78"/>
      <c r="B363" s="79"/>
      <c r="C363" s="27"/>
      <c r="D363" s="74"/>
      <c r="E363" s="79"/>
      <c r="F363" s="79"/>
      <c r="G363" s="28"/>
      <c r="H363" s="74"/>
      <c r="I363" s="74"/>
      <c r="J363" s="80"/>
      <c r="K363" s="74"/>
    </row>
    <row r="364" spans="1:11" ht="30" customHeight="1" x14ac:dyDescent="0.25">
      <c r="A364" s="78"/>
      <c r="B364" s="79"/>
      <c r="C364" s="27"/>
      <c r="D364" s="74"/>
      <c r="E364" s="79"/>
      <c r="F364" s="79"/>
      <c r="G364" s="28"/>
      <c r="H364" s="74"/>
      <c r="I364" s="74"/>
      <c r="J364" s="80"/>
      <c r="K364" s="74"/>
    </row>
    <row r="365" spans="1:11" ht="30" customHeight="1" x14ac:dyDescent="0.25">
      <c r="A365" s="78"/>
      <c r="B365" s="79"/>
      <c r="C365" s="27"/>
      <c r="D365" s="74"/>
      <c r="E365" s="79"/>
      <c r="F365" s="79"/>
      <c r="G365" s="28"/>
      <c r="H365" s="74"/>
      <c r="I365" s="74"/>
      <c r="J365" s="80"/>
      <c r="K365" s="74"/>
    </row>
    <row r="366" spans="1:11" ht="30" customHeight="1" x14ac:dyDescent="0.25">
      <c r="A366" s="78"/>
      <c r="B366" s="79"/>
      <c r="C366" s="27"/>
      <c r="D366" s="74"/>
      <c r="E366" s="79"/>
      <c r="F366" s="79"/>
      <c r="G366" s="28"/>
      <c r="H366" s="74"/>
      <c r="I366" s="74"/>
      <c r="J366" s="80"/>
      <c r="K366" s="74"/>
    </row>
    <row r="367" spans="1:11" ht="30" customHeight="1" x14ac:dyDescent="0.25">
      <c r="A367" s="78"/>
      <c r="B367" s="79"/>
      <c r="C367" s="27"/>
      <c r="D367" s="74"/>
      <c r="E367" s="79"/>
      <c r="F367" s="79"/>
      <c r="G367" s="28"/>
      <c r="H367" s="74"/>
      <c r="I367" s="74"/>
      <c r="J367" s="80"/>
      <c r="K367" s="74"/>
    </row>
    <row r="368" spans="1:11" ht="30" customHeight="1" x14ac:dyDescent="0.25">
      <c r="A368" s="78"/>
      <c r="B368" s="79"/>
      <c r="C368" s="27"/>
      <c r="D368" s="74"/>
      <c r="E368" s="79"/>
      <c r="F368" s="79"/>
      <c r="G368" s="28"/>
      <c r="H368" s="74"/>
      <c r="I368" s="74"/>
      <c r="J368" s="80"/>
      <c r="K368" s="74"/>
    </row>
    <row r="369" spans="1:11" ht="30" customHeight="1" x14ac:dyDescent="0.25">
      <c r="A369" s="78"/>
      <c r="B369" s="79"/>
      <c r="C369" s="27"/>
      <c r="D369" s="74"/>
      <c r="E369" s="79"/>
      <c r="F369" s="79"/>
      <c r="G369" s="28"/>
      <c r="H369" s="74"/>
      <c r="I369" s="74"/>
      <c r="J369" s="80"/>
      <c r="K369" s="74"/>
    </row>
    <row r="370" spans="1:11" ht="30" customHeight="1" x14ac:dyDescent="0.25">
      <c r="A370" s="78"/>
      <c r="B370" s="79"/>
      <c r="C370" s="27"/>
      <c r="D370" s="74"/>
      <c r="E370" s="79"/>
      <c r="F370" s="79"/>
      <c r="G370" s="28"/>
      <c r="H370" s="74"/>
      <c r="I370" s="74"/>
      <c r="J370" s="80"/>
      <c r="K370" s="74"/>
    </row>
    <row r="371" spans="1:11" ht="30" customHeight="1" x14ac:dyDescent="0.25">
      <c r="A371" s="78"/>
      <c r="B371" s="79"/>
      <c r="C371" s="27"/>
      <c r="D371" s="74"/>
      <c r="E371" s="79"/>
      <c r="F371" s="79"/>
      <c r="G371" s="28"/>
      <c r="H371" s="74"/>
      <c r="I371" s="74"/>
      <c r="J371" s="80"/>
      <c r="K371" s="74"/>
    </row>
    <row r="372" spans="1:11" ht="30" customHeight="1" x14ac:dyDescent="0.25">
      <c r="A372" s="78"/>
      <c r="B372" s="79"/>
      <c r="C372" s="27"/>
      <c r="D372" s="74"/>
      <c r="E372" s="79"/>
      <c r="F372" s="79"/>
      <c r="G372" s="28"/>
      <c r="H372" s="74"/>
      <c r="I372" s="74"/>
      <c r="J372" s="80"/>
      <c r="K372" s="74"/>
    </row>
    <row r="373" spans="1:11" ht="30" customHeight="1" x14ac:dyDescent="0.25">
      <c r="A373" s="78"/>
      <c r="B373" s="79"/>
      <c r="C373" s="27"/>
      <c r="D373" s="74"/>
      <c r="E373" s="79"/>
      <c r="F373" s="79"/>
      <c r="G373" s="28"/>
      <c r="H373" s="74"/>
      <c r="I373" s="74"/>
      <c r="J373" s="80"/>
      <c r="K373" s="74"/>
    </row>
    <row r="374" spans="1:11" ht="30" customHeight="1" x14ac:dyDescent="0.25">
      <c r="A374" s="78"/>
      <c r="B374" s="79"/>
      <c r="C374" s="27"/>
      <c r="D374" s="74"/>
      <c r="E374" s="79"/>
      <c r="F374" s="79"/>
      <c r="G374" s="28"/>
      <c r="H374" s="74"/>
      <c r="I374" s="74"/>
      <c r="J374" s="80"/>
      <c r="K374" s="74"/>
    </row>
    <row r="375" spans="1:11" ht="30" customHeight="1" x14ac:dyDescent="0.25">
      <c r="A375" s="78"/>
      <c r="B375" s="79"/>
      <c r="C375" s="27"/>
      <c r="D375" s="74"/>
      <c r="E375" s="79"/>
      <c r="F375" s="79"/>
      <c r="G375" s="28"/>
      <c r="H375" s="74"/>
      <c r="I375" s="74"/>
      <c r="J375" s="80"/>
      <c r="K375" s="74"/>
    </row>
    <row r="376" spans="1:11" ht="30" customHeight="1" x14ac:dyDescent="0.25">
      <c r="A376" s="78"/>
      <c r="B376" s="79"/>
      <c r="C376" s="27"/>
      <c r="D376" s="74"/>
      <c r="E376" s="79"/>
      <c r="F376" s="79"/>
      <c r="G376" s="28"/>
      <c r="H376" s="74"/>
      <c r="I376" s="74"/>
      <c r="J376" s="80"/>
      <c r="K376" s="74"/>
    </row>
    <row r="377" spans="1:11" ht="30" customHeight="1" x14ac:dyDescent="0.25">
      <c r="A377" s="78"/>
      <c r="B377" s="79"/>
      <c r="C377" s="27"/>
      <c r="D377" s="74"/>
      <c r="E377" s="79"/>
      <c r="F377" s="79"/>
      <c r="G377" s="28"/>
      <c r="H377" s="74"/>
      <c r="I377" s="74"/>
      <c r="J377" s="80"/>
      <c r="K377" s="74"/>
    </row>
    <row r="378" spans="1:11" ht="30" customHeight="1" x14ac:dyDescent="0.25">
      <c r="A378" s="78"/>
      <c r="B378" s="79"/>
      <c r="C378" s="27"/>
      <c r="D378" s="74"/>
      <c r="E378" s="79"/>
      <c r="F378" s="79"/>
      <c r="G378" s="28"/>
      <c r="H378" s="74"/>
      <c r="I378" s="74"/>
      <c r="J378" s="80"/>
      <c r="K378" s="74"/>
    </row>
    <row r="379" spans="1:11" ht="30" customHeight="1" x14ac:dyDescent="0.25">
      <c r="A379" s="78"/>
      <c r="B379" s="79"/>
      <c r="C379" s="27"/>
      <c r="D379" s="74"/>
      <c r="E379" s="79"/>
      <c r="F379" s="79"/>
      <c r="G379" s="28"/>
      <c r="H379" s="74"/>
      <c r="I379" s="74"/>
      <c r="J379" s="80"/>
      <c r="K379" s="74"/>
    </row>
    <row r="380" spans="1:11" ht="30" customHeight="1" x14ac:dyDescent="0.25">
      <c r="A380" s="78"/>
      <c r="B380" s="79"/>
      <c r="C380" s="27"/>
      <c r="D380" s="74"/>
      <c r="E380" s="79"/>
      <c r="F380" s="79"/>
      <c r="G380" s="28"/>
      <c r="H380" s="74"/>
      <c r="I380" s="74"/>
      <c r="J380" s="80"/>
      <c r="K380" s="74"/>
    </row>
    <row r="381" spans="1:11" ht="30" customHeight="1" x14ac:dyDescent="0.25">
      <c r="A381" s="78"/>
      <c r="B381" s="79"/>
      <c r="C381" s="27"/>
      <c r="D381" s="74"/>
      <c r="E381" s="79"/>
      <c r="F381" s="79"/>
      <c r="G381" s="28"/>
      <c r="H381" s="74"/>
      <c r="I381" s="74"/>
      <c r="J381" s="80"/>
      <c r="K381" s="74"/>
    </row>
    <row r="382" spans="1:11" ht="30" customHeight="1" x14ac:dyDescent="0.25">
      <c r="A382" s="78"/>
      <c r="B382" s="79"/>
      <c r="C382" s="27"/>
      <c r="D382" s="74"/>
      <c r="E382" s="79"/>
      <c r="F382" s="79"/>
      <c r="G382" s="28"/>
      <c r="H382" s="74"/>
      <c r="I382" s="74"/>
      <c r="J382" s="80"/>
      <c r="K382" s="74"/>
    </row>
    <row r="383" spans="1:11" ht="30" customHeight="1" x14ac:dyDescent="0.25">
      <c r="A383" s="78"/>
      <c r="B383" s="79"/>
      <c r="C383" s="27"/>
      <c r="D383" s="74"/>
      <c r="E383" s="79"/>
      <c r="F383" s="79"/>
      <c r="G383" s="28"/>
      <c r="H383" s="74"/>
      <c r="I383" s="74"/>
      <c r="J383" s="80"/>
      <c r="K383" s="74"/>
    </row>
    <row r="384" spans="1:11" ht="30" customHeight="1" x14ac:dyDescent="0.25">
      <c r="A384" s="78"/>
      <c r="B384" s="79"/>
      <c r="C384" s="27"/>
      <c r="D384" s="74"/>
      <c r="E384" s="79"/>
      <c r="F384" s="79"/>
      <c r="G384" s="28"/>
      <c r="H384" s="74"/>
      <c r="I384" s="74"/>
      <c r="J384" s="80"/>
      <c r="K384" s="74"/>
    </row>
    <row r="385" spans="1:11" ht="30" customHeight="1" x14ac:dyDescent="0.25">
      <c r="A385" s="78"/>
      <c r="B385" s="79"/>
      <c r="C385" s="27"/>
      <c r="D385" s="74"/>
      <c r="E385" s="79"/>
      <c r="F385" s="79"/>
      <c r="G385" s="28"/>
      <c r="H385" s="74"/>
      <c r="I385" s="74"/>
      <c r="J385" s="80"/>
      <c r="K385" s="74"/>
    </row>
    <row r="386" spans="1:11" ht="30" customHeight="1" x14ac:dyDescent="0.25">
      <c r="A386" s="78"/>
      <c r="B386" s="79"/>
      <c r="C386" s="27"/>
      <c r="D386" s="74"/>
      <c r="E386" s="79"/>
      <c r="F386" s="79"/>
      <c r="G386" s="28"/>
      <c r="H386" s="74"/>
      <c r="I386" s="74"/>
      <c r="J386" s="80"/>
      <c r="K386" s="74"/>
    </row>
    <row r="387" spans="1:11" ht="30" customHeight="1" x14ac:dyDescent="0.25">
      <c r="A387" s="78"/>
      <c r="B387" s="79"/>
      <c r="C387" s="27"/>
      <c r="D387" s="74"/>
      <c r="E387" s="79"/>
      <c r="F387" s="79"/>
      <c r="G387" s="28"/>
      <c r="H387" s="74"/>
      <c r="I387" s="74"/>
      <c r="J387" s="80"/>
      <c r="K387" s="74"/>
    </row>
    <row r="388" spans="1:11" ht="30" customHeight="1" x14ac:dyDescent="0.25">
      <c r="A388" s="78"/>
      <c r="B388" s="79"/>
      <c r="C388" s="27"/>
      <c r="D388" s="74"/>
      <c r="E388" s="79"/>
      <c r="F388" s="79"/>
      <c r="G388" s="28"/>
      <c r="H388" s="74"/>
      <c r="I388" s="74"/>
      <c r="J388" s="80"/>
      <c r="K388" s="74"/>
    </row>
    <row r="389" spans="1:11" ht="30" customHeight="1" x14ac:dyDescent="0.25">
      <c r="A389" s="78"/>
      <c r="B389" s="79"/>
      <c r="C389" s="27"/>
      <c r="D389" s="74"/>
      <c r="E389" s="79"/>
      <c r="F389" s="79"/>
      <c r="G389" s="28"/>
      <c r="H389" s="74"/>
      <c r="I389" s="74"/>
      <c r="J389" s="80"/>
      <c r="K389" s="74"/>
    </row>
    <row r="390" spans="1:11" ht="30" customHeight="1" x14ac:dyDescent="0.25">
      <c r="A390" s="78"/>
      <c r="B390" s="79"/>
      <c r="C390" s="27"/>
      <c r="D390" s="74"/>
      <c r="E390" s="79"/>
      <c r="F390" s="79"/>
      <c r="G390" s="28"/>
      <c r="H390" s="74"/>
      <c r="I390" s="74"/>
      <c r="J390" s="80"/>
      <c r="K390" s="74"/>
    </row>
    <row r="391" spans="1:11" ht="30" customHeight="1" x14ac:dyDescent="0.25">
      <c r="A391" s="78"/>
      <c r="B391" s="79"/>
      <c r="C391" s="27"/>
      <c r="D391" s="74"/>
      <c r="E391" s="79"/>
      <c r="F391" s="79"/>
      <c r="G391" s="28"/>
      <c r="H391" s="74"/>
      <c r="I391" s="74"/>
      <c r="J391" s="80"/>
      <c r="K391" s="74"/>
    </row>
    <row r="392" spans="1:11" ht="30" customHeight="1" x14ac:dyDescent="0.25">
      <c r="A392" s="78"/>
      <c r="B392" s="79"/>
      <c r="C392" s="27"/>
      <c r="D392" s="74"/>
      <c r="E392" s="79"/>
      <c r="F392" s="79"/>
      <c r="G392" s="28"/>
      <c r="H392" s="74"/>
      <c r="I392" s="74"/>
      <c r="J392" s="80"/>
      <c r="K392" s="74"/>
    </row>
    <row r="393" spans="1:11" ht="30" customHeight="1" x14ac:dyDescent="0.25">
      <c r="A393" s="78"/>
      <c r="B393" s="79"/>
      <c r="C393" s="27"/>
      <c r="D393" s="74"/>
      <c r="E393" s="79"/>
      <c r="F393" s="79"/>
      <c r="G393" s="28"/>
      <c r="H393" s="74"/>
      <c r="I393" s="74"/>
      <c r="J393" s="80"/>
      <c r="K393" s="74"/>
    </row>
    <row r="394" spans="1:11" ht="30" customHeight="1" x14ac:dyDescent="0.25">
      <c r="A394" s="78"/>
      <c r="B394" s="79"/>
      <c r="C394" s="27"/>
      <c r="D394" s="74"/>
      <c r="E394" s="79"/>
      <c r="F394" s="79"/>
      <c r="G394" s="28"/>
      <c r="H394" s="74"/>
      <c r="I394" s="74"/>
      <c r="J394" s="80"/>
      <c r="K394" s="74"/>
    </row>
    <row r="395" spans="1:11" ht="30" customHeight="1" x14ac:dyDescent="0.25">
      <c r="A395" s="78"/>
      <c r="B395" s="79"/>
      <c r="C395" s="27"/>
      <c r="D395" s="74"/>
      <c r="E395" s="79"/>
      <c r="F395" s="79"/>
      <c r="G395" s="28"/>
      <c r="H395" s="74"/>
      <c r="I395" s="74"/>
      <c r="J395" s="80"/>
      <c r="K395" s="74"/>
    </row>
    <row r="396" spans="1:11" ht="30" customHeight="1" x14ac:dyDescent="0.25">
      <c r="A396" s="78"/>
      <c r="B396" s="79"/>
      <c r="C396" s="27"/>
      <c r="D396" s="74"/>
      <c r="E396" s="79"/>
      <c r="F396" s="79"/>
      <c r="G396" s="28"/>
      <c r="H396" s="74"/>
      <c r="I396" s="74"/>
      <c r="J396" s="80"/>
      <c r="K396" s="74"/>
    </row>
    <row r="397" spans="1:11" ht="30" customHeight="1" x14ac:dyDescent="0.25">
      <c r="A397" s="78"/>
      <c r="B397" s="79"/>
      <c r="C397" s="27"/>
      <c r="D397" s="74"/>
      <c r="E397" s="79"/>
      <c r="F397" s="79"/>
      <c r="G397" s="28"/>
      <c r="H397" s="74"/>
      <c r="I397" s="74"/>
      <c r="J397" s="80"/>
      <c r="K397" s="74"/>
    </row>
    <row r="398" spans="1:11" ht="30" customHeight="1" x14ac:dyDescent="0.25">
      <c r="A398" s="78"/>
      <c r="B398" s="79"/>
      <c r="C398" s="27"/>
      <c r="D398" s="74"/>
      <c r="E398" s="79"/>
      <c r="F398" s="79"/>
      <c r="G398" s="28"/>
      <c r="H398" s="74"/>
      <c r="I398" s="74"/>
      <c r="J398" s="80"/>
      <c r="K398" s="74"/>
    </row>
    <row r="399" spans="1:11" ht="30" customHeight="1" x14ac:dyDescent="0.25">
      <c r="A399" s="78"/>
      <c r="B399" s="79"/>
      <c r="C399" s="27"/>
      <c r="D399" s="74"/>
      <c r="E399" s="79"/>
      <c r="F399" s="79"/>
      <c r="G399" s="28"/>
      <c r="H399" s="74"/>
      <c r="I399" s="74"/>
      <c r="J399" s="80"/>
      <c r="K399" s="74"/>
    </row>
    <row r="400" spans="1:11" ht="30" customHeight="1" x14ac:dyDescent="0.25">
      <c r="A400" s="78"/>
      <c r="B400" s="79"/>
      <c r="C400" s="27"/>
      <c r="D400" s="74"/>
      <c r="E400" s="79"/>
      <c r="F400" s="79"/>
      <c r="G400" s="28"/>
      <c r="H400" s="74"/>
      <c r="I400" s="74"/>
      <c r="J400" s="80"/>
      <c r="K400" s="74"/>
    </row>
    <row r="401" spans="1:11" ht="30" customHeight="1" x14ac:dyDescent="0.25">
      <c r="A401" s="78"/>
      <c r="B401" s="79"/>
      <c r="C401" s="27"/>
      <c r="D401" s="74"/>
      <c r="E401" s="79"/>
      <c r="F401" s="79"/>
      <c r="G401" s="28"/>
      <c r="H401" s="74"/>
      <c r="I401" s="74"/>
      <c r="J401" s="80"/>
      <c r="K401" s="74"/>
    </row>
    <row r="402" spans="1:11" ht="30" customHeight="1" x14ac:dyDescent="0.25">
      <c r="A402" s="78"/>
      <c r="B402" s="79"/>
      <c r="C402" s="27"/>
      <c r="D402" s="74"/>
      <c r="E402" s="79"/>
      <c r="F402" s="79"/>
      <c r="G402" s="28"/>
      <c r="H402" s="74"/>
      <c r="I402" s="74"/>
      <c r="J402" s="80"/>
      <c r="K402" s="74"/>
    </row>
    <row r="403" spans="1:11" ht="30" customHeight="1" x14ac:dyDescent="0.25">
      <c r="A403" s="78"/>
      <c r="B403" s="79"/>
      <c r="C403" s="27"/>
      <c r="D403" s="74"/>
      <c r="E403" s="79"/>
      <c r="F403" s="79"/>
      <c r="G403" s="28"/>
      <c r="H403" s="74"/>
      <c r="I403" s="74"/>
      <c r="J403" s="80"/>
      <c r="K403" s="74"/>
    </row>
    <row r="404" spans="1:11" ht="30" customHeight="1" x14ac:dyDescent="0.25">
      <c r="A404" s="78"/>
      <c r="B404" s="79"/>
      <c r="C404" s="27"/>
      <c r="D404" s="74"/>
      <c r="E404" s="79"/>
      <c r="F404" s="79"/>
      <c r="G404" s="28"/>
      <c r="H404" s="74"/>
      <c r="I404" s="74"/>
      <c r="J404" s="80"/>
      <c r="K404" s="74"/>
    </row>
    <row r="405" spans="1:11" ht="30" customHeight="1" x14ac:dyDescent="0.25">
      <c r="A405" s="78"/>
      <c r="B405" s="79"/>
      <c r="C405" s="27"/>
      <c r="D405" s="74"/>
      <c r="E405" s="79"/>
      <c r="F405" s="79"/>
      <c r="G405" s="28"/>
      <c r="H405" s="74"/>
      <c r="I405" s="74"/>
      <c r="J405" s="80"/>
      <c r="K405" s="74"/>
    </row>
    <row r="406" spans="1:11" ht="30" customHeight="1" x14ac:dyDescent="0.25">
      <c r="A406" s="78"/>
      <c r="B406" s="79"/>
      <c r="C406" s="27"/>
      <c r="D406" s="74"/>
      <c r="E406" s="79"/>
      <c r="F406" s="79"/>
      <c r="G406" s="28"/>
      <c r="H406" s="74"/>
      <c r="I406" s="74"/>
      <c r="J406" s="80"/>
      <c r="K406" s="74"/>
    </row>
    <row r="407" spans="1:11" ht="30" customHeight="1" x14ac:dyDescent="0.25">
      <c r="A407" s="78"/>
      <c r="B407" s="79"/>
      <c r="C407" s="27"/>
      <c r="D407" s="74"/>
      <c r="E407" s="79"/>
      <c r="F407" s="79"/>
      <c r="G407" s="28"/>
      <c r="H407" s="74"/>
      <c r="I407" s="74"/>
      <c r="J407" s="80"/>
      <c r="K407" s="74"/>
    </row>
    <row r="408" spans="1:11" ht="30" customHeight="1" x14ac:dyDescent="0.25">
      <c r="A408" s="78"/>
      <c r="B408" s="79"/>
      <c r="C408" s="27"/>
      <c r="D408" s="74"/>
      <c r="E408" s="79"/>
      <c r="F408" s="79"/>
      <c r="G408" s="28"/>
      <c r="H408" s="74"/>
      <c r="I408" s="74"/>
      <c r="J408" s="80"/>
      <c r="K408" s="74"/>
    </row>
    <row r="409" spans="1:11" ht="30" customHeight="1" x14ac:dyDescent="0.25">
      <c r="A409" s="78"/>
      <c r="B409" s="79"/>
      <c r="C409" s="27"/>
      <c r="D409" s="74"/>
      <c r="E409" s="79"/>
      <c r="F409" s="79"/>
      <c r="G409" s="28"/>
      <c r="H409" s="74"/>
      <c r="I409" s="74"/>
      <c r="J409" s="80"/>
      <c r="K409" s="74"/>
    </row>
    <row r="410" spans="1:11" ht="30" customHeight="1" x14ac:dyDescent="0.25">
      <c r="A410" s="78"/>
      <c r="B410" s="79"/>
      <c r="C410" s="27"/>
      <c r="D410" s="74"/>
      <c r="E410" s="79"/>
      <c r="F410" s="79"/>
      <c r="G410" s="28"/>
      <c r="H410" s="74"/>
      <c r="I410" s="74"/>
      <c r="J410" s="80"/>
      <c r="K410" s="74"/>
    </row>
    <row r="411" spans="1:11" ht="30" customHeight="1" x14ac:dyDescent="0.25">
      <c r="A411" s="78"/>
      <c r="B411" s="79"/>
      <c r="C411" s="27"/>
      <c r="D411" s="74"/>
      <c r="E411" s="79"/>
      <c r="F411" s="79"/>
      <c r="G411" s="28"/>
      <c r="H411" s="74"/>
      <c r="I411" s="74"/>
      <c r="J411" s="80"/>
      <c r="K411" s="74"/>
    </row>
    <row r="412" spans="1:11" ht="30" customHeight="1" x14ac:dyDescent="0.25">
      <c r="A412" s="78"/>
      <c r="B412" s="79"/>
      <c r="C412" s="27"/>
      <c r="D412" s="74"/>
      <c r="E412" s="79"/>
      <c r="F412" s="79"/>
      <c r="G412" s="28"/>
      <c r="H412" s="74"/>
      <c r="I412" s="74"/>
      <c r="J412" s="80"/>
      <c r="K412" s="74"/>
    </row>
    <row r="413" spans="1:11" ht="30" customHeight="1" x14ac:dyDescent="0.25">
      <c r="A413" s="78"/>
      <c r="B413" s="79"/>
      <c r="C413" s="27"/>
      <c r="D413" s="74"/>
      <c r="E413" s="79"/>
      <c r="F413" s="79"/>
      <c r="G413" s="28"/>
      <c r="H413" s="74"/>
      <c r="I413" s="74"/>
      <c r="J413" s="80"/>
      <c r="K413" s="74"/>
    </row>
    <row r="414" spans="1:11" ht="30" customHeight="1" x14ac:dyDescent="0.25">
      <c r="A414" s="78"/>
      <c r="B414" s="79"/>
      <c r="C414" s="27"/>
      <c r="D414" s="74"/>
      <c r="E414" s="79"/>
      <c r="F414" s="79"/>
      <c r="G414" s="28"/>
      <c r="H414" s="74"/>
      <c r="I414" s="74"/>
      <c r="J414" s="80"/>
      <c r="K414" s="74"/>
    </row>
    <row r="415" spans="1:11" ht="30" customHeight="1" x14ac:dyDescent="0.25">
      <c r="A415" s="78"/>
      <c r="B415" s="79"/>
      <c r="C415" s="27"/>
      <c r="D415" s="74"/>
      <c r="E415" s="79"/>
      <c r="F415" s="79"/>
      <c r="G415" s="28"/>
      <c r="H415" s="74"/>
      <c r="I415" s="74"/>
      <c r="J415" s="80"/>
      <c r="K415" s="74"/>
    </row>
    <row r="416" spans="1:11" ht="30" customHeight="1" x14ac:dyDescent="0.25">
      <c r="A416" s="78"/>
      <c r="B416" s="79"/>
      <c r="C416" s="27"/>
      <c r="D416" s="74"/>
      <c r="E416" s="79"/>
      <c r="F416" s="79"/>
      <c r="G416" s="28"/>
      <c r="H416" s="74"/>
      <c r="I416" s="74"/>
      <c r="J416" s="80"/>
      <c r="K416" s="74"/>
    </row>
    <row r="417" spans="1:11" ht="30" customHeight="1" x14ac:dyDescent="0.25">
      <c r="A417" s="78"/>
      <c r="B417" s="79"/>
      <c r="C417" s="27"/>
      <c r="D417" s="74"/>
      <c r="E417" s="79"/>
      <c r="F417" s="79"/>
      <c r="G417" s="28"/>
      <c r="H417" s="74"/>
      <c r="I417" s="74"/>
      <c r="J417" s="80"/>
      <c r="K417" s="74"/>
    </row>
    <row r="418" spans="1:11" ht="30" customHeight="1" x14ac:dyDescent="0.25">
      <c r="A418" s="78"/>
      <c r="B418" s="79"/>
      <c r="C418" s="27"/>
      <c r="D418" s="74"/>
      <c r="E418" s="79"/>
      <c r="F418" s="79"/>
      <c r="G418" s="28"/>
      <c r="H418" s="74"/>
      <c r="I418" s="74"/>
      <c r="J418" s="80"/>
      <c r="K418" s="74"/>
    </row>
    <row r="419" spans="1:11" ht="30" customHeight="1" x14ac:dyDescent="0.25">
      <c r="A419" s="78"/>
      <c r="B419" s="79"/>
      <c r="C419" s="27"/>
      <c r="D419" s="74"/>
      <c r="E419" s="79"/>
      <c r="F419" s="79"/>
      <c r="G419" s="28"/>
      <c r="H419" s="74"/>
      <c r="I419" s="74"/>
      <c r="J419" s="80"/>
      <c r="K419" s="74"/>
    </row>
    <row r="420" spans="1:11" ht="30" customHeight="1" x14ac:dyDescent="0.25">
      <c r="A420" s="78"/>
      <c r="B420" s="79"/>
      <c r="C420" s="27"/>
      <c r="D420" s="74"/>
      <c r="E420" s="79"/>
      <c r="F420" s="79"/>
      <c r="G420" s="28"/>
      <c r="H420" s="74"/>
      <c r="I420" s="74"/>
      <c r="J420" s="80"/>
      <c r="K420" s="74"/>
    </row>
    <row r="421" spans="1:11" ht="30" customHeight="1" x14ac:dyDescent="0.25">
      <c r="A421" s="78"/>
      <c r="B421" s="79"/>
      <c r="C421" s="27"/>
      <c r="D421" s="74"/>
      <c r="E421" s="79"/>
      <c r="F421" s="79"/>
      <c r="G421" s="28"/>
      <c r="H421" s="74"/>
      <c r="I421" s="74"/>
      <c r="J421" s="80"/>
      <c r="K421" s="74"/>
    </row>
    <row r="422" spans="1:11" ht="30" customHeight="1" x14ac:dyDescent="0.25">
      <c r="A422" s="78"/>
      <c r="B422" s="79"/>
      <c r="C422" s="27"/>
      <c r="D422" s="74"/>
      <c r="E422" s="79"/>
      <c r="F422" s="79"/>
      <c r="G422" s="28"/>
      <c r="H422" s="74"/>
      <c r="I422" s="74"/>
      <c r="J422" s="80"/>
      <c r="K422" s="74"/>
    </row>
    <row r="423" spans="1:11" ht="30" customHeight="1" x14ac:dyDescent="0.25">
      <c r="A423" s="78"/>
      <c r="B423" s="79"/>
      <c r="C423" s="27"/>
      <c r="D423" s="74"/>
      <c r="E423" s="79"/>
      <c r="F423" s="79"/>
      <c r="G423" s="28"/>
      <c r="H423" s="74"/>
      <c r="I423" s="74"/>
      <c r="J423" s="80"/>
      <c r="K423" s="74"/>
    </row>
    <row r="424" spans="1:11" ht="30" customHeight="1" x14ac:dyDescent="0.25">
      <c r="A424" s="78"/>
      <c r="B424" s="79"/>
      <c r="C424" s="27"/>
      <c r="D424" s="74"/>
      <c r="E424" s="79"/>
      <c r="F424" s="79"/>
      <c r="G424" s="28"/>
      <c r="H424" s="74"/>
      <c r="I424" s="74"/>
      <c r="J424" s="80"/>
      <c r="K424" s="74"/>
    </row>
    <row r="425" spans="1:11" ht="30" customHeight="1" x14ac:dyDescent="0.25">
      <c r="A425" s="78"/>
      <c r="B425" s="79"/>
      <c r="C425" s="27"/>
      <c r="D425" s="74"/>
      <c r="E425" s="79"/>
      <c r="F425" s="79"/>
      <c r="G425" s="28"/>
      <c r="H425" s="74"/>
      <c r="I425" s="74"/>
      <c r="J425" s="80"/>
      <c r="K425" s="74"/>
    </row>
    <row r="426" spans="1:11" ht="30" customHeight="1" x14ac:dyDescent="0.25">
      <c r="A426" s="78"/>
      <c r="B426" s="79"/>
      <c r="C426" s="27"/>
      <c r="D426" s="74"/>
      <c r="E426" s="79"/>
      <c r="F426" s="79"/>
      <c r="G426" s="28"/>
      <c r="H426" s="74"/>
      <c r="I426" s="74"/>
      <c r="J426" s="80"/>
      <c r="K426" s="74"/>
    </row>
    <row r="427" spans="1:11" ht="30" customHeight="1" x14ac:dyDescent="0.25">
      <c r="A427" s="78"/>
      <c r="B427" s="79"/>
      <c r="C427" s="27"/>
      <c r="D427" s="74"/>
      <c r="E427" s="79"/>
      <c r="F427" s="79"/>
      <c r="G427" s="28"/>
      <c r="H427" s="74"/>
      <c r="I427" s="74"/>
      <c r="J427" s="80"/>
      <c r="K427" s="74"/>
    </row>
    <row r="428" spans="1:11" ht="30" customHeight="1" x14ac:dyDescent="0.25">
      <c r="A428" s="78"/>
      <c r="B428" s="79"/>
      <c r="C428" s="27"/>
      <c r="D428" s="74"/>
      <c r="E428" s="79"/>
      <c r="F428" s="79"/>
      <c r="G428" s="28"/>
      <c r="H428" s="74"/>
      <c r="I428" s="74"/>
      <c r="J428" s="80"/>
      <c r="K428" s="74"/>
    </row>
    <row r="429" spans="1:11" ht="30" customHeight="1" x14ac:dyDescent="0.25">
      <c r="A429" s="78"/>
      <c r="B429" s="79"/>
      <c r="C429" s="27"/>
      <c r="D429" s="74"/>
      <c r="E429" s="79"/>
      <c r="F429" s="79"/>
      <c r="G429" s="28"/>
      <c r="H429" s="74"/>
      <c r="I429" s="74"/>
      <c r="J429" s="80"/>
      <c r="K429" s="74"/>
    </row>
    <row r="430" spans="1:11" ht="30" customHeight="1" x14ac:dyDescent="0.25">
      <c r="A430" s="78"/>
      <c r="B430" s="79"/>
      <c r="C430" s="27"/>
      <c r="D430" s="74"/>
      <c r="E430" s="79"/>
      <c r="F430" s="79"/>
      <c r="G430" s="28"/>
      <c r="H430" s="74"/>
      <c r="I430" s="74"/>
      <c r="J430" s="80"/>
      <c r="K430" s="74"/>
    </row>
    <row r="431" spans="1:11" ht="30" customHeight="1" x14ac:dyDescent="0.25">
      <c r="A431" s="78"/>
      <c r="B431" s="79"/>
      <c r="C431" s="27"/>
      <c r="D431" s="74"/>
      <c r="E431" s="79"/>
      <c r="F431" s="79"/>
      <c r="G431" s="28"/>
      <c r="H431" s="74"/>
      <c r="I431" s="74"/>
      <c r="J431" s="80"/>
      <c r="K431" s="74"/>
    </row>
    <row r="432" spans="1:11" ht="30" customHeight="1" x14ac:dyDescent="0.25">
      <c r="A432" s="78"/>
      <c r="B432" s="79"/>
      <c r="C432" s="27"/>
      <c r="D432" s="74"/>
      <c r="E432" s="79"/>
      <c r="F432" s="79"/>
      <c r="G432" s="28"/>
      <c r="H432" s="74"/>
      <c r="I432" s="74"/>
      <c r="J432" s="80"/>
      <c r="K432" s="74"/>
    </row>
    <row r="433" spans="1:11" ht="30" customHeight="1" x14ac:dyDescent="0.25">
      <c r="A433" s="78"/>
      <c r="B433" s="79"/>
      <c r="C433" s="27"/>
      <c r="D433" s="74"/>
      <c r="E433" s="79"/>
      <c r="F433" s="79"/>
      <c r="G433" s="28"/>
      <c r="H433" s="74"/>
      <c r="I433" s="74"/>
      <c r="J433" s="80"/>
      <c r="K433" s="74"/>
    </row>
    <row r="434" spans="1:11" ht="30" customHeight="1" x14ac:dyDescent="0.25">
      <c r="A434" s="78"/>
      <c r="B434" s="79"/>
      <c r="C434" s="27"/>
      <c r="D434" s="74"/>
      <c r="E434" s="79"/>
      <c r="F434" s="79"/>
      <c r="G434" s="28"/>
      <c r="H434" s="74"/>
      <c r="I434" s="74"/>
      <c r="J434" s="80"/>
      <c r="K434" s="74"/>
    </row>
    <row r="435" spans="1:11" ht="30" customHeight="1" x14ac:dyDescent="0.25">
      <c r="A435" s="78"/>
      <c r="B435" s="79"/>
      <c r="C435" s="27"/>
      <c r="D435" s="74"/>
      <c r="E435" s="79"/>
      <c r="F435" s="79"/>
      <c r="G435" s="28"/>
      <c r="H435" s="74"/>
      <c r="I435" s="74"/>
      <c r="J435" s="80"/>
      <c r="K435" s="74"/>
    </row>
    <row r="436" spans="1:11" ht="30" customHeight="1" x14ac:dyDescent="0.25">
      <c r="A436" s="78"/>
      <c r="B436" s="79"/>
      <c r="C436" s="27"/>
      <c r="D436" s="74"/>
      <c r="E436" s="79"/>
      <c r="F436" s="79"/>
      <c r="G436" s="28"/>
      <c r="H436" s="74"/>
      <c r="I436" s="74"/>
      <c r="J436" s="80"/>
      <c r="K436" s="74"/>
    </row>
    <row r="437" spans="1:11" ht="30" customHeight="1" x14ac:dyDescent="0.25">
      <c r="A437" s="78"/>
      <c r="B437" s="79"/>
      <c r="C437" s="27"/>
      <c r="D437" s="74"/>
      <c r="E437" s="79"/>
      <c r="F437" s="79"/>
      <c r="G437" s="28"/>
      <c r="H437" s="74"/>
      <c r="I437" s="74"/>
      <c r="J437" s="80"/>
      <c r="K437" s="74"/>
    </row>
    <row r="438" spans="1:11" ht="30" customHeight="1" x14ac:dyDescent="0.25">
      <c r="A438" s="78"/>
      <c r="B438" s="79"/>
      <c r="C438" s="27"/>
      <c r="D438" s="74"/>
      <c r="E438" s="79"/>
      <c r="F438" s="79"/>
      <c r="G438" s="28"/>
      <c r="H438" s="74"/>
      <c r="I438" s="74"/>
      <c r="J438" s="80"/>
      <c r="K438" s="74"/>
    </row>
    <row r="439" spans="1:11" ht="30" customHeight="1" x14ac:dyDescent="0.25">
      <c r="A439" s="78"/>
      <c r="B439" s="79"/>
      <c r="C439" s="27"/>
      <c r="D439" s="74"/>
      <c r="E439" s="79"/>
      <c r="F439" s="79"/>
      <c r="G439" s="28"/>
      <c r="H439" s="74"/>
      <c r="I439" s="74"/>
      <c r="J439" s="80"/>
      <c r="K439" s="74"/>
    </row>
    <row r="440" spans="1:11" ht="30" customHeight="1" x14ac:dyDescent="0.25">
      <c r="A440" s="78"/>
      <c r="B440" s="79"/>
      <c r="C440" s="27"/>
      <c r="D440" s="74"/>
      <c r="E440" s="79"/>
      <c r="F440" s="79"/>
      <c r="G440" s="28"/>
      <c r="H440" s="74"/>
      <c r="I440" s="74"/>
      <c r="J440" s="80"/>
      <c r="K440" s="74"/>
    </row>
    <row r="441" spans="1:11" ht="30" customHeight="1" x14ac:dyDescent="0.25">
      <c r="A441" s="78"/>
      <c r="B441" s="79"/>
      <c r="C441" s="27"/>
      <c r="D441" s="74"/>
      <c r="E441" s="79"/>
      <c r="F441" s="79"/>
      <c r="G441" s="28"/>
      <c r="H441" s="74"/>
      <c r="I441" s="74"/>
      <c r="J441" s="80"/>
      <c r="K441" s="74"/>
    </row>
    <row r="442" spans="1:11" ht="30" customHeight="1" x14ac:dyDescent="0.25">
      <c r="A442" s="78"/>
      <c r="B442" s="79"/>
      <c r="C442" s="27"/>
      <c r="D442" s="74"/>
      <c r="E442" s="79"/>
      <c r="F442" s="79"/>
      <c r="G442" s="28"/>
      <c r="H442" s="74"/>
      <c r="I442" s="74"/>
      <c r="J442" s="80"/>
      <c r="K442" s="74"/>
    </row>
    <row r="443" spans="1:11" ht="30" customHeight="1" x14ac:dyDescent="0.25">
      <c r="A443" s="78"/>
      <c r="B443" s="79"/>
      <c r="C443" s="27"/>
      <c r="D443" s="74"/>
      <c r="E443" s="79"/>
      <c r="F443" s="79"/>
      <c r="G443" s="28"/>
      <c r="H443" s="74"/>
      <c r="I443" s="74"/>
      <c r="J443" s="80"/>
      <c r="K443" s="74"/>
    </row>
    <row r="444" spans="1:11" ht="30" customHeight="1" x14ac:dyDescent="0.25">
      <c r="A444" s="78"/>
      <c r="B444" s="79"/>
      <c r="C444" s="27"/>
      <c r="D444" s="74"/>
      <c r="E444" s="79"/>
      <c r="F444" s="79"/>
      <c r="G444" s="28"/>
      <c r="H444" s="74"/>
      <c r="I444" s="74"/>
      <c r="J444" s="80"/>
      <c r="K444" s="74"/>
    </row>
    <row r="445" spans="1:11" ht="30" customHeight="1" x14ac:dyDescent="0.25">
      <c r="A445" s="78"/>
      <c r="B445" s="79"/>
      <c r="C445" s="27"/>
      <c r="D445" s="74"/>
      <c r="E445" s="79"/>
      <c r="F445" s="79"/>
      <c r="G445" s="28"/>
      <c r="H445" s="74"/>
      <c r="I445" s="74"/>
      <c r="J445" s="80"/>
      <c r="K445" s="74"/>
    </row>
    <row r="446" spans="1:11" ht="30" customHeight="1" x14ac:dyDescent="0.25">
      <c r="A446" s="78"/>
      <c r="B446" s="79"/>
      <c r="C446" s="27"/>
      <c r="D446" s="74"/>
      <c r="E446" s="79"/>
      <c r="F446" s="79"/>
      <c r="G446" s="28"/>
      <c r="H446" s="74"/>
      <c r="I446" s="74"/>
      <c r="J446" s="80"/>
      <c r="K446" s="74"/>
    </row>
    <row r="447" spans="1:11" ht="30" customHeight="1" x14ac:dyDescent="0.25">
      <c r="A447" s="78"/>
      <c r="B447" s="79"/>
      <c r="C447" s="27"/>
      <c r="D447" s="74"/>
      <c r="E447" s="79"/>
      <c r="F447" s="79"/>
      <c r="G447" s="28"/>
      <c r="H447" s="74"/>
      <c r="I447" s="74"/>
      <c r="J447" s="80"/>
      <c r="K447" s="74"/>
    </row>
    <row r="448" spans="1:11" ht="30" customHeight="1" x14ac:dyDescent="0.25">
      <c r="A448" s="78"/>
      <c r="B448" s="79"/>
      <c r="C448" s="27"/>
      <c r="D448" s="74"/>
      <c r="E448" s="79"/>
      <c r="F448" s="79"/>
      <c r="G448" s="28"/>
      <c r="H448" s="74"/>
      <c r="I448" s="74"/>
      <c r="J448" s="80"/>
      <c r="K448" s="74"/>
    </row>
    <row r="449" spans="1:11" ht="30" customHeight="1" x14ac:dyDescent="0.25">
      <c r="A449" s="78"/>
      <c r="B449" s="79"/>
      <c r="C449" s="27"/>
      <c r="D449" s="74"/>
      <c r="E449" s="79"/>
      <c r="F449" s="79"/>
      <c r="G449" s="28"/>
      <c r="H449" s="74"/>
      <c r="I449" s="74"/>
      <c r="J449" s="80"/>
      <c r="K449" s="74"/>
    </row>
    <row r="450" spans="1:11" ht="30" customHeight="1" x14ac:dyDescent="0.25">
      <c r="A450" s="78"/>
      <c r="B450" s="79"/>
      <c r="C450" s="27"/>
      <c r="D450" s="74"/>
      <c r="E450" s="79"/>
      <c r="F450" s="79"/>
      <c r="G450" s="28"/>
      <c r="H450" s="74"/>
      <c r="I450" s="74"/>
      <c r="J450" s="80"/>
      <c r="K450" s="74"/>
    </row>
    <row r="451" spans="1:11" ht="30" customHeight="1" x14ac:dyDescent="0.25">
      <c r="A451" s="78"/>
      <c r="B451" s="79"/>
      <c r="C451" s="27"/>
      <c r="D451" s="74"/>
      <c r="E451" s="79"/>
      <c r="F451" s="79"/>
      <c r="G451" s="28"/>
      <c r="H451" s="74"/>
      <c r="I451" s="74"/>
      <c r="J451" s="80"/>
      <c r="K451" s="74"/>
    </row>
    <row r="452" spans="1:11" ht="30" customHeight="1" x14ac:dyDescent="0.25">
      <c r="A452" s="78"/>
      <c r="B452" s="79"/>
      <c r="C452" s="27"/>
      <c r="D452" s="74"/>
      <c r="E452" s="79"/>
      <c r="F452" s="79"/>
      <c r="G452" s="28"/>
      <c r="H452" s="74"/>
      <c r="I452" s="74"/>
      <c r="J452" s="80"/>
      <c r="K452" s="74"/>
    </row>
    <row r="453" spans="1:11" ht="30" customHeight="1" x14ac:dyDescent="0.25">
      <c r="A453" s="78"/>
      <c r="B453" s="79"/>
      <c r="C453" s="27"/>
      <c r="D453" s="74"/>
      <c r="E453" s="79"/>
      <c r="F453" s="79"/>
      <c r="G453" s="28"/>
      <c r="H453" s="74"/>
      <c r="I453" s="74"/>
      <c r="J453" s="80"/>
      <c r="K453" s="74"/>
    </row>
    <row r="454" spans="1:11" ht="30" customHeight="1" x14ac:dyDescent="0.25">
      <c r="A454" s="78"/>
      <c r="B454" s="79"/>
      <c r="C454" s="27"/>
      <c r="D454" s="74"/>
      <c r="E454" s="79"/>
      <c r="F454" s="79"/>
      <c r="G454" s="28"/>
      <c r="H454" s="74"/>
      <c r="I454" s="74"/>
      <c r="J454" s="80"/>
      <c r="K454" s="74"/>
    </row>
    <row r="455" spans="1:11" ht="30" customHeight="1" x14ac:dyDescent="0.25">
      <c r="A455" s="78"/>
      <c r="B455" s="79"/>
      <c r="C455" s="27"/>
      <c r="D455" s="74"/>
      <c r="E455" s="79"/>
      <c r="F455" s="79"/>
      <c r="G455" s="28"/>
      <c r="H455" s="74"/>
      <c r="I455" s="74"/>
      <c r="J455" s="80"/>
      <c r="K455" s="74"/>
    </row>
    <row r="456" spans="1:11" ht="30" customHeight="1" x14ac:dyDescent="0.25">
      <c r="A456" s="78"/>
      <c r="B456" s="79"/>
      <c r="C456" s="27"/>
      <c r="D456" s="74"/>
      <c r="E456" s="79"/>
      <c r="F456" s="79"/>
      <c r="G456" s="28"/>
      <c r="H456" s="74"/>
      <c r="I456" s="74"/>
      <c r="J456" s="80"/>
      <c r="K456" s="74"/>
    </row>
    <row r="457" spans="1:11" ht="30" customHeight="1" x14ac:dyDescent="0.25">
      <c r="A457" s="78"/>
      <c r="B457" s="79"/>
      <c r="C457" s="27"/>
      <c r="D457" s="74"/>
      <c r="E457" s="79"/>
      <c r="F457" s="79"/>
      <c r="G457" s="28"/>
      <c r="H457" s="74"/>
      <c r="I457" s="74"/>
      <c r="J457" s="80"/>
      <c r="K457" s="74"/>
    </row>
    <row r="458" spans="1:11" ht="30" customHeight="1" x14ac:dyDescent="0.25">
      <c r="A458" s="78"/>
      <c r="B458" s="79"/>
      <c r="C458" s="27"/>
      <c r="D458" s="74"/>
      <c r="E458" s="79"/>
      <c r="F458" s="79"/>
      <c r="G458" s="28"/>
      <c r="H458" s="74"/>
      <c r="I458" s="74"/>
      <c r="J458" s="80"/>
      <c r="K458" s="74"/>
    </row>
    <row r="459" spans="1:11" ht="30" customHeight="1" x14ac:dyDescent="0.25">
      <c r="A459" s="78"/>
      <c r="B459" s="79"/>
      <c r="C459" s="27"/>
      <c r="D459" s="74"/>
      <c r="E459" s="79"/>
      <c r="F459" s="79"/>
      <c r="G459" s="28"/>
      <c r="H459" s="74"/>
      <c r="I459" s="74"/>
      <c r="J459" s="80"/>
      <c r="K459" s="74"/>
    </row>
    <row r="460" spans="1:11" ht="30" customHeight="1" x14ac:dyDescent="0.25">
      <c r="A460" s="78"/>
      <c r="B460" s="79"/>
      <c r="C460" s="27"/>
      <c r="D460" s="74"/>
      <c r="E460" s="79"/>
      <c r="F460" s="79"/>
      <c r="G460" s="28"/>
      <c r="H460" s="74"/>
      <c r="I460" s="74"/>
      <c r="J460" s="80"/>
      <c r="K460" s="74"/>
    </row>
    <row r="461" spans="1:11" ht="30" customHeight="1" x14ac:dyDescent="0.25">
      <c r="A461" s="78"/>
      <c r="B461" s="79"/>
      <c r="C461" s="27"/>
      <c r="D461" s="74"/>
      <c r="E461" s="79"/>
      <c r="F461" s="79"/>
      <c r="G461" s="28"/>
      <c r="H461" s="74"/>
      <c r="I461" s="74"/>
      <c r="J461" s="80"/>
      <c r="K461" s="74"/>
    </row>
    <row r="462" spans="1:11" ht="30" customHeight="1" x14ac:dyDescent="0.25">
      <c r="A462" s="78"/>
      <c r="B462" s="79"/>
      <c r="C462" s="27"/>
      <c r="D462" s="74"/>
      <c r="E462" s="79"/>
      <c r="F462" s="79"/>
      <c r="G462" s="28"/>
      <c r="H462" s="74"/>
      <c r="I462" s="74"/>
      <c r="J462" s="80"/>
      <c r="K462" s="74"/>
    </row>
    <row r="463" spans="1:11" ht="30" customHeight="1" x14ac:dyDescent="0.25">
      <c r="A463" s="78"/>
      <c r="B463" s="79"/>
      <c r="C463" s="27"/>
      <c r="D463" s="74"/>
      <c r="E463" s="79"/>
      <c r="F463" s="79"/>
      <c r="G463" s="28"/>
      <c r="H463" s="74"/>
      <c r="I463" s="74"/>
      <c r="J463" s="80"/>
      <c r="K463" s="74"/>
    </row>
    <row r="464" spans="1:11" ht="30" customHeight="1" x14ac:dyDescent="0.25">
      <c r="A464" s="78"/>
      <c r="B464" s="79"/>
      <c r="C464" s="27"/>
      <c r="D464" s="74"/>
      <c r="E464" s="79"/>
      <c r="F464" s="79"/>
      <c r="G464" s="28"/>
      <c r="H464" s="74"/>
      <c r="I464" s="74"/>
      <c r="J464" s="80"/>
      <c r="K464" s="74"/>
    </row>
    <row r="465" spans="1:11" ht="30" customHeight="1" x14ac:dyDescent="0.25">
      <c r="A465" s="78"/>
      <c r="B465" s="79"/>
      <c r="C465" s="27"/>
      <c r="D465" s="74"/>
      <c r="E465" s="79"/>
      <c r="F465" s="79"/>
      <c r="G465" s="28"/>
      <c r="H465" s="74"/>
      <c r="I465" s="74"/>
      <c r="J465" s="80"/>
      <c r="K465" s="74"/>
    </row>
    <row r="466" spans="1:11" ht="30" customHeight="1" x14ac:dyDescent="0.25">
      <c r="A466" s="78"/>
      <c r="B466" s="79"/>
      <c r="C466" s="27"/>
      <c r="D466" s="74"/>
      <c r="E466" s="79"/>
      <c r="F466" s="79"/>
      <c r="G466" s="28"/>
      <c r="H466" s="74"/>
      <c r="I466" s="74"/>
      <c r="J466" s="80"/>
      <c r="K466" s="74"/>
    </row>
    <row r="467" spans="1:11" ht="30" customHeight="1" x14ac:dyDescent="0.25">
      <c r="A467" s="78"/>
      <c r="B467" s="79"/>
      <c r="C467" s="27"/>
      <c r="D467" s="74"/>
      <c r="E467" s="79"/>
      <c r="F467" s="79"/>
      <c r="G467" s="28"/>
      <c r="H467" s="74"/>
      <c r="I467" s="74"/>
      <c r="J467" s="80"/>
      <c r="K467" s="74"/>
    </row>
    <row r="468" spans="1:11" ht="30" customHeight="1" x14ac:dyDescent="0.25">
      <c r="A468" s="78"/>
      <c r="B468" s="79"/>
      <c r="C468" s="27"/>
      <c r="D468" s="74"/>
      <c r="E468" s="79"/>
      <c r="F468" s="79"/>
      <c r="G468" s="28"/>
      <c r="H468" s="74"/>
      <c r="I468" s="74"/>
      <c r="J468" s="80"/>
      <c r="K468" s="74"/>
    </row>
    <row r="469" spans="1:11" ht="30" customHeight="1" x14ac:dyDescent="0.25">
      <c r="A469" s="78"/>
      <c r="B469" s="79"/>
      <c r="C469" s="27"/>
      <c r="D469" s="74"/>
      <c r="E469" s="79"/>
      <c r="F469" s="79"/>
      <c r="G469" s="28"/>
      <c r="H469" s="74"/>
      <c r="I469" s="74"/>
      <c r="J469" s="80"/>
      <c r="K469" s="74"/>
    </row>
    <row r="470" spans="1:11" ht="30" customHeight="1" x14ac:dyDescent="0.25">
      <c r="A470" s="78"/>
      <c r="B470" s="79"/>
      <c r="C470" s="27"/>
      <c r="D470" s="74"/>
      <c r="E470" s="79"/>
      <c r="F470" s="79"/>
      <c r="G470" s="28"/>
      <c r="H470" s="74"/>
      <c r="I470" s="74"/>
      <c r="J470" s="80"/>
      <c r="K470" s="74"/>
    </row>
    <row r="471" spans="1:11" ht="30" customHeight="1" x14ac:dyDescent="0.25">
      <c r="A471" s="78"/>
      <c r="B471" s="79"/>
      <c r="C471" s="27"/>
      <c r="D471" s="74"/>
      <c r="E471" s="79"/>
      <c r="F471" s="79"/>
      <c r="G471" s="28"/>
      <c r="H471" s="74"/>
      <c r="I471" s="74"/>
      <c r="J471" s="80"/>
      <c r="K471" s="74"/>
    </row>
    <row r="472" spans="1:11" ht="30" customHeight="1" x14ac:dyDescent="0.25">
      <c r="A472" s="78"/>
      <c r="B472" s="79"/>
      <c r="C472" s="27"/>
      <c r="D472" s="74"/>
      <c r="E472" s="79"/>
      <c r="F472" s="79"/>
      <c r="G472" s="28"/>
      <c r="H472" s="74"/>
      <c r="I472" s="74"/>
      <c r="J472" s="80"/>
      <c r="K472" s="74"/>
    </row>
    <row r="473" spans="1:11" ht="30" customHeight="1" x14ac:dyDescent="0.25">
      <c r="A473" s="78"/>
      <c r="B473" s="79"/>
      <c r="C473" s="27"/>
      <c r="D473" s="74"/>
      <c r="E473" s="79"/>
      <c r="F473" s="79"/>
      <c r="G473" s="28"/>
      <c r="H473" s="74"/>
      <c r="I473" s="74"/>
      <c r="J473" s="80"/>
      <c r="K473" s="74"/>
    </row>
    <row r="474" spans="1:11" ht="30" customHeight="1" x14ac:dyDescent="0.25">
      <c r="A474" s="78"/>
      <c r="B474" s="79"/>
      <c r="C474" s="27"/>
      <c r="D474" s="74"/>
      <c r="E474" s="79"/>
      <c r="F474" s="79"/>
      <c r="G474" s="28"/>
      <c r="H474" s="74"/>
      <c r="I474" s="74"/>
      <c r="J474" s="80"/>
      <c r="K474" s="74"/>
    </row>
    <row r="475" spans="1:11" ht="30" customHeight="1" x14ac:dyDescent="0.25">
      <c r="A475" s="78"/>
      <c r="B475" s="79"/>
      <c r="C475" s="27"/>
      <c r="D475" s="74"/>
      <c r="E475" s="79"/>
      <c r="F475" s="79"/>
      <c r="G475" s="28"/>
      <c r="H475" s="74"/>
      <c r="I475" s="74"/>
      <c r="J475" s="80"/>
      <c r="K475" s="74"/>
    </row>
    <row r="476" spans="1:11" ht="30" customHeight="1" x14ac:dyDescent="0.25">
      <c r="A476" s="78"/>
      <c r="B476" s="79"/>
      <c r="C476" s="27"/>
      <c r="D476" s="74"/>
      <c r="E476" s="79"/>
      <c r="F476" s="79"/>
      <c r="G476" s="28"/>
      <c r="H476" s="74"/>
      <c r="I476" s="74"/>
      <c r="J476" s="80"/>
      <c r="K476" s="74"/>
    </row>
    <row r="477" spans="1:11" ht="30" customHeight="1" x14ac:dyDescent="0.25">
      <c r="A477" s="78"/>
      <c r="B477" s="79"/>
      <c r="C477" s="27"/>
      <c r="D477" s="74"/>
      <c r="E477" s="79"/>
      <c r="F477" s="79"/>
      <c r="G477" s="28"/>
      <c r="H477" s="74"/>
      <c r="I477" s="74"/>
      <c r="J477" s="80"/>
      <c r="K477" s="74"/>
    </row>
    <row r="478" spans="1:11" ht="30" customHeight="1" x14ac:dyDescent="0.25">
      <c r="A478" s="78"/>
      <c r="B478" s="79"/>
      <c r="C478" s="27"/>
      <c r="D478" s="74"/>
      <c r="E478" s="79"/>
      <c r="F478" s="79"/>
      <c r="G478" s="28"/>
      <c r="H478" s="74"/>
      <c r="I478" s="74"/>
      <c r="J478" s="80"/>
      <c r="K478" s="74"/>
    </row>
    <row r="479" spans="1:11" ht="30" customHeight="1" x14ac:dyDescent="0.25">
      <c r="A479" s="78"/>
      <c r="B479" s="79"/>
      <c r="C479" s="27"/>
      <c r="D479" s="74"/>
      <c r="E479" s="79"/>
      <c r="F479" s="79"/>
      <c r="G479" s="28"/>
      <c r="H479" s="74"/>
      <c r="I479" s="74"/>
      <c r="J479" s="80"/>
      <c r="K479" s="74"/>
    </row>
    <row r="480" spans="1:11" ht="30" customHeight="1" x14ac:dyDescent="0.25">
      <c r="A480" s="78"/>
      <c r="B480" s="79"/>
      <c r="C480" s="27"/>
      <c r="D480" s="74"/>
      <c r="E480" s="79"/>
      <c r="F480" s="79"/>
      <c r="G480" s="28"/>
      <c r="H480" s="74"/>
      <c r="I480" s="74"/>
      <c r="J480" s="80"/>
      <c r="K480" s="74"/>
    </row>
    <row r="481" spans="1:11" ht="30" customHeight="1" x14ac:dyDescent="0.25">
      <c r="A481" s="78"/>
      <c r="B481" s="79"/>
      <c r="C481" s="27"/>
      <c r="D481" s="74"/>
      <c r="E481" s="79"/>
      <c r="F481" s="79"/>
      <c r="G481" s="28"/>
      <c r="H481" s="74"/>
      <c r="I481" s="74"/>
      <c r="J481" s="80"/>
      <c r="K481" s="74"/>
    </row>
    <row r="482" spans="1:11" ht="30" customHeight="1" x14ac:dyDescent="0.25">
      <c r="A482" s="78"/>
      <c r="B482" s="79"/>
      <c r="C482" s="27"/>
      <c r="D482" s="74"/>
      <c r="E482" s="79"/>
      <c r="F482" s="79"/>
      <c r="G482" s="28"/>
      <c r="H482" s="74"/>
      <c r="I482" s="74"/>
      <c r="J482" s="80"/>
      <c r="K482" s="74"/>
    </row>
    <row r="483" spans="1:11" ht="30" customHeight="1" x14ac:dyDescent="0.25">
      <c r="A483" s="78"/>
      <c r="B483" s="79"/>
      <c r="C483" s="27"/>
      <c r="D483" s="74"/>
      <c r="E483" s="79"/>
      <c r="F483" s="79"/>
      <c r="G483" s="28"/>
      <c r="H483" s="74"/>
      <c r="I483" s="74"/>
      <c r="J483" s="80"/>
      <c r="K483" s="74"/>
    </row>
    <row r="484" spans="1:11" ht="30" customHeight="1" x14ac:dyDescent="0.25">
      <c r="A484" s="78"/>
      <c r="B484" s="79"/>
      <c r="C484" s="27"/>
      <c r="D484" s="74"/>
      <c r="E484" s="79"/>
      <c r="F484" s="79"/>
      <c r="G484" s="28"/>
      <c r="H484" s="74"/>
      <c r="I484" s="74"/>
      <c r="J484" s="80"/>
      <c r="K484" s="74"/>
    </row>
    <row r="485" spans="1:11" ht="30" customHeight="1" x14ac:dyDescent="0.25">
      <c r="A485" s="78"/>
      <c r="B485" s="79"/>
      <c r="C485" s="27"/>
      <c r="D485" s="74"/>
      <c r="E485" s="79"/>
      <c r="F485" s="79"/>
      <c r="G485" s="28"/>
      <c r="H485" s="74"/>
      <c r="I485" s="74"/>
      <c r="J485" s="80"/>
      <c r="K485" s="74"/>
    </row>
    <row r="486" spans="1:11" ht="30" customHeight="1" x14ac:dyDescent="0.25">
      <c r="A486" s="78"/>
      <c r="B486" s="79"/>
      <c r="C486" s="27"/>
      <c r="D486" s="74"/>
      <c r="E486" s="79"/>
      <c r="F486" s="79"/>
      <c r="G486" s="28"/>
      <c r="H486" s="74"/>
      <c r="I486" s="74"/>
      <c r="J486" s="80"/>
      <c r="K486" s="74"/>
    </row>
    <row r="487" spans="1:11" ht="30" customHeight="1" x14ac:dyDescent="0.25">
      <c r="A487" s="78"/>
      <c r="B487" s="79"/>
      <c r="C487" s="27"/>
      <c r="D487" s="74"/>
      <c r="E487" s="79"/>
      <c r="F487" s="79"/>
      <c r="G487" s="28"/>
      <c r="H487" s="74"/>
      <c r="I487" s="74"/>
      <c r="J487" s="80"/>
      <c r="K487" s="74"/>
    </row>
    <row r="488" spans="1:11" ht="30" customHeight="1" x14ac:dyDescent="0.25">
      <c r="A488" s="78"/>
      <c r="B488" s="79"/>
      <c r="C488" s="27"/>
      <c r="D488" s="74"/>
      <c r="E488" s="79"/>
      <c r="F488" s="79"/>
      <c r="G488" s="28"/>
      <c r="H488" s="74"/>
      <c r="I488" s="74"/>
      <c r="J488" s="80"/>
      <c r="K488" s="74"/>
    </row>
    <row r="489" spans="1:11" ht="30" customHeight="1" x14ac:dyDescent="0.25">
      <c r="A489" s="78"/>
      <c r="B489" s="79"/>
      <c r="C489" s="27"/>
      <c r="D489" s="74"/>
      <c r="E489" s="79"/>
      <c r="F489" s="79"/>
      <c r="G489" s="28"/>
      <c r="H489" s="74"/>
      <c r="I489" s="74"/>
      <c r="J489" s="80"/>
      <c r="K489" s="74"/>
    </row>
    <row r="490" spans="1:11" ht="30" customHeight="1" x14ac:dyDescent="0.25">
      <c r="A490" s="78"/>
      <c r="B490" s="79"/>
      <c r="C490" s="27"/>
      <c r="D490" s="74"/>
      <c r="E490" s="79"/>
      <c r="F490" s="79"/>
      <c r="G490" s="28"/>
      <c r="H490" s="74"/>
      <c r="I490" s="74"/>
      <c r="J490" s="80"/>
      <c r="K490" s="74"/>
    </row>
    <row r="491" spans="1:11" ht="30" customHeight="1" x14ac:dyDescent="0.25">
      <c r="A491" s="78"/>
      <c r="B491" s="79"/>
      <c r="C491" s="27"/>
      <c r="D491" s="74"/>
      <c r="E491" s="79"/>
      <c r="F491" s="79"/>
      <c r="G491" s="28"/>
      <c r="H491" s="74"/>
      <c r="I491" s="74"/>
      <c r="J491" s="80"/>
      <c r="K491" s="74"/>
    </row>
    <row r="492" spans="1:11" ht="30" customHeight="1" x14ac:dyDescent="0.25">
      <c r="A492" s="78"/>
      <c r="B492" s="79"/>
      <c r="C492" s="27"/>
      <c r="D492" s="74"/>
      <c r="E492" s="79"/>
      <c r="F492" s="79"/>
      <c r="G492" s="28"/>
      <c r="H492" s="74"/>
      <c r="I492" s="74"/>
      <c r="J492" s="80"/>
      <c r="K492" s="74"/>
    </row>
    <row r="493" spans="1:11" ht="30" customHeight="1" x14ac:dyDescent="0.25">
      <c r="A493" s="78"/>
      <c r="B493" s="79"/>
      <c r="C493" s="27"/>
      <c r="D493" s="74"/>
      <c r="E493" s="79"/>
      <c r="F493" s="79"/>
      <c r="G493" s="28"/>
      <c r="H493" s="74"/>
      <c r="I493" s="74"/>
      <c r="J493" s="80"/>
      <c r="K493" s="74"/>
    </row>
    <row r="494" spans="1:11" ht="30" customHeight="1" x14ac:dyDescent="0.25">
      <c r="A494" s="78"/>
      <c r="B494" s="79"/>
      <c r="C494" s="27"/>
      <c r="D494" s="74"/>
      <c r="E494" s="79"/>
      <c r="F494" s="79"/>
      <c r="G494" s="28"/>
      <c r="H494" s="74"/>
      <c r="I494" s="74"/>
      <c r="J494" s="80"/>
      <c r="K494" s="74"/>
    </row>
    <row r="495" spans="1:11" ht="30" customHeight="1" x14ac:dyDescent="0.25">
      <c r="A495" s="78"/>
      <c r="B495" s="79"/>
      <c r="C495" s="27"/>
      <c r="D495" s="74"/>
      <c r="E495" s="79"/>
      <c r="F495" s="79"/>
      <c r="G495" s="28"/>
      <c r="H495" s="74"/>
      <c r="I495" s="74"/>
      <c r="J495" s="80"/>
      <c r="K495" s="74"/>
    </row>
    <row r="496" spans="1:11" ht="30" customHeight="1" x14ac:dyDescent="0.25">
      <c r="A496" s="78"/>
      <c r="B496" s="79"/>
      <c r="C496" s="27"/>
      <c r="D496" s="74"/>
      <c r="E496" s="79"/>
      <c r="F496" s="79"/>
      <c r="G496" s="28"/>
      <c r="H496" s="74"/>
      <c r="I496" s="74"/>
      <c r="J496" s="80"/>
      <c r="K496" s="74"/>
    </row>
    <row r="497" spans="1:11" ht="30" customHeight="1" x14ac:dyDescent="0.25">
      <c r="A497" s="78"/>
      <c r="B497" s="79"/>
      <c r="C497" s="27"/>
      <c r="D497" s="74"/>
      <c r="E497" s="79"/>
      <c r="F497" s="79"/>
      <c r="G497" s="28"/>
      <c r="H497" s="74"/>
      <c r="I497" s="74"/>
      <c r="J497" s="80"/>
      <c r="K497" s="74"/>
    </row>
    <row r="498" spans="1:11" ht="30" customHeight="1" x14ac:dyDescent="0.25">
      <c r="A498" s="78"/>
      <c r="B498" s="79"/>
      <c r="C498" s="27"/>
      <c r="D498" s="74"/>
      <c r="E498" s="79"/>
      <c r="F498" s="79"/>
      <c r="G498" s="28"/>
      <c r="H498" s="74"/>
      <c r="I498" s="74"/>
      <c r="J498" s="80"/>
      <c r="K498" s="74"/>
    </row>
    <row r="499" spans="1:11" ht="30" customHeight="1" x14ac:dyDescent="0.25">
      <c r="A499" s="78"/>
      <c r="B499" s="79"/>
      <c r="C499" s="27"/>
      <c r="D499" s="74"/>
      <c r="E499" s="79"/>
      <c r="F499" s="79"/>
      <c r="G499" s="28"/>
      <c r="H499" s="74"/>
      <c r="I499" s="74"/>
      <c r="J499" s="80"/>
      <c r="K499" s="74"/>
    </row>
    <row r="500" spans="1:11" ht="30" customHeight="1" x14ac:dyDescent="0.25">
      <c r="A500" s="78"/>
      <c r="B500" s="79"/>
      <c r="C500" s="27"/>
      <c r="D500" s="74"/>
      <c r="E500" s="79"/>
      <c r="F500" s="79"/>
      <c r="G500" s="28"/>
      <c r="H500" s="74"/>
      <c r="I500" s="74"/>
      <c r="J500" s="80"/>
      <c r="K500" s="74"/>
    </row>
    <row r="501" spans="1:11" ht="30" customHeight="1" x14ac:dyDescent="0.25">
      <c r="A501" s="78"/>
      <c r="B501" s="79"/>
      <c r="C501" s="27"/>
      <c r="D501" s="74"/>
      <c r="E501" s="79"/>
      <c r="F501" s="79"/>
      <c r="G501" s="28"/>
      <c r="H501" s="74"/>
      <c r="I501" s="74"/>
      <c r="J501" s="80"/>
      <c r="K501" s="74"/>
    </row>
    <row r="502" spans="1:11" ht="30" customHeight="1" x14ac:dyDescent="0.25">
      <c r="A502" s="78"/>
      <c r="B502" s="79"/>
      <c r="C502" s="27"/>
      <c r="D502" s="74"/>
      <c r="E502" s="79"/>
      <c r="F502" s="79"/>
      <c r="G502" s="28"/>
      <c r="H502" s="74"/>
      <c r="I502" s="74"/>
      <c r="J502" s="80"/>
      <c r="K502" s="74"/>
    </row>
    <row r="503" spans="1:11" ht="30" customHeight="1" x14ac:dyDescent="0.25">
      <c r="A503" s="78"/>
      <c r="B503" s="79"/>
      <c r="C503" s="27"/>
      <c r="D503" s="74"/>
      <c r="E503" s="79"/>
      <c r="F503" s="79"/>
      <c r="G503" s="28"/>
      <c r="H503" s="74"/>
      <c r="I503" s="74"/>
      <c r="J503" s="80"/>
      <c r="K503" s="74"/>
    </row>
    <row r="504" spans="1:11" ht="30" customHeight="1" x14ac:dyDescent="0.25">
      <c r="A504" s="78"/>
      <c r="B504" s="79"/>
      <c r="C504" s="27"/>
      <c r="D504" s="74"/>
      <c r="E504" s="79"/>
      <c r="F504" s="79"/>
      <c r="G504" s="28"/>
      <c r="H504" s="74"/>
      <c r="I504" s="74"/>
      <c r="J504" s="80"/>
      <c r="K504" s="74"/>
    </row>
    <row r="505" spans="1:11" ht="30" customHeight="1" x14ac:dyDescent="0.25">
      <c r="A505" s="78"/>
      <c r="B505" s="79"/>
      <c r="C505" s="27"/>
      <c r="D505" s="74"/>
      <c r="E505" s="79"/>
      <c r="F505" s="79"/>
      <c r="G505" s="28"/>
      <c r="H505" s="74"/>
      <c r="I505" s="74"/>
      <c r="J505" s="80"/>
      <c r="K505" s="74"/>
    </row>
    <row r="506" spans="1:11" ht="30" customHeight="1" x14ac:dyDescent="0.25">
      <c r="A506" s="78"/>
      <c r="B506" s="79"/>
      <c r="C506" s="27"/>
      <c r="D506" s="74"/>
      <c r="E506" s="79"/>
      <c r="F506" s="79"/>
      <c r="G506" s="28"/>
      <c r="H506" s="74"/>
      <c r="I506" s="74"/>
      <c r="J506" s="80"/>
      <c r="K506" s="74"/>
    </row>
    <row r="507" spans="1:11" ht="30" customHeight="1" x14ac:dyDescent="0.25">
      <c r="A507" s="78"/>
      <c r="B507" s="79"/>
      <c r="C507" s="27"/>
      <c r="D507" s="74"/>
      <c r="E507" s="79"/>
      <c r="F507" s="79"/>
      <c r="G507" s="28"/>
      <c r="H507" s="74"/>
      <c r="I507" s="74"/>
      <c r="J507" s="80"/>
      <c r="K507" s="74"/>
    </row>
    <row r="508" spans="1:11" ht="30" customHeight="1" x14ac:dyDescent="0.25">
      <c r="A508" s="78"/>
      <c r="B508" s="79"/>
      <c r="C508" s="27"/>
      <c r="D508" s="74"/>
      <c r="E508" s="79"/>
      <c r="F508" s="79"/>
      <c r="G508" s="28"/>
      <c r="H508" s="74"/>
      <c r="I508" s="74"/>
      <c r="J508" s="80"/>
      <c r="K508" s="74"/>
    </row>
    <row r="509" spans="1:11" ht="30" customHeight="1" x14ac:dyDescent="0.25">
      <c r="A509" s="78"/>
      <c r="B509" s="79"/>
      <c r="C509" s="27"/>
      <c r="D509" s="74"/>
      <c r="E509" s="79"/>
      <c r="F509" s="79"/>
      <c r="G509" s="28"/>
      <c r="H509" s="74"/>
      <c r="I509" s="74"/>
      <c r="J509" s="80"/>
      <c r="K509" s="74"/>
    </row>
    <row r="510" spans="1:11" ht="30" customHeight="1" x14ac:dyDescent="0.25">
      <c r="A510" s="78"/>
      <c r="B510" s="79"/>
      <c r="C510" s="27"/>
      <c r="D510" s="74"/>
      <c r="E510" s="79"/>
      <c r="F510" s="79"/>
      <c r="G510" s="28"/>
      <c r="H510" s="74"/>
      <c r="I510" s="74"/>
      <c r="J510" s="80"/>
      <c r="K510" s="74"/>
    </row>
    <row r="511" spans="1:11" ht="30" customHeight="1" x14ac:dyDescent="0.25">
      <c r="A511" s="78"/>
      <c r="B511" s="79"/>
      <c r="C511" s="27"/>
      <c r="D511" s="74"/>
      <c r="E511" s="79"/>
      <c r="F511" s="79"/>
      <c r="G511" s="28"/>
      <c r="H511" s="74"/>
      <c r="I511" s="74"/>
      <c r="J511" s="80"/>
      <c r="K511" s="74"/>
    </row>
    <row r="512" spans="1:11" ht="30" customHeight="1" x14ac:dyDescent="0.25">
      <c r="A512" s="78"/>
      <c r="B512" s="79"/>
      <c r="C512" s="27"/>
      <c r="D512" s="74"/>
      <c r="E512" s="79"/>
      <c r="F512" s="79"/>
      <c r="G512" s="28"/>
      <c r="H512" s="74"/>
      <c r="I512" s="74"/>
      <c r="J512" s="80"/>
      <c r="K512" s="74"/>
    </row>
    <row r="513" spans="1:11" ht="30" customHeight="1" x14ac:dyDescent="0.25">
      <c r="A513" s="78"/>
      <c r="B513" s="79"/>
      <c r="C513" s="27"/>
      <c r="D513" s="74"/>
      <c r="E513" s="79"/>
      <c r="F513" s="79"/>
      <c r="G513" s="28"/>
      <c r="H513" s="74"/>
      <c r="I513" s="74"/>
      <c r="J513" s="80"/>
      <c r="K513" s="74"/>
    </row>
    <row r="514" spans="1:11" ht="30" customHeight="1" x14ac:dyDescent="0.25">
      <c r="A514" s="78"/>
      <c r="B514" s="79"/>
      <c r="C514" s="27"/>
      <c r="D514" s="74"/>
      <c r="E514" s="79"/>
      <c r="F514" s="79"/>
      <c r="G514" s="28"/>
      <c r="H514" s="74"/>
      <c r="I514" s="74"/>
      <c r="J514" s="80"/>
      <c r="K514" s="74"/>
    </row>
    <row r="515" spans="1:11" ht="30" customHeight="1" x14ac:dyDescent="0.25">
      <c r="A515" s="78"/>
      <c r="B515" s="79"/>
      <c r="C515" s="27"/>
      <c r="D515" s="74"/>
      <c r="E515" s="79"/>
      <c r="F515" s="79"/>
      <c r="G515" s="28"/>
      <c r="H515" s="74"/>
      <c r="I515" s="74"/>
      <c r="J515" s="80"/>
      <c r="K515" s="74"/>
    </row>
    <row r="516" spans="1:11" ht="30" customHeight="1" x14ac:dyDescent="0.25">
      <c r="A516" s="78"/>
      <c r="B516" s="79"/>
      <c r="C516" s="27"/>
      <c r="D516" s="74"/>
      <c r="E516" s="79"/>
      <c r="F516" s="79"/>
      <c r="G516" s="28"/>
      <c r="H516" s="74"/>
      <c r="I516" s="74"/>
      <c r="J516" s="80"/>
      <c r="K516" s="74"/>
    </row>
    <row r="517" spans="1:11" ht="30" customHeight="1" x14ac:dyDescent="0.25">
      <c r="A517" s="78"/>
      <c r="B517" s="79"/>
      <c r="C517" s="27"/>
      <c r="D517" s="74"/>
      <c r="E517" s="79"/>
      <c r="F517" s="79"/>
      <c r="G517" s="28"/>
      <c r="H517" s="74"/>
      <c r="I517" s="74"/>
      <c r="J517" s="80"/>
      <c r="K517" s="74"/>
    </row>
    <row r="518" spans="1:11" ht="30" customHeight="1" x14ac:dyDescent="0.25">
      <c r="A518" s="78"/>
      <c r="B518" s="79"/>
      <c r="C518" s="27"/>
      <c r="D518" s="74"/>
      <c r="E518" s="79"/>
      <c r="F518" s="79"/>
      <c r="G518" s="28"/>
      <c r="H518" s="74"/>
      <c r="I518" s="74"/>
      <c r="J518" s="80"/>
      <c r="K518" s="74"/>
    </row>
    <row r="519" spans="1:11" ht="30" customHeight="1" x14ac:dyDescent="0.25">
      <c r="A519" s="78"/>
      <c r="B519" s="79"/>
      <c r="C519" s="27"/>
      <c r="D519" s="74"/>
      <c r="E519" s="79"/>
      <c r="F519" s="79"/>
      <c r="G519" s="28"/>
      <c r="H519" s="74"/>
      <c r="I519" s="74"/>
      <c r="J519" s="80"/>
      <c r="K519" s="74"/>
    </row>
    <row r="520" spans="1:11" ht="30" customHeight="1" x14ac:dyDescent="0.25">
      <c r="A520" s="78"/>
      <c r="B520" s="79"/>
      <c r="C520" s="27"/>
      <c r="D520" s="74"/>
      <c r="E520" s="79"/>
      <c r="F520" s="79"/>
      <c r="G520" s="28"/>
      <c r="H520" s="74"/>
      <c r="I520" s="74"/>
      <c r="J520" s="80"/>
      <c r="K520" s="74"/>
    </row>
    <row r="521" spans="1:11" ht="30" customHeight="1" x14ac:dyDescent="0.25">
      <c r="A521" s="78"/>
      <c r="B521" s="79"/>
      <c r="C521" s="27"/>
      <c r="D521" s="74"/>
      <c r="E521" s="79"/>
      <c r="F521" s="79"/>
      <c r="G521" s="28"/>
      <c r="H521" s="74"/>
      <c r="I521" s="74"/>
      <c r="J521" s="80"/>
      <c r="K521" s="74"/>
    </row>
    <row r="522" spans="1:11" ht="30" customHeight="1" x14ac:dyDescent="0.25">
      <c r="A522" s="78"/>
      <c r="B522" s="79"/>
      <c r="C522" s="27"/>
      <c r="D522" s="74"/>
      <c r="E522" s="79"/>
      <c r="F522" s="79"/>
      <c r="G522" s="28"/>
      <c r="H522" s="74"/>
      <c r="I522" s="74"/>
      <c r="J522" s="80"/>
      <c r="K522" s="74"/>
    </row>
    <row r="523" spans="1:11" ht="30" customHeight="1" x14ac:dyDescent="0.25">
      <c r="A523" s="78"/>
      <c r="B523" s="79"/>
      <c r="C523" s="27"/>
      <c r="D523" s="74"/>
      <c r="E523" s="79"/>
      <c r="F523" s="79"/>
      <c r="G523" s="28"/>
      <c r="H523" s="74"/>
      <c r="I523" s="74"/>
      <c r="J523" s="80"/>
      <c r="K523" s="74"/>
    </row>
    <row r="524" spans="1:11" ht="30" customHeight="1" x14ac:dyDescent="0.25">
      <c r="A524" s="78"/>
      <c r="B524" s="79"/>
      <c r="C524" s="27"/>
      <c r="D524" s="74"/>
      <c r="E524" s="79"/>
      <c r="F524" s="79"/>
      <c r="G524" s="28"/>
      <c r="H524" s="74"/>
      <c r="I524" s="74"/>
      <c r="J524" s="80"/>
      <c r="K524" s="74"/>
    </row>
    <row r="525" spans="1:11" ht="30" customHeight="1" x14ac:dyDescent="0.25">
      <c r="A525" s="78"/>
      <c r="B525" s="79"/>
      <c r="C525" s="27"/>
      <c r="D525" s="74"/>
      <c r="E525" s="79"/>
      <c r="F525" s="79"/>
      <c r="G525" s="28"/>
      <c r="H525" s="74"/>
      <c r="I525" s="74"/>
      <c r="J525" s="80"/>
      <c r="K525" s="74"/>
    </row>
    <row r="526" spans="1:11" ht="30" customHeight="1" x14ac:dyDescent="0.25">
      <c r="A526" s="78"/>
      <c r="B526" s="79"/>
      <c r="C526" s="27"/>
      <c r="D526" s="74"/>
      <c r="E526" s="79"/>
      <c r="F526" s="79"/>
      <c r="G526" s="28"/>
      <c r="H526" s="74"/>
      <c r="I526" s="74"/>
      <c r="J526" s="80"/>
      <c r="K526" s="74"/>
    </row>
    <row r="527" spans="1:11" ht="30" customHeight="1" x14ac:dyDescent="0.25">
      <c r="A527" s="78"/>
      <c r="B527" s="79"/>
      <c r="C527" s="27"/>
      <c r="D527" s="74"/>
      <c r="E527" s="79"/>
      <c r="F527" s="79"/>
      <c r="G527" s="28"/>
      <c r="H527" s="74"/>
      <c r="I527" s="74"/>
      <c r="J527" s="80"/>
      <c r="K527" s="74"/>
    </row>
    <row r="528" spans="1:11" ht="30" customHeight="1" x14ac:dyDescent="0.25">
      <c r="A528" s="78"/>
      <c r="B528" s="79"/>
      <c r="C528" s="27"/>
      <c r="D528" s="74"/>
      <c r="E528" s="79"/>
      <c r="F528" s="79"/>
      <c r="G528" s="28"/>
      <c r="H528" s="74"/>
      <c r="I528" s="74"/>
      <c r="J528" s="80"/>
      <c r="K528" s="74"/>
    </row>
    <row r="529" spans="1:11" ht="30" customHeight="1" x14ac:dyDescent="0.25">
      <c r="A529" s="78"/>
      <c r="B529" s="79"/>
      <c r="C529" s="27"/>
      <c r="D529" s="74"/>
      <c r="E529" s="79"/>
      <c r="F529" s="79"/>
      <c r="G529" s="28"/>
      <c r="H529" s="74"/>
      <c r="I529" s="74"/>
      <c r="J529" s="80"/>
      <c r="K529" s="74"/>
    </row>
    <row r="530" spans="1:11" ht="30" customHeight="1" x14ac:dyDescent="0.25">
      <c r="A530" s="78"/>
      <c r="B530" s="79"/>
      <c r="C530" s="27"/>
      <c r="D530" s="74"/>
      <c r="E530" s="79"/>
      <c r="F530" s="79"/>
      <c r="G530" s="28"/>
      <c r="H530" s="74"/>
      <c r="I530" s="74"/>
      <c r="J530" s="80"/>
      <c r="K530" s="74"/>
    </row>
    <row r="531" spans="1:11" ht="30" customHeight="1" x14ac:dyDescent="0.25">
      <c r="A531" s="78"/>
      <c r="B531" s="79"/>
      <c r="C531" s="27"/>
      <c r="D531" s="74"/>
      <c r="E531" s="79"/>
      <c r="F531" s="79"/>
      <c r="G531" s="28"/>
      <c r="H531" s="74"/>
      <c r="I531" s="74"/>
      <c r="J531" s="80"/>
      <c r="K531" s="74"/>
    </row>
    <row r="532" spans="1:11" ht="30" customHeight="1" x14ac:dyDescent="0.25">
      <c r="A532" s="78"/>
      <c r="B532" s="79"/>
      <c r="C532" s="27"/>
      <c r="D532" s="74"/>
      <c r="E532" s="79"/>
      <c r="F532" s="79"/>
      <c r="G532" s="28"/>
      <c r="H532" s="74"/>
      <c r="I532" s="74"/>
      <c r="J532" s="80"/>
      <c r="K532" s="74"/>
    </row>
    <row r="533" spans="1:11" ht="30" customHeight="1" x14ac:dyDescent="0.25">
      <c r="A533" s="78"/>
      <c r="B533" s="79"/>
      <c r="C533" s="27"/>
      <c r="D533" s="74"/>
      <c r="E533" s="79"/>
      <c r="F533" s="79"/>
      <c r="G533" s="28"/>
      <c r="H533" s="74"/>
      <c r="I533" s="74"/>
      <c r="J533" s="80"/>
      <c r="K533" s="74"/>
    </row>
    <row r="534" spans="1:11" ht="30" customHeight="1" x14ac:dyDescent="0.25">
      <c r="A534" s="78"/>
      <c r="B534" s="79"/>
      <c r="C534" s="27"/>
      <c r="D534" s="74"/>
      <c r="E534" s="79"/>
      <c r="F534" s="79"/>
      <c r="G534" s="28"/>
      <c r="H534" s="74"/>
      <c r="I534" s="74"/>
      <c r="J534" s="80"/>
      <c r="K534" s="74"/>
    </row>
    <row r="535" spans="1:11" ht="30" customHeight="1" x14ac:dyDescent="0.25">
      <c r="A535" s="78"/>
      <c r="B535" s="79"/>
      <c r="C535" s="27"/>
      <c r="D535" s="74"/>
      <c r="E535" s="79"/>
      <c r="F535" s="79"/>
      <c r="G535" s="28"/>
      <c r="H535" s="74"/>
      <c r="I535" s="74"/>
      <c r="J535" s="80"/>
      <c r="K535" s="74"/>
    </row>
    <row r="536" spans="1:11" ht="30" customHeight="1" x14ac:dyDescent="0.25">
      <c r="A536" s="78"/>
      <c r="B536" s="79"/>
      <c r="C536" s="27"/>
      <c r="D536" s="74"/>
      <c r="E536" s="79"/>
      <c r="F536" s="79"/>
      <c r="G536" s="28"/>
      <c r="H536" s="74"/>
      <c r="I536" s="74"/>
      <c r="J536" s="80"/>
      <c r="K536" s="74"/>
    </row>
    <row r="537" spans="1:11" ht="30" customHeight="1" x14ac:dyDescent="0.25">
      <c r="A537" s="78"/>
      <c r="B537" s="79"/>
      <c r="C537" s="27"/>
      <c r="D537" s="74"/>
      <c r="E537" s="79"/>
      <c r="F537" s="79"/>
      <c r="G537" s="28"/>
      <c r="H537" s="74"/>
      <c r="I537" s="74"/>
      <c r="J537" s="80"/>
      <c r="K537" s="74"/>
    </row>
    <row r="538" spans="1:11" ht="30" customHeight="1" x14ac:dyDescent="0.25">
      <c r="A538" s="78"/>
      <c r="B538" s="79"/>
      <c r="C538" s="27"/>
      <c r="D538" s="74"/>
      <c r="E538" s="79"/>
      <c r="F538" s="79"/>
      <c r="G538" s="28"/>
      <c r="H538" s="74"/>
      <c r="I538" s="74"/>
      <c r="J538" s="80"/>
      <c r="K538" s="74"/>
    </row>
    <row r="539" spans="1:11" ht="30" customHeight="1" x14ac:dyDescent="0.25">
      <c r="A539" s="78"/>
      <c r="B539" s="79"/>
      <c r="C539" s="27"/>
      <c r="D539" s="74"/>
      <c r="E539" s="79"/>
      <c r="F539" s="79"/>
      <c r="G539" s="28"/>
      <c r="H539" s="74"/>
      <c r="I539" s="74"/>
      <c r="J539" s="80"/>
      <c r="K539" s="74"/>
    </row>
    <row r="540" spans="1:11" ht="30" customHeight="1" x14ac:dyDescent="0.25">
      <c r="A540" s="78"/>
      <c r="B540" s="79"/>
      <c r="C540" s="27"/>
      <c r="D540" s="74"/>
      <c r="E540" s="79"/>
      <c r="F540" s="79"/>
      <c r="G540" s="28"/>
      <c r="H540" s="74"/>
      <c r="I540" s="74"/>
      <c r="J540" s="80"/>
      <c r="K540" s="74"/>
    </row>
    <row r="541" spans="1:11" ht="30" customHeight="1" x14ac:dyDescent="0.25">
      <c r="A541" s="78"/>
      <c r="B541" s="79"/>
      <c r="C541" s="27"/>
      <c r="D541" s="74"/>
      <c r="E541" s="79"/>
      <c r="F541" s="79"/>
      <c r="G541" s="28"/>
      <c r="H541" s="74"/>
      <c r="I541" s="74"/>
      <c r="J541" s="80"/>
      <c r="K541" s="74"/>
    </row>
    <row r="542" spans="1:11" ht="30" customHeight="1" x14ac:dyDescent="0.25">
      <c r="A542" s="78"/>
      <c r="B542" s="79"/>
      <c r="C542" s="27"/>
      <c r="D542" s="74"/>
      <c r="E542" s="79"/>
      <c r="F542" s="79"/>
      <c r="G542" s="28"/>
      <c r="H542" s="74"/>
      <c r="I542" s="74"/>
      <c r="J542" s="80"/>
      <c r="K542" s="74"/>
    </row>
    <row r="543" spans="1:11" ht="30" customHeight="1" x14ac:dyDescent="0.25">
      <c r="A543" s="78"/>
      <c r="B543" s="79"/>
      <c r="C543" s="27"/>
      <c r="D543" s="74"/>
      <c r="E543" s="79"/>
      <c r="F543" s="79"/>
      <c r="G543" s="28"/>
      <c r="H543" s="74"/>
      <c r="I543" s="74"/>
      <c r="J543" s="80"/>
      <c r="K543" s="74"/>
    </row>
    <row r="544" spans="1:11" ht="30" customHeight="1" x14ac:dyDescent="0.25">
      <c r="A544" s="78"/>
      <c r="B544" s="79"/>
      <c r="C544" s="27"/>
      <c r="D544" s="74"/>
      <c r="E544" s="79"/>
      <c r="F544" s="79"/>
      <c r="G544" s="28"/>
      <c r="H544" s="74"/>
      <c r="I544" s="74"/>
      <c r="J544" s="80"/>
      <c r="K544" s="74"/>
    </row>
    <row r="545" spans="1:11" ht="30" customHeight="1" x14ac:dyDescent="0.25">
      <c r="A545" s="78"/>
      <c r="B545" s="79"/>
      <c r="C545" s="27"/>
      <c r="D545" s="74"/>
      <c r="E545" s="79"/>
      <c r="F545" s="79"/>
      <c r="G545" s="28"/>
      <c r="H545" s="74"/>
      <c r="I545" s="74"/>
      <c r="J545" s="80"/>
      <c r="K545" s="74"/>
    </row>
    <row r="546" spans="1:11" ht="30" customHeight="1" x14ac:dyDescent="0.25">
      <c r="A546" s="78"/>
      <c r="B546" s="79"/>
      <c r="C546" s="27"/>
      <c r="D546" s="74"/>
      <c r="E546" s="79"/>
      <c r="F546" s="79"/>
      <c r="G546" s="28"/>
      <c r="H546" s="74"/>
      <c r="I546" s="74"/>
      <c r="J546" s="80"/>
      <c r="K546" s="74"/>
    </row>
    <row r="547" spans="1:11" ht="30" customHeight="1" x14ac:dyDescent="0.25">
      <c r="A547" s="78"/>
      <c r="B547" s="79"/>
      <c r="C547" s="27"/>
      <c r="D547" s="74"/>
      <c r="E547" s="79"/>
      <c r="F547" s="79"/>
      <c r="G547" s="28"/>
      <c r="H547" s="74"/>
      <c r="I547" s="74"/>
      <c r="J547" s="80"/>
      <c r="K547" s="74"/>
    </row>
    <row r="548" spans="1:11" ht="30" customHeight="1" x14ac:dyDescent="0.25">
      <c r="A548" s="78"/>
      <c r="B548" s="79"/>
      <c r="C548" s="27"/>
      <c r="D548" s="74"/>
      <c r="E548" s="79"/>
      <c r="F548" s="79"/>
      <c r="G548" s="28"/>
      <c r="H548" s="74"/>
      <c r="I548" s="74"/>
      <c r="J548" s="80"/>
      <c r="K548" s="74"/>
    </row>
    <row r="549" spans="1:11" ht="30" customHeight="1" x14ac:dyDescent="0.25">
      <c r="A549" s="78"/>
      <c r="B549" s="79"/>
      <c r="C549" s="27"/>
      <c r="D549" s="74"/>
      <c r="E549" s="79"/>
      <c r="F549" s="79"/>
      <c r="G549" s="28"/>
      <c r="H549" s="74"/>
      <c r="I549" s="74"/>
      <c r="J549" s="80"/>
      <c r="K549" s="74"/>
    </row>
    <row r="550" spans="1:11" ht="30" customHeight="1" x14ac:dyDescent="0.25">
      <c r="A550" s="78"/>
      <c r="B550" s="79"/>
      <c r="C550" s="27"/>
      <c r="D550" s="74"/>
      <c r="E550" s="79"/>
      <c r="F550" s="79"/>
      <c r="G550" s="28"/>
      <c r="H550" s="74"/>
      <c r="I550" s="74"/>
      <c r="J550" s="80"/>
      <c r="K550" s="74"/>
    </row>
    <row r="551" spans="1:11" ht="30" customHeight="1" x14ac:dyDescent="0.25">
      <c r="A551" s="78"/>
      <c r="B551" s="79"/>
      <c r="C551" s="27"/>
      <c r="D551" s="74"/>
      <c r="E551" s="79"/>
      <c r="F551" s="79"/>
      <c r="G551" s="28"/>
      <c r="H551" s="74"/>
      <c r="I551" s="74"/>
      <c r="J551" s="80"/>
      <c r="K551" s="74"/>
    </row>
    <row r="552" spans="1:11" ht="30" customHeight="1" x14ac:dyDescent="0.25">
      <c r="A552" s="78"/>
      <c r="B552" s="79"/>
      <c r="C552" s="27"/>
      <c r="D552" s="74"/>
      <c r="E552" s="79"/>
      <c r="F552" s="79"/>
      <c r="G552" s="28"/>
      <c r="H552" s="74"/>
      <c r="I552" s="74"/>
      <c r="J552" s="80"/>
      <c r="K552" s="74"/>
    </row>
    <row r="553" spans="1:11" ht="30" customHeight="1" x14ac:dyDescent="0.25">
      <c r="A553" s="78"/>
      <c r="B553" s="79"/>
      <c r="C553" s="27"/>
      <c r="D553" s="74"/>
      <c r="E553" s="79"/>
      <c r="F553" s="79"/>
      <c r="G553" s="28"/>
      <c r="H553" s="74"/>
      <c r="I553" s="74"/>
      <c r="J553" s="80"/>
      <c r="K553" s="74"/>
    </row>
    <row r="554" spans="1:11" ht="30" customHeight="1" x14ac:dyDescent="0.25">
      <c r="A554" s="78"/>
      <c r="B554" s="79"/>
      <c r="C554" s="27"/>
      <c r="D554" s="74"/>
      <c r="E554" s="79"/>
      <c r="F554" s="79"/>
      <c r="G554" s="28"/>
      <c r="H554" s="74"/>
      <c r="I554" s="74"/>
      <c r="J554" s="80"/>
      <c r="K554" s="74"/>
    </row>
    <row r="555" spans="1:11" ht="30" customHeight="1" x14ac:dyDescent="0.25">
      <c r="A555" s="78"/>
      <c r="B555" s="79"/>
      <c r="C555" s="27"/>
      <c r="D555" s="74"/>
      <c r="E555" s="79"/>
      <c r="F555" s="79"/>
      <c r="G555" s="28"/>
      <c r="H555" s="74"/>
      <c r="I555" s="74"/>
      <c r="J555" s="80"/>
      <c r="K555" s="74"/>
    </row>
    <row r="556" spans="1:11" ht="30" customHeight="1" x14ac:dyDescent="0.25">
      <c r="A556" s="78"/>
      <c r="B556" s="79"/>
      <c r="C556" s="27"/>
      <c r="D556" s="74"/>
      <c r="E556" s="79"/>
      <c r="F556" s="79"/>
      <c r="G556" s="28"/>
      <c r="H556" s="74"/>
      <c r="I556" s="74"/>
      <c r="J556" s="80"/>
      <c r="K556" s="74"/>
    </row>
    <row r="557" spans="1:11" ht="30" customHeight="1" x14ac:dyDescent="0.25">
      <c r="A557" s="78"/>
      <c r="B557" s="79"/>
      <c r="C557" s="27"/>
      <c r="D557" s="74"/>
      <c r="E557" s="79"/>
      <c r="F557" s="79"/>
      <c r="G557" s="28"/>
      <c r="H557" s="74"/>
      <c r="I557" s="74"/>
      <c r="J557" s="80"/>
      <c r="K557" s="74"/>
    </row>
    <row r="558" spans="1:11" ht="30" customHeight="1" x14ac:dyDescent="0.25">
      <c r="A558" s="78"/>
      <c r="B558" s="79"/>
      <c r="C558" s="27"/>
      <c r="D558" s="74"/>
      <c r="E558" s="79"/>
      <c r="F558" s="79"/>
      <c r="G558" s="28"/>
      <c r="H558" s="74"/>
      <c r="I558" s="74"/>
      <c r="J558" s="80"/>
      <c r="K558" s="74"/>
    </row>
    <row r="559" spans="1:11" ht="30" customHeight="1" x14ac:dyDescent="0.25">
      <c r="A559" s="78"/>
      <c r="B559" s="79"/>
      <c r="C559" s="27"/>
      <c r="D559" s="74"/>
      <c r="E559" s="79"/>
      <c r="F559" s="79"/>
      <c r="G559" s="28"/>
      <c r="H559" s="74"/>
      <c r="I559" s="74"/>
      <c r="J559" s="80"/>
      <c r="K559" s="74"/>
    </row>
    <row r="560" spans="1:11" ht="30" customHeight="1" x14ac:dyDescent="0.25">
      <c r="A560" s="78"/>
      <c r="B560" s="79"/>
      <c r="C560" s="27"/>
      <c r="D560" s="74"/>
      <c r="E560" s="79"/>
      <c r="F560" s="79"/>
      <c r="G560" s="28"/>
      <c r="H560" s="74"/>
      <c r="I560" s="74"/>
      <c r="J560" s="80"/>
      <c r="K560" s="74"/>
    </row>
    <row r="561" spans="1:11" ht="30" customHeight="1" x14ac:dyDescent="0.25">
      <c r="A561" s="78"/>
      <c r="B561" s="79"/>
      <c r="C561" s="27"/>
      <c r="D561" s="74"/>
      <c r="E561" s="79"/>
      <c r="F561" s="79"/>
      <c r="G561" s="28"/>
      <c r="H561" s="74"/>
      <c r="I561" s="74"/>
      <c r="J561" s="80"/>
      <c r="K561" s="74"/>
    </row>
    <row r="562" spans="1:11" ht="30" customHeight="1" x14ac:dyDescent="0.25">
      <c r="A562" s="78"/>
      <c r="B562" s="79"/>
      <c r="C562" s="27"/>
      <c r="D562" s="74"/>
      <c r="E562" s="79"/>
      <c r="F562" s="79"/>
      <c r="G562" s="28"/>
      <c r="H562" s="74"/>
      <c r="I562" s="74"/>
      <c r="J562" s="80"/>
      <c r="K562" s="74"/>
    </row>
    <row r="563" spans="1:11" ht="30" customHeight="1" x14ac:dyDescent="0.25">
      <c r="A563" s="78"/>
      <c r="B563" s="79"/>
      <c r="C563" s="27"/>
      <c r="D563" s="74"/>
      <c r="E563" s="79"/>
      <c r="F563" s="79"/>
      <c r="G563" s="28"/>
      <c r="H563" s="74"/>
      <c r="I563" s="74"/>
      <c r="J563" s="80"/>
      <c r="K563" s="74"/>
    </row>
    <row r="564" spans="1:11" ht="30" customHeight="1" x14ac:dyDescent="0.25">
      <c r="A564" s="78"/>
      <c r="B564" s="79"/>
      <c r="C564" s="27"/>
      <c r="D564" s="74"/>
      <c r="E564" s="79"/>
      <c r="F564" s="79"/>
      <c r="G564" s="28"/>
      <c r="H564" s="74"/>
      <c r="I564" s="74"/>
      <c r="J564" s="80"/>
      <c r="K564" s="74"/>
    </row>
    <row r="565" spans="1:11" ht="30" customHeight="1" x14ac:dyDescent="0.25">
      <c r="A565" s="78"/>
      <c r="B565" s="79"/>
      <c r="C565" s="27"/>
      <c r="D565" s="74"/>
      <c r="E565" s="79"/>
      <c r="F565" s="79"/>
      <c r="G565" s="28"/>
      <c r="H565" s="74"/>
      <c r="I565" s="74"/>
      <c r="J565" s="80"/>
      <c r="K565" s="74"/>
    </row>
    <row r="566" spans="1:11" ht="30" customHeight="1" x14ac:dyDescent="0.25">
      <c r="A566" s="78"/>
      <c r="B566" s="79"/>
      <c r="C566" s="27"/>
      <c r="D566" s="74"/>
      <c r="E566" s="79"/>
      <c r="F566" s="79"/>
      <c r="G566" s="28"/>
      <c r="H566" s="74"/>
      <c r="I566" s="74"/>
      <c r="J566" s="80"/>
      <c r="K566" s="74"/>
    </row>
    <row r="567" spans="1:11" ht="30" customHeight="1" x14ac:dyDescent="0.25">
      <c r="A567" s="78"/>
      <c r="B567" s="79"/>
      <c r="C567" s="27"/>
      <c r="D567" s="74"/>
      <c r="E567" s="79"/>
      <c r="F567" s="79"/>
      <c r="G567" s="28"/>
      <c r="H567" s="74"/>
      <c r="I567" s="74"/>
      <c r="J567" s="80"/>
      <c r="K567" s="74"/>
    </row>
    <row r="568" spans="1:11" ht="30" customHeight="1" x14ac:dyDescent="0.25">
      <c r="A568" s="78"/>
      <c r="B568" s="79"/>
      <c r="C568" s="27"/>
      <c r="D568" s="74"/>
      <c r="E568" s="79"/>
      <c r="F568" s="79"/>
      <c r="G568" s="28"/>
      <c r="H568" s="74"/>
      <c r="I568" s="74"/>
      <c r="J568" s="80"/>
      <c r="K568" s="74"/>
    </row>
    <row r="569" spans="1:11" ht="30" customHeight="1" x14ac:dyDescent="0.25">
      <c r="A569" s="78"/>
      <c r="B569" s="79"/>
      <c r="C569" s="27"/>
      <c r="D569" s="74"/>
      <c r="E569" s="79"/>
      <c r="F569" s="79"/>
      <c r="G569" s="28"/>
      <c r="H569" s="74"/>
      <c r="I569" s="74"/>
      <c r="J569" s="80"/>
      <c r="K569" s="74"/>
    </row>
    <row r="570" spans="1:11" ht="30" customHeight="1" x14ac:dyDescent="0.25">
      <c r="A570" s="78"/>
      <c r="B570" s="79"/>
      <c r="C570" s="27"/>
      <c r="D570" s="74"/>
      <c r="E570" s="79"/>
      <c r="F570" s="79"/>
      <c r="G570" s="28"/>
      <c r="H570" s="74"/>
      <c r="I570" s="74"/>
      <c r="J570" s="80"/>
      <c r="K570" s="74"/>
    </row>
    <row r="571" spans="1:11" ht="30" customHeight="1" x14ac:dyDescent="0.25">
      <c r="A571" s="78"/>
      <c r="B571" s="79"/>
      <c r="C571" s="27"/>
      <c r="D571" s="74"/>
      <c r="E571" s="79"/>
      <c r="F571" s="79"/>
      <c r="G571" s="28"/>
      <c r="H571" s="74"/>
      <c r="I571" s="74"/>
      <c r="J571" s="80"/>
      <c r="K571" s="74"/>
    </row>
    <row r="572" spans="1:11" ht="30" customHeight="1" x14ac:dyDescent="0.25">
      <c r="A572" s="78"/>
      <c r="B572" s="79"/>
      <c r="C572" s="27"/>
      <c r="D572" s="74"/>
      <c r="E572" s="79"/>
      <c r="F572" s="79"/>
      <c r="G572" s="28"/>
      <c r="H572" s="74"/>
      <c r="I572" s="74"/>
      <c r="J572" s="80"/>
      <c r="K572" s="74"/>
    </row>
    <row r="573" spans="1:11" ht="30" customHeight="1" x14ac:dyDescent="0.25">
      <c r="A573" s="78"/>
      <c r="B573" s="79"/>
      <c r="C573" s="27"/>
      <c r="D573" s="74"/>
      <c r="E573" s="79"/>
      <c r="F573" s="79"/>
      <c r="G573" s="28"/>
      <c r="H573" s="74"/>
      <c r="I573" s="74"/>
      <c r="J573" s="80"/>
      <c r="K573" s="74"/>
    </row>
    <row r="574" spans="1:11" ht="30" customHeight="1" x14ac:dyDescent="0.25">
      <c r="A574" s="78"/>
      <c r="B574" s="79"/>
      <c r="C574" s="27"/>
      <c r="D574" s="74"/>
      <c r="E574" s="79"/>
      <c r="F574" s="79"/>
      <c r="G574" s="28"/>
      <c r="H574" s="74"/>
      <c r="I574" s="74"/>
      <c r="J574" s="80"/>
      <c r="K574" s="74"/>
    </row>
    <row r="575" spans="1:11" ht="30" customHeight="1" x14ac:dyDescent="0.25">
      <c r="A575" s="78"/>
      <c r="B575" s="79"/>
      <c r="C575" s="27"/>
      <c r="D575" s="74"/>
      <c r="E575" s="79"/>
      <c r="F575" s="79"/>
      <c r="G575" s="28"/>
      <c r="H575" s="74"/>
      <c r="I575" s="74"/>
      <c r="J575" s="80"/>
      <c r="K575" s="74"/>
    </row>
    <row r="576" spans="1:11" ht="30" customHeight="1" x14ac:dyDescent="0.25">
      <c r="A576" s="78"/>
      <c r="B576" s="79"/>
      <c r="C576" s="27"/>
      <c r="D576" s="74"/>
      <c r="E576" s="79"/>
      <c r="F576" s="79"/>
      <c r="G576" s="28"/>
      <c r="H576" s="74"/>
      <c r="I576" s="74"/>
      <c r="J576" s="80"/>
      <c r="K576" s="74"/>
    </row>
    <row r="577" spans="1:11" ht="30" customHeight="1" x14ac:dyDescent="0.25">
      <c r="A577" s="78"/>
      <c r="B577" s="79"/>
      <c r="C577" s="27"/>
      <c r="D577" s="74"/>
      <c r="E577" s="79"/>
      <c r="F577" s="79"/>
      <c r="G577" s="28"/>
      <c r="H577" s="74"/>
      <c r="I577" s="74"/>
      <c r="J577" s="80"/>
      <c r="K577" s="74"/>
    </row>
    <row r="578" spans="1:11" ht="30" customHeight="1" x14ac:dyDescent="0.25">
      <c r="A578" s="78"/>
      <c r="B578" s="79"/>
      <c r="C578" s="27"/>
      <c r="D578" s="74"/>
      <c r="E578" s="79"/>
      <c r="F578" s="79"/>
      <c r="G578" s="28"/>
      <c r="H578" s="74"/>
      <c r="I578" s="74"/>
      <c r="J578" s="80"/>
      <c r="K578" s="74"/>
    </row>
    <row r="579" spans="1:11" ht="30" customHeight="1" x14ac:dyDescent="0.25">
      <c r="A579" s="78"/>
      <c r="B579" s="79"/>
      <c r="C579" s="27"/>
      <c r="D579" s="74"/>
      <c r="E579" s="79"/>
      <c r="F579" s="79"/>
      <c r="G579" s="28"/>
      <c r="H579" s="74"/>
      <c r="I579" s="74"/>
      <c r="J579" s="80"/>
      <c r="K579" s="74"/>
    </row>
    <row r="580" spans="1:11" ht="30" customHeight="1" x14ac:dyDescent="0.25">
      <c r="A580" s="78"/>
      <c r="B580" s="79"/>
      <c r="C580" s="27"/>
      <c r="D580" s="74"/>
      <c r="E580" s="79"/>
      <c r="F580" s="79"/>
      <c r="G580" s="28"/>
      <c r="H580" s="74"/>
      <c r="I580" s="74"/>
      <c r="J580" s="80"/>
      <c r="K580" s="74"/>
    </row>
    <row r="581" spans="1:11" ht="30" customHeight="1" x14ac:dyDescent="0.25">
      <c r="A581" s="78"/>
      <c r="B581" s="79"/>
      <c r="C581" s="27"/>
      <c r="D581" s="74"/>
      <c r="E581" s="79"/>
      <c r="F581" s="79"/>
      <c r="G581" s="28"/>
      <c r="H581" s="74"/>
      <c r="I581" s="74"/>
      <c r="J581" s="80"/>
      <c r="K581" s="74"/>
    </row>
    <row r="582" spans="1:11" ht="30" customHeight="1" x14ac:dyDescent="0.25">
      <c r="A582" s="78"/>
      <c r="B582" s="79"/>
      <c r="C582" s="27"/>
      <c r="D582" s="74"/>
      <c r="E582" s="79"/>
      <c r="F582" s="79"/>
      <c r="G582" s="28"/>
      <c r="H582" s="74"/>
      <c r="I582" s="74"/>
      <c r="J582" s="80"/>
      <c r="K582" s="74"/>
    </row>
    <row r="583" spans="1:11" ht="30" customHeight="1" x14ac:dyDescent="0.25">
      <c r="A583" s="78"/>
      <c r="B583" s="79"/>
      <c r="C583" s="27"/>
      <c r="D583" s="74"/>
      <c r="E583" s="79"/>
      <c r="F583" s="79"/>
      <c r="G583" s="28"/>
      <c r="H583" s="74"/>
      <c r="I583" s="74"/>
      <c r="J583" s="80"/>
      <c r="K583" s="74"/>
    </row>
    <row r="584" spans="1:11" ht="30" customHeight="1" x14ac:dyDescent="0.25">
      <c r="A584" s="78"/>
      <c r="B584" s="79"/>
      <c r="C584" s="27"/>
      <c r="D584" s="74"/>
      <c r="E584" s="79"/>
      <c r="F584" s="79"/>
      <c r="G584" s="28"/>
      <c r="H584" s="74"/>
      <c r="I584" s="74"/>
      <c r="J584" s="80"/>
      <c r="K584" s="74"/>
    </row>
    <row r="585" spans="1:11" ht="30" customHeight="1" x14ac:dyDescent="0.25">
      <c r="A585" s="78"/>
      <c r="B585" s="79"/>
      <c r="C585" s="27"/>
      <c r="D585" s="74"/>
      <c r="E585" s="79"/>
      <c r="F585" s="79"/>
      <c r="G585" s="28"/>
      <c r="H585" s="74"/>
      <c r="I585" s="74"/>
      <c r="J585" s="80"/>
      <c r="K585" s="74"/>
    </row>
    <row r="586" spans="1:11" ht="30" customHeight="1" x14ac:dyDescent="0.25">
      <c r="A586" s="78"/>
      <c r="B586" s="79"/>
      <c r="C586" s="27"/>
      <c r="D586" s="74"/>
      <c r="E586" s="79"/>
      <c r="F586" s="79"/>
      <c r="G586" s="28"/>
      <c r="H586" s="74"/>
      <c r="I586" s="74"/>
      <c r="J586" s="80"/>
      <c r="K586" s="74"/>
    </row>
    <row r="587" spans="1:11" ht="30" customHeight="1" x14ac:dyDescent="0.25">
      <c r="A587" s="78"/>
      <c r="B587" s="79"/>
      <c r="C587" s="27"/>
      <c r="D587" s="74"/>
      <c r="E587" s="79"/>
      <c r="F587" s="79"/>
      <c r="G587" s="28"/>
      <c r="H587" s="74"/>
      <c r="I587" s="74"/>
      <c r="J587" s="80"/>
      <c r="K587" s="74"/>
    </row>
    <row r="588" spans="1:11" ht="30" customHeight="1" x14ac:dyDescent="0.25">
      <c r="A588" s="78"/>
      <c r="B588" s="79"/>
      <c r="C588" s="27"/>
      <c r="D588" s="74"/>
      <c r="E588" s="79"/>
      <c r="F588" s="79"/>
      <c r="G588" s="28"/>
      <c r="H588" s="74"/>
      <c r="I588" s="74"/>
      <c r="J588" s="80"/>
      <c r="K588" s="74"/>
    </row>
    <row r="589" spans="1:11" ht="30" customHeight="1" x14ac:dyDescent="0.25">
      <c r="A589" s="78"/>
      <c r="B589" s="79"/>
      <c r="C589" s="27"/>
      <c r="D589" s="74"/>
      <c r="E589" s="79"/>
      <c r="F589" s="79"/>
      <c r="G589" s="28"/>
      <c r="H589" s="74"/>
      <c r="I589" s="74"/>
      <c r="J589" s="80"/>
      <c r="K589" s="74"/>
    </row>
    <row r="590" spans="1:11" ht="30" customHeight="1" x14ac:dyDescent="0.25">
      <c r="A590" s="78"/>
      <c r="B590" s="79"/>
      <c r="C590" s="27"/>
      <c r="D590" s="74"/>
      <c r="E590" s="79"/>
      <c r="F590" s="79"/>
      <c r="G590" s="28"/>
      <c r="H590" s="74"/>
      <c r="I590" s="74"/>
      <c r="J590" s="80"/>
      <c r="K590" s="74"/>
    </row>
    <row r="591" spans="1:11" ht="30" customHeight="1" x14ac:dyDescent="0.25">
      <c r="A591" s="78"/>
      <c r="B591" s="79"/>
      <c r="C591" s="27"/>
      <c r="D591" s="74"/>
      <c r="E591" s="79"/>
      <c r="F591" s="79"/>
      <c r="G591" s="28"/>
      <c r="H591" s="74"/>
      <c r="I591" s="74"/>
      <c r="J591" s="80"/>
      <c r="K591" s="74"/>
    </row>
    <row r="592" spans="1:11" ht="30" customHeight="1" x14ac:dyDescent="0.25">
      <c r="A592" s="78"/>
      <c r="B592" s="79"/>
      <c r="C592" s="27"/>
      <c r="D592" s="74"/>
      <c r="E592" s="79"/>
      <c r="F592" s="79"/>
      <c r="G592" s="28"/>
      <c r="H592" s="74"/>
      <c r="I592" s="74"/>
      <c r="J592" s="80"/>
      <c r="K592" s="74"/>
    </row>
    <row r="593" spans="1:11" ht="30" customHeight="1" x14ac:dyDescent="0.25">
      <c r="A593" s="78"/>
      <c r="B593" s="79"/>
      <c r="C593" s="27"/>
      <c r="D593" s="74"/>
      <c r="E593" s="79"/>
      <c r="F593" s="79"/>
      <c r="G593" s="28"/>
      <c r="H593" s="74"/>
      <c r="I593" s="74"/>
      <c r="J593" s="80"/>
      <c r="K593" s="74"/>
    </row>
    <row r="594" spans="1:11" ht="30" customHeight="1" x14ac:dyDescent="0.25">
      <c r="A594" s="78"/>
      <c r="B594" s="79"/>
      <c r="C594" s="27"/>
      <c r="D594" s="74"/>
      <c r="E594" s="79"/>
      <c r="F594" s="79"/>
      <c r="G594" s="28"/>
      <c r="H594" s="74"/>
      <c r="I594" s="74"/>
      <c r="J594" s="80"/>
      <c r="K594" s="74"/>
    </row>
    <row r="595" spans="1:11" ht="30" customHeight="1" x14ac:dyDescent="0.25">
      <c r="A595" s="78"/>
      <c r="B595" s="79"/>
      <c r="C595" s="27"/>
      <c r="D595" s="74"/>
      <c r="E595" s="79"/>
      <c r="F595" s="79"/>
      <c r="G595" s="28"/>
      <c r="H595" s="74"/>
      <c r="I595" s="74"/>
      <c r="J595" s="80"/>
      <c r="K595" s="74"/>
    </row>
    <row r="596" spans="1:11" ht="30" customHeight="1" x14ac:dyDescent="0.25">
      <c r="A596" s="78"/>
      <c r="B596" s="79"/>
      <c r="C596" s="27"/>
      <c r="D596" s="74"/>
      <c r="E596" s="79"/>
      <c r="F596" s="79"/>
      <c r="G596" s="28"/>
      <c r="H596" s="74"/>
      <c r="I596" s="74"/>
      <c r="J596" s="80"/>
      <c r="K596" s="74"/>
    </row>
    <row r="597" spans="1:11" ht="30" customHeight="1" x14ac:dyDescent="0.25">
      <c r="A597" s="78"/>
      <c r="B597" s="79"/>
      <c r="C597" s="27"/>
      <c r="D597" s="74"/>
      <c r="E597" s="79"/>
      <c r="F597" s="79"/>
      <c r="G597" s="28"/>
      <c r="H597" s="74"/>
      <c r="I597" s="74"/>
      <c r="J597" s="80"/>
      <c r="K597" s="74"/>
    </row>
    <row r="598" spans="1:11" ht="30" customHeight="1" x14ac:dyDescent="0.25">
      <c r="A598" s="78"/>
      <c r="B598" s="79"/>
      <c r="C598" s="27"/>
      <c r="D598" s="74"/>
      <c r="E598" s="79"/>
      <c r="F598" s="79"/>
      <c r="G598" s="28"/>
      <c r="H598" s="74"/>
      <c r="I598" s="74"/>
      <c r="J598" s="80"/>
      <c r="K598" s="74"/>
    </row>
    <row r="599" spans="1:11" ht="30" customHeight="1" x14ac:dyDescent="0.25">
      <c r="A599" s="78"/>
      <c r="B599" s="79"/>
      <c r="C599" s="27"/>
      <c r="D599" s="74"/>
      <c r="E599" s="79"/>
      <c r="F599" s="79"/>
      <c r="G599" s="28"/>
      <c r="H599" s="74"/>
      <c r="I599" s="74"/>
      <c r="J599" s="80"/>
      <c r="K599" s="74"/>
    </row>
    <row r="600" spans="1:11" ht="30" customHeight="1" x14ac:dyDescent="0.25">
      <c r="A600" s="78"/>
      <c r="B600" s="79"/>
      <c r="C600" s="27"/>
      <c r="D600" s="74"/>
      <c r="E600" s="79"/>
      <c r="F600" s="79"/>
      <c r="G600" s="28"/>
      <c r="H600" s="74"/>
      <c r="I600" s="74"/>
      <c r="J600" s="80"/>
      <c r="K600" s="74"/>
    </row>
    <row r="601" spans="1:11" ht="30" customHeight="1" x14ac:dyDescent="0.25">
      <c r="A601" s="78"/>
      <c r="B601" s="79"/>
      <c r="C601" s="27"/>
      <c r="D601" s="74"/>
      <c r="E601" s="79"/>
      <c r="F601" s="79"/>
      <c r="G601" s="28"/>
      <c r="H601" s="74"/>
      <c r="I601" s="74"/>
      <c r="J601" s="80"/>
      <c r="K601" s="74"/>
    </row>
    <row r="602" spans="1:11" ht="30" customHeight="1" x14ac:dyDescent="0.25">
      <c r="A602" s="78"/>
      <c r="B602" s="79"/>
      <c r="C602" s="27"/>
      <c r="D602" s="74"/>
      <c r="E602" s="79"/>
      <c r="F602" s="79"/>
      <c r="G602" s="28"/>
      <c r="H602" s="74"/>
      <c r="I602" s="74"/>
      <c r="J602" s="80"/>
      <c r="K602" s="74"/>
    </row>
    <row r="603" spans="1:11" ht="30" customHeight="1" x14ac:dyDescent="0.25">
      <c r="A603" s="78"/>
      <c r="B603" s="79"/>
      <c r="C603" s="27"/>
      <c r="D603" s="74"/>
      <c r="E603" s="79"/>
      <c r="F603" s="79"/>
      <c r="G603" s="28"/>
      <c r="H603" s="74"/>
      <c r="I603" s="74"/>
      <c r="J603" s="80"/>
      <c r="K603" s="74"/>
    </row>
    <row r="604" spans="1:11" ht="30" customHeight="1" x14ac:dyDescent="0.25">
      <c r="A604" s="78"/>
      <c r="B604" s="79"/>
      <c r="C604" s="27"/>
      <c r="D604" s="74"/>
      <c r="E604" s="79"/>
      <c r="F604" s="79"/>
      <c r="G604" s="28"/>
      <c r="H604" s="74"/>
      <c r="I604" s="74"/>
      <c r="J604" s="80"/>
      <c r="K604" s="74"/>
    </row>
    <row r="605" spans="1:11" ht="30" customHeight="1" x14ac:dyDescent="0.25">
      <c r="A605" s="78"/>
      <c r="B605" s="79"/>
      <c r="C605" s="27"/>
      <c r="D605" s="74"/>
      <c r="E605" s="79"/>
      <c r="F605" s="79"/>
      <c r="G605" s="28"/>
      <c r="H605" s="74"/>
      <c r="I605" s="74"/>
      <c r="J605" s="80"/>
      <c r="K605" s="74"/>
    </row>
    <row r="606" spans="1:11" ht="30" customHeight="1" x14ac:dyDescent="0.25">
      <c r="A606" s="78"/>
      <c r="B606" s="79"/>
      <c r="C606" s="27"/>
      <c r="D606" s="74"/>
      <c r="E606" s="79"/>
      <c r="F606" s="79"/>
      <c r="G606" s="28"/>
      <c r="H606" s="74"/>
      <c r="I606" s="74"/>
      <c r="J606" s="80"/>
      <c r="K606" s="74"/>
    </row>
    <row r="607" spans="1:11" ht="30" customHeight="1" x14ac:dyDescent="0.25">
      <c r="A607" s="78"/>
      <c r="B607" s="79"/>
      <c r="C607" s="27"/>
      <c r="D607" s="74"/>
      <c r="E607" s="79"/>
      <c r="F607" s="79"/>
      <c r="G607" s="28"/>
      <c r="H607" s="74"/>
      <c r="I607" s="74"/>
      <c r="J607" s="80"/>
      <c r="K607" s="74"/>
    </row>
    <row r="608" spans="1:11" ht="30" customHeight="1" x14ac:dyDescent="0.25">
      <c r="A608" s="78"/>
      <c r="B608" s="79"/>
      <c r="C608" s="27"/>
      <c r="D608" s="74"/>
      <c r="E608" s="79"/>
      <c r="F608" s="79"/>
      <c r="G608" s="28"/>
      <c r="H608" s="74"/>
      <c r="I608" s="74"/>
      <c r="J608" s="80"/>
      <c r="K608" s="74"/>
    </row>
    <row r="609" spans="1:11" ht="30" customHeight="1" x14ac:dyDescent="0.25">
      <c r="A609" s="78"/>
      <c r="B609" s="79"/>
      <c r="C609" s="27"/>
      <c r="D609" s="74"/>
      <c r="E609" s="79"/>
      <c r="F609" s="79"/>
      <c r="G609" s="28"/>
      <c r="H609" s="74"/>
      <c r="I609" s="74"/>
      <c r="J609" s="80"/>
      <c r="K609" s="74"/>
    </row>
    <row r="610" spans="1:11" ht="30" customHeight="1" x14ac:dyDescent="0.25">
      <c r="A610" s="78"/>
      <c r="B610" s="79"/>
      <c r="C610" s="27"/>
      <c r="D610" s="74"/>
      <c r="E610" s="79"/>
      <c r="F610" s="79"/>
      <c r="G610" s="28"/>
      <c r="H610" s="74"/>
      <c r="I610" s="74"/>
      <c r="J610" s="80"/>
      <c r="K610" s="74"/>
    </row>
    <row r="611" spans="1:11" ht="30" customHeight="1" x14ac:dyDescent="0.25">
      <c r="A611" s="78"/>
      <c r="B611" s="79"/>
      <c r="C611" s="27"/>
      <c r="D611" s="74"/>
      <c r="E611" s="79"/>
      <c r="F611" s="79"/>
      <c r="G611" s="28"/>
      <c r="H611" s="74"/>
      <c r="I611" s="74"/>
      <c r="J611" s="80"/>
      <c r="K611" s="74"/>
    </row>
    <row r="612" spans="1:11" ht="30" customHeight="1" x14ac:dyDescent="0.25">
      <c r="A612" s="78"/>
      <c r="B612" s="79"/>
      <c r="C612" s="27"/>
      <c r="D612" s="74"/>
      <c r="E612" s="79"/>
      <c r="F612" s="79"/>
      <c r="G612" s="28"/>
      <c r="H612" s="74"/>
      <c r="I612" s="74"/>
      <c r="J612" s="80"/>
      <c r="K612" s="74"/>
    </row>
    <row r="613" spans="1:11" ht="30" customHeight="1" x14ac:dyDescent="0.25">
      <c r="A613" s="78"/>
      <c r="B613" s="79"/>
      <c r="C613" s="27"/>
      <c r="D613" s="74"/>
      <c r="E613" s="79"/>
      <c r="F613" s="79"/>
      <c r="G613" s="28"/>
      <c r="H613" s="74"/>
      <c r="I613" s="74"/>
      <c r="J613" s="80"/>
      <c r="K613" s="74"/>
    </row>
    <row r="614" spans="1:11" ht="30" customHeight="1" x14ac:dyDescent="0.25">
      <c r="A614" s="78"/>
      <c r="B614" s="79"/>
      <c r="C614" s="27"/>
      <c r="D614" s="74"/>
      <c r="E614" s="79"/>
      <c r="F614" s="79"/>
      <c r="G614" s="28"/>
      <c r="H614" s="74"/>
      <c r="I614" s="74"/>
      <c r="J614" s="80"/>
      <c r="K614" s="74"/>
    </row>
    <row r="615" spans="1:11" ht="30" customHeight="1" x14ac:dyDescent="0.25">
      <c r="A615" s="78"/>
      <c r="B615" s="79"/>
      <c r="C615" s="27"/>
      <c r="D615" s="74"/>
      <c r="E615" s="79"/>
      <c r="F615" s="79"/>
      <c r="G615" s="28"/>
      <c r="H615" s="74"/>
      <c r="I615" s="74"/>
      <c r="J615" s="80"/>
      <c r="K615" s="74"/>
    </row>
    <row r="616" spans="1:11" ht="30" customHeight="1" x14ac:dyDescent="0.25">
      <c r="A616" s="78"/>
      <c r="B616" s="79"/>
      <c r="C616" s="27"/>
      <c r="D616" s="74"/>
      <c r="E616" s="79"/>
      <c r="F616" s="79"/>
      <c r="G616" s="28"/>
      <c r="H616" s="74"/>
      <c r="I616" s="74"/>
      <c r="J616" s="80"/>
      <c r="K616" s="74"/>
    </row>
    <row r="617" spans="1:11" ht="30" customHeight="1" x14ac:dyDescent="0.25">
      <c r="A617" s="78"/>
      <c r="B617" s="79"/>
      <c r="C617" s="27"/>
      <c r="D617" s="74"/>
      <c r="E617" s="79"/>
      <c r="F617" s="79"/>
      <c r="G617" s="28"/>
      <c r="H617" s="74"/>
      <c r="I617" s="74"/>
      <c r="J617" s="80"/>
      <c r="K617" s="74"/>
    </row>
    <row r="618" spans="1:11" ht="30" customHeight="1" x14ac:dyDescent="0.25">
      <c r="A618" s="78"/>
      <c r="B618" s="79"/>
      <c r="C618" s="27"/>
      <c r="D618" s="74"/>
      <c r="E618" s="79"/>
      <c r="F618" s="79"/>
      <c r="G618" s="28"/>
      <c r="H618" s="74"/>
      <c r="I618" s="74"/>
      <c r="J618" s="80"/>
      <c r="K618" s="74"/>
    </row>
    <row r="619" spans="1:11" ht="30" customHeight="1" x14ac:dyDescent="0.25">
      <c r="A619" s="78"/>
      <c r="B619" s="79"/>
      <c r="C619" s="27"/>
      <c r="D619" s="74"/>
      <c r="E619" s="79"/>
      <c r="F619" s="79"/>
      <c r="G619" s="28"/>
      <c r="H619" s="74"/>
      <c r="I619" s="74"/>
      <c r="J619" s="80"/>
      <c r="K619" s="74"/>
    </row>
    <row r="620" spans="1:11" ht="30" customHeight="1" x14ac:dyDescent="0.25">
      <c r="A620" s="78"/>
      <c r="B620" s="79"/>
      <c r="C620" s="27"/>
      <c r="D620" s="74"/>
      <c r="E620" s="79"/>
      <c r="F620" s="79"/>
      <c r="G620" s="28"/>
      <c r="H620" s="74"/>
      <c r="I620" s="74"/>
      <c r="J620" s="80"/>
      <c r="K620" s="74"/>
    </row>
    <row r="621" spans="1:11" ht="30" customHeight="1" x14ac:dyDescent="0.25">
      <c r="A621" s="78"/>
      <c r="B621" s="79"/>
      <c r="C621" s="27"/>
      <c r="D621" s="74"/>
      <c r="E621" s="79"/>
      <c r="F621" s="79"/>
      <c r="G621" s="28"/>
      <c r="H621" s="74"/>
      <c r="I621" s="74"/>
      <c r="J621" s="80"/>
      <c r="K621" s="74"/>
    </row>
    <row r="622" spans="1:11" ht="30" customHeight="1" x14ac:dyDescent="0.25">
      <c r="A622" s="78"/>
      <c r="B622" s="79"/>
      <c r="C622" s="27"/>
      <c r="D622" s="74"/>
      <c r="E622" s="79"/>
      <c r="F622" s="79"/>
      <c r="G622" s="28"/>
      <c r="H622" s="74"/>
      <c r="I622" s="74"/>
      <c r="J622" s="80"/>
      <c r="K622" s="74"/>
    </row>
    <row r="623" spans="1:11" ht="30" customHeight="1" x14ac:dyDescent="0.25">
      <c r="A623" s="78"/>
      <c r="B623" s="79"/>
      <c r="C623" s="27"/>
      <c r="D623" s="74"/>
      <c r="E623" s="79"/>
      <c r="F623" s="79"/>
      <c r="G623" s="28"/>
      <c r="H623" s="74"/>
      <c r="I623" s="74"/>
      <c r="J623" s="80"/>
      <c r="K623" s="74"/>
    </row>
    <row r="624" spans="1:11" ht="30" customHeight="1" x14ac:dyDescent="0.25">
      <c r="A624" s="78"/>
      <c r="B624" s="79"/>
      <c r="C624" s="27"/>
      <c r="D624" s="74"/>
      <c r="E624" s="79"/>
      <c r="F624" s="79"/>
      <c r="G624" s="28"/>
      <c r="H624" s="74"/>
      <c r="I624" s="74"/>
      <c r="J624" s="80"/>
      <c r="K624" s="74"/>
    </row>
    <row r="625" spans="1:11" ht="30" customHeight="1" x14ac:dyDescent="0.25">
      <c r="A625" s="78"/>
      <c r="B625" s="79"/>
      <c r="C625" s="27"/>
      <c r="D625" s="74"/>
      <c r="E625" s="79"/>
      <c r="F625" s="79"/>
      <c r="G625" s="28"/>
      <c r="H625" s="74"/>
      <c r="I625" s="74"/>
      <c r="J625" s="80"/>
      <c r="K625" s="74"/>
    </row>
    <row r="626" spans="1:11" ht="30" customHeight="1" x14ac:dyDescent="0.25">
      <c r="A626" s="78"/>
      <c r="B626" s="79"/>
      <c r="C626" s="27"/>
      <c r="D626" s="74"/>
      <c r="E626" s="79"/>
      <c r="F626" s="79"/>
      <c r="G626" s="28"/>
      <c r="H626" s="74"/>
      <c r="I626" s="74"/>
      <c r="J626" s="80"/>
      <c r="K626" s="74"/>
    </row>
    <row r="627" spans="1:11" ht="30" customHeight="1" x14ac:dyDescent="0.25">
      <c r="A627" s="78"/>
      <c r="B627" s="79"/>
      <c r="C627" s="27"/>
      <c r="D627" s="74"/>
      <c r="E627" s="79"/>
      <c r="F627" s="79"/>
      <c r="G627" s="28"/>
      <c r="H627" s="74"/>
      <c r="I627" s="74"/>
      <c r="J627" s="80"/>
      <c r="K627" s="74"/>
    </row>
    <row r="628" spans="1:11" ht="30" customHeight="1" x14ac:dyDescent="0.25">
      <c r="A628" s="78"/>
      <c r="B628" s="79"/>
      <c r="C628" s="27"/>
      <c r="D628" s="74"/>
      <c r="E628" s="79"/>
      <c r="F628" s="79"/>
      <c r="G628" s="28"/>
      <c r="H628" s="74"/>
      <c r="I628" s="74"/>
      <c r="J628" s="80"/>
      <c r="K628" s="74"/>
    </row>
    <row r="629" spans="1:11" ht="30" customHeight="1" x14ac:dyDescent="0.25">
      <c r="A629" s="78"/>
      <c r="B629" s="79"/>
      <c r="C629" s="27"/>
      <c r="D629" s="74"/>
      <c r="E629" s="79"/>
      <c r="F629" s="79"/>
      <c r="G629" s="28"/>
      <c r="H629" s="74"/>
      <c r="I629" s="74"/>
      <c r="J629" s="80"/>
      <c r="K629" s="74"/>
    </row>
    <row r="630" spans="1:11" ht="30" customHeight="1" x14ac:dyDescent="0.25">
      <c r="A630" s="78"/>
      <c r="B630" s="79"/>
      <c r="C630" s="27"/>
      <c r="D630" s="74"/>
      <c r="E630" s="79"/>
      <c r="F630" s="79"/>
      <c r="G630" s="28"/>
      <c r="H630" s="74"/>
      <c r="I630" s="74"/>
      <c r="J630" s="80"/>
      <c r="K630" s="74"/>
    </row>
    <row r="631" spans="1:11" ht="30" customHeight="1" x14ac:dyDescent="0.25">
      <c r="A631" s="78"/>
      <c r="B631" s="79"/>
      <c r="C631" s="27"/>
      <c r="D631" s="74"/>
      <c r="E631" s="79"/>
      <c r="F631" s="79"/>
      <c r="G631" s="28"/>
      <c r="H631" s="74"/>
      <c r="I631" s="74"/>
      <c r="J631" s="80"/>
      <c r="K631" s="74"/>
    </row>
    <row r="632" spans="1:11" ht="30" customHeight="1" x14ac:dyDescent="0.25">
      <c r="A632" s="78"/>
      <c r="B632" s="79"/>
      <c r="C632" s="27"/>
      <c r="D632" s="74"/>
      <c r="E632" s="79"/>
      <c r="F632" s="79"/>
      <c r="G632" s="28"/>
      <c r="H632" s="74"/>
      <c r="I632" s="74"/>
      <c r="J632" s="80"/>
      <c r="K632" s="74"/>
    </row>
    <row r="633" spans="1:11" ht="30" customHeight="1" x14ac:dyDescent="0.25">
      <c r="A633" s="78"/>
      <c r="B633" s="79"/>
      <c r="C633" s="27"/>
      <c r="D633" s="74"/>
      <c r="E633" s="79"/>
      <c r="F633" s="79"/>
      <c r="G633" s="28"/>
      <c r="H633" s="74"/>
      <c r="I633" s="74"/>
      <c r="J633" s="80"/>
      <c r="K633" s="74"/>
    </row>
    <row r="634" spans="1:11" ht="30" customHeight="1" x14ac:dyDescent="0.25">
      <c r="A634" s="78"/>
      <c r="B634" s="79"/>
      <c r="C634" s="27"/>
      <c r="D634" s="74"/>
      <c r="E634" s="79"/>
      <c r="F634" s="79"/>
      <c r="G634" s="28"/>
      <c r="H634" s="74"/>
      <c r="I634" s="74"/>
      <c r="J634" s="80"/>
      <c r="K634" s="74"/>
    </row>
    <row r="635" spans="1:11" ht="30" customHeight="1" x14ac:dyDescent="0.25">
      <c r="A635" s="78"/>
      <c r="B635" s="79"/>
      <c r="C635" s="27"/>
      <c r="D635" s="74"/>
      <c r="E635" s="79"/>
      <c r="F635" s="79"/>
      <c r="G635" s="28"/>
      <c r="H635" s="74"/>
      <c r="I635" s="74"/>
      <c r="J635" s="80"/>
      <c r="K635" s="74"/>
    </row>
    <row r="636" spans="1:11" ht="30" customHeight="1" x14ac:dyDescent="0.25">
      <c r="A636" s="78"/>
      <c r="B636" s="79"/>
      <c r="C636" s="27"/>
      <c r="D636" s="74"/>
      <c r="E636" s="79"/>
      <c r="F636" s="79"/>
      <c r="G636" s="28"/>
      <c r="H636" s="74"/>
      <c r="I636" s="74"/>
      <c r="J636" s="80"/>
      <c r="K636" s="74"/>
    </row>
    <row r="637" spans="1:11" ht="30" customHeight="1" x14ac:dyDescent="0.25">
      <c r="A637" s="78"/>
      <c r="B637" s="79"/>
      <c r="C637" s="27"/>
      <c r="D637" s="74"/>
      <c r="E637" s="79"/>
      <c r="F637" s="79"/>
      <c r="G637" s="28"/>
      <c r="H637" s="74"/>
      <c r="I637" s="74"/>
      <c r="J637" s="80"/>
      <c r="K637" s="74"/>
    </row>
    <row r="638" spans="1:11" ht="30" customHeight="1" x14ac:dyDescent="0.25">
      <c r="A638" s="78"/>
      <c r="B638" s="79"/>
      <c r="C638" s="27"/>
      <c r="D638" s="74"/>
      <c r="E638" s="79"/>
      <c r="F638" s="79"/>
      <c r="G638" s="28"/>
      <c r="H638" s="74"/>
      <c r="I638" s="74"/>
      <c r="J638" s="80"/>
      <c r="K638" s="74"/>
    </row>
    <row r="639" spans="1:11" ht="30" customHeight="1" x14ac:dyDescent="0.25">
      <c r="A639" s="78"/>
      <c r="B639" s="79"/>
      <c r="C639" s="27"/>
      <c r="D639" s="74"/>
      <c r="E639" s="79"/>
      <c r="F639" s="79"/>
      <c r="G639" s="28"/>
      <c r="H639" s="74"/>
      <c r="I639" s="74"/>
      <c r="J639" s="80"/>
      <c r="K639" s="74"/>
    </row>
    <row r="640" spans="1:11" ht="30" customHeight="1" x14ac:dyDescent="0.25">
      <c r="A640" s="78"/>
      <c r="B640" s="79"/>
      <c r="C640" s="27"/>
      <c r="D640" s="74"/>
      <c r="E640" s="79"/>
      <c r="F640" s="79"/>
      <c r="G640" s="28"/>
      <c r="H640" s="74"/>
      <c r="I640" s="74"/>
      <c r="J640" s="80"/>
      <c r="K640" s="74"/>
    </row>
    <row r="641" spans="1:11" ht="30" customHeight="1" x14ac:dyDescent="0.25">
      <c r="A641" s="78"/>
      <c r="B641" s="79"/>
      <c r="C641" s="27"/>
      <c r="D641" s="74"/>
      <c r="E641" s="79"/>
      <c r="F641" s="79"/>
      <c r="G641" s="28"/>
      <c r="H641" s="74"/>
      <c r="I641" s="74"/>
      <c r="J641" s="80"/>
      <c r="K641" s="74"/>
    </row>
    <row r="642" spans="1:11" ht="30" customHeight="1" x14ac:dyDescent="0.25">
      <c r="A642" s="78"/>
      <c r="B642" s="79"/>
      <c r="C642" s="27"/>
      <c r="D642" s="74"/>
      <c r="E642" s="79"/>
      <c r="F642" s="79"/>
      <c r="G642" s="28"/>
      <c r="H642" s="74"/>
      <c r="I642" s="74"/>
      <c r="J642" s="80"/>
      <c r="K642" s="74"/>
    </row>
    <row r="643" spans="1:11" ht="30" customHeight="1" x14ac:dyDescent="0.25">
      <c r="A643" s="78"/>
      <c r="B643" s="79"/>
      <c r="C643" s="27"/>
      <c r="D643" s="74"/>
      <c r="E643" s="79"/>
      <c r="F643" s="79"/>
      <c r="G643" s="28"/>
      <c r="H643" s="74"/>
      <c r="I643" s="74"/>
      <c r="J643" s="80"/>
      <c r="K643" s="74"/>
    </row>
    <row r="644" spans="1:11" ht="30" customHeight="1" x14ac:dyDescent="0.25">
      <c r="A644" s="78"/>
      <c r="B644" s="79"/>
      <c r="C644" s="27"/>
      <c r="D644" s="74"/>
      <c r="E644" s="79"/>
      <c r="F644" s="79"/>
      <c r="G644" s="28"/>
      <c r="H644" s="74"/>
      <c r="I644" s="74"/>
      <c r="J644" s="80"/>
      <c r="K644" s="74"/>
    </row>
    <row r="645" spans="1:11" ht="30" customHeight="1" x14ac:dyDescent="0.25">
      <c r="A645" s="78"/>
      <c r="B645" s="79"/>
      <c r="C645" s="27"/>
      <c r="D645" s="74"/>
      <c r="E645" s="79"/>
      <c r="F645" s="79"/>
      <c r="G645" s="28"/>
      <c r="H645" s="74"/>
      <c r="I645" s="74"/>
      <c r="J645" s="80"/>
      <c r="K645" s="74"/>
    </row>
    <row r="646" spans="1:11" ht="30" customHeight="1" x14ac:dyDescent="0.25">
      <c r="A646" s="78"/>
      <c r="B646" s="79"/>
      <c r="C646" s="27"/>
      <c r="D646" s="74"/>
      <c r="E646" s="79"/>
      <c r="F646" s="79"/>
      <c r="G646" s="28"/>
      <c r="H646" s="74"/>
      <c r="I646" s="74"/>
      <c r="J646" s="80"/>
      <c r="K646" s="74"/>
    </row>
    <row r="647" spans="1:11" ht="30" customHeight="1" x14ac:dyDescent="0.25">
      <c r="A647" s="78"/>
      <c r="B647" s="79"/>
      <c r="C647" s="27"/>
      <c r="D647" s="74"/>
      <c r="E647" s="79"/>
      <c r="F647" s="79"/>
      <c r="G647" s="28"/>
      <c r="H647" s="74"/>
      <c r="I647" s="74"/>
      <c r="J647" s="80"/>
      <c r="K647" s="74"/>
    </row>
    <row r="648" spans="1:11" ht="30" customHeight="1" x14ac:dyDescent="0.25">
      <c r="A648" s="78"/>
      <c r="B648" s="79"/>
      <c r="C648" s="27"/>
      <c r="D648" s="74"/>
      <c r="E648" s="79"/>
      <c r="F648" s="79"/>
      <c r="G648" s="28"/>
      <c r="H648" s="74"/>
      <c r="I648" s="74"/>
      <c r="J648" s="80"/>
      <c r="K648" s="74"/>
    </row>
    <row r="649" spans="1:11" ht="30" customHeight="1" x14ac:dyDescent="0.25">
      <c r="A649" s="78"/>
      <c r="B649" s="79"/>
      <c r="C649" s="27"/>
      <c r="D649" s="74"/>
      <c r="E649" s="79"/>
      <c r="F649" s="79"/>
      <c r="G649" s="28"/>
      <c r="H649" s="74"/>
      <c r="I649" s="74"/>
      <c r="J649" s="80"/>
      <c r="K649" s="74"/>
    </row>
    <row r="650" spans="1:11" ht="30" customHeight="1" x14ac:dyDescent="0.25">
      <c r="A650" s="78"/>
      <c r="B650" s="79"/>
      <c r="C650" s="27"/>
      <c r="D650" s="74"/>
      <c r="E650" s="79"/>
      <c r="F650" s="79"/>
      <c r="G650" s="28"/>
      <c r="H650" s="74"/>
      <c r="I650" s="74"/>
      <c r="J650" s="80"/>
      <c r="K650" s="74"/>
    </row>
    <row r="651" spans="1:11" ht="30" customHeight="1" x14ac:dyDescent="0.25">
      <c r="A651" s="78"/>
      <c r="B651" s="79"/>
      <c r="C651" s="27"/>
      <c r="D651" s="74"/>
      <c r="E651" s="79"/>
      <c r="F651" s="79"/>
      <c r="G651" s="28"/>
      <c r="H651" s="74"/>
      <c r="I651" s="74"/>
      <c r="J651" s="80"/>
      <c r="K651" s="74"/>
    </row>
    <row r="652" spans="1:11" ht="30" customHeight="1" x14ac:dyDescent="0.25">
      <c r="A652" s="78"/>
      <c r="B652" s="79"/>
      <c r="C652" s="27"/>
      <c r="D652" s="74"/>
      <c r="E652" s="79"/>
      <c r="F652" s="79"/>
      <c r="G652" s="28"/>
      <c r="H652" s="74"/>
      <c r="I652" s="74"/>
      <c r="J652" s="80"/>
      <c r="K652" s="74"/>
    </row>
    <row r="653" spans="1:11" ht="30" customHeight="1" x14ac:dyDescent="0.25">
      <c r="A653" s="78"/>
      <c r="B653" s="79"/>
      <c r="C653" s="27"/>
      <c r="D653" s="74"/>
      <c r="E653" s="79"/>
      <c r="F653" s="79"/>
      <c r="G653" s="28"/>
      <c r="H653" s="74"/>
      <c r="I653" s="74"/>
      <c r="J653" s="80"/>
      <c r="K653" s="74"/>
    </row>
    <row r="654" spans="1:11" ht="30" customHeight="1" x14ac:dyDescent="0.25">
      <c r="A654" s="78"/>
      <c r="B654" s="79"/>
      <c r="C654" s="27"/>
      <c r="D654" s="74"/>
      <c r="E654" s="79"/>
      <c r="F654" s="79"/>
      <c r="G654" s="28"/>
      <c r="H654" s="74"/>
      <c r="I654" s="74"/>
      <c r="J654" s="80"/>
      <c r="K654" s="74"/>
    </row>
    <row r="655" spans="1:11" ht="30" customHeight="1" x14ac:dyDescent="0.25">
      <c r="A655" s="78"/>
      <c r="B655" s="79"/>
      <c r="C655" s="27"/>
      <c r="D655" s="74"/>
      <c r="E655" s="79"/>
      <c r="F655" s="79"/>
      <c r="G655" s="28"/>
      <c r="H655" s="74"/>
      <c r="I655" s="74"/>
      <c r="J655" s="80"/>
      <c r="K655" s="74"/>
    </row>
    <row r="656" spans="1:11" ht="30" customHeight="1" x14ac:dyDescent="0.25">
      <c r="A656" s="78"/>
      <c r="B656" s="79"/>
      <c r="C656" s="27"/>
      <c r="D656" s="74"/>
      <c r="E656" s="79"/>
      <c r="F656" s="79"/>
      <c r="G656" s="28"/>
      <c r="H656" s="74"/>
      <c r="I656" s="74"/>
      <c r="J656" s="80"/>
      <c r="K656" s="74"/>
    </row>
    <row r="657" spans="1:11" ht="30" customHeight="1" x14ac:dyDescent="0.25">
      <c r="A657" s="78"/>
      <c r="B657" s="79"/>
      <c r="C657" s="27"/>
      <c r="D657" s="74"/>
      <c r="E657" s="79"/>
      <c r="F657" s="79"/>
      <c r="G657" s="28"/>
      <c r="H657" s="74"/>
      <c r="I657" s="74"/>
      <c r="J657" s="80"/>
      <c r="K657" s="74"/>
    </row>
    <row r="658" spans="1:11" ht="30" customHeight="1" x14ac:dyDescent="0.25">
      <c r="A658" s="78"/>
      <c r="B658" s="79"/>
      <c r="C658" s="27"/>
      <c r="D658" s="74"/>
      <c r="E658" s="79"/>
      <c r="F658" s="79"/>
      <c r="G658" s="28"/>
      <c r="H658" s="74"/>
      <c r="I658" s="74"/>
      <c r="J658" s="80"/>
      <c r="K658" s="74"/>
    </row>
    <row r="659" spans="1:11" ht="30" customHeight="1" x14ac:dyDescent="0.25">
      <c r="A659" s="78"/>
      <c r="B659" s="79"/>
      <c r="C659" s="27"/>
      <c r="D659" s="74"/>
      <c r="E659" s="79"/>
      <c r="F659" s="79"/>
      <c r="G659" s="28"/>
      <c r="H659" s="74"/>
      <c r="I659" s="74"/>
      <c r="J659" s="80"/>
      <c r="K659" s="74"/>
    </row>
    <row r="660" spans="1:11" ht="30" customHeight="1" x14ac:dyDescent="0.25">
      <c r="A660" s="78"/>
      <c r="B660" s="79"/>
      <c r="C660" s="27"/>
      <c r="D660" s="74"/>
      <c r="E660" s="79"/>
      <c r="F660" s="79"/>
      <c r="G660" s="28"/>
      <c r="H660" s="74"/>
      <c r="I660" s="74"/>
      <c r="J660" s="80"/>
      <c r="K660" s="74"/>
    </row>
    <row r="661" spans="1:11" ht="30" customHeight="1" x14ac:dyDescent="0.25">
      <c r="A661" s="78"/>
      <c r="B661" s="79"/>
      <c r="C661" s="27"/>
      <c r="D661" s="74"/>
      <c r="E661" s="79"/>
      <c r="F661" s="79"/>
      <c r="G661" s="28"/>
      <c r="H661" s="74"/>
      <c r="I661" s="74"/>
      <c r="J661" s="80"/>
      <c r="K661" s="74"/>
    </row>
    <row r="662" spans="1:11" ht="30" customHeight="1" x14ac:dyDescent="0.25">
      <c r="A662" s="78"/>
      <c r="B662" s="79"/>
      <c r="C662" s="27"/>
      <c r="D662" s="74"/>
      <c r="E662" s="79"/>
      <c r="F662" s="79"/>
      <c r="G662" s="28"/>
      <c r="H662" s="74"/>
      <c r="I662" s="74"/>
      <c r="J662" s="80"/>
      <c r="K662" s="74"/>
    </row>
    <row r="663" spans="1:11" ht="30" customHeight="1" x14ac:dyDescent="0.25">
      <c r="A663" s="78"/>
      <c r="B663" s="79"/>
      <c r="C663" s="27"/>
      <c r="D663" s="74"/>
      <c r="E663" s="79"/>
      <c r="F663" s="79"/>
      <c r="G663" s="28"/>
      <c r="H663" s="74"/>
      <c r="I663" s="74"/>
      <c r="J663" s="80"/>
      <c r="K663" s="74"/>
    </row>
    <row r="664" spans="1:11" ht="30" customHeight="1" x14ac:dyDescent="0.25">
      <c r="A664" s="78"/>
      <c r="B664" s="79"/>
      <c r="C664" s="27"/>
      <c r="D664" s="74"/>
      <c r="E664" s="79"/>
      <c r="F664" s="79"/>
      <c r="G664" s="28"/>
      <c r="H664" s="74"/>
      <c r="I664" s="74"/>
      <c r="J664" s="80"/>
      <c r="K664" s="74"/>
    </row>
    <row r="665" spans="1:11" ht="30" customHeight="1" x14ac:dyDescent="0.25">
      <c r="A665" s="78"/>
      <c r="B665" s="79"/>
      <c r="C665" s="27"/>
      <c r="D665" s="74"/>
      <c r="E665" s="79"/>
      <c r="F665" s="79"/>
      <c r="G665" s="28"/>
      <c r="H665" s="74"/>
      <c r="I665" s="74"/>
      <c r="J665" s="80"/>
      <c r="K665" s="74"/>
    </row>
    <row r="666" spans="1:11" ht="30" customHeight="1" x14ac:dyDescent="0.25">
      <c r="A666" s="78"/>
      <c r="B666" s="79"/>
      <c r="C666" s="27"/>
      <c r="D666" s="74"/>
      <c r="E666" s="79"/>
      <c r="F666" s="79"/>
      <c r="G666" s="28"/>
      <c r="H666" s="74"/>
      <c r="I666" s="74"/>
      <c r="J666" s="80"/>
      <c r="K666" s="74"/>
    </row>
    <row r="667" spans="1:11" ht="30" customHeight="1" x14ac:dyDescent="0.25">
      <c r="A667" s="78"/>
      <c r="B667" s="79"/>
      <c r="C667" s="27"/>
      <c r="D667" s="74"/>
      <c r="E667" s="79"/>
      <c r="F667" s="79"/>
      <c r="G667" s="28"/>
      <c r="H667" s="74"/>
      <c r="I667" s="74"/>
      <c r="J667" s="80"/>
      <c r="K667" s="74"/>
    </row>
    <row r="668" spans="1:11" ht="30" customHeight="1" x14ac:dyDescent="0.25">
      <c r="A668" s="78"/>
      <c r="B668" s="79"/>
      <c r="C668" s="27"/>
      <c r="D668" s="74"/>
      <c r="E668" s="79"/>
      <c r="F668" s="79"/>
      <c r="G668" s="28"/>
      <c r="H668" s="74"/>
      <c r="I668" s="74"/>
      <c r="J668" s="80"/>
      <c r="K668" s="74"/>
    </row>
    <row r="669" spans="1:11" ht="30" customHeight="1" x14ac:dyDescent="0.25">
      <c r="A669" s="78"/>
      <c r="B669" s="79"/>
      <c r="C669" s="27"/>
      <c r="D669" s="74"/>
      <c r="E669" s="79"/>
      <c r="F669" s="79"/>
      <c r="G669" s="28"/>
      <c r="H669" s="74"/>
      <c r="I669" s="74"/>
      <c r="J669" s="80"/>
      <c r="K669" s="74"/>
    </row>
    <row r="670" spans="1:11" ht="30" customHeight="1" x14ac:dyDescent="0.25">
      <c r="A670" s="78"/>
      <c r="B670" s="79"/>
      <c r="C670" s="27"/>
      <c r="D670" s="74"/>
      <c r="E670" s="79"/>
      <c r="F670" s="79"/>
      <c r="G670" s="28"/>
      <c r="H670" s="74"/>
      <c r="I670" s="74"/>
      <c r="J670" s="80"/>
      <c r="K670" s="74"/>
    </row>
    <row r="671" spans="1:11" ht="30" customHeight="1" x14ac:dyDescent="0.25">
      <c r="A671" s="78"/>
      <c r="B671" s="79"/>
      <c r="C671" s="27"/>
      <c r="D671" s="74"/>
      <c r="E671" s="79"/>
      <c r="F671" s="79"/>
      <c r="G671" s="28"/>
      <c r="H671" s="74"/>
      <c r="I671" s="74"/>
      <c r="J671" s="80"/>
      <c r="K671" s="74"/>
    </row>
    <row r="672" spans="1:11" ht="30" customHeight="1" x14ac:dyDescent="0.25">
      <c r="A672" s="78"/>
      <c r="B672" s="79"/>
      <c r="C672" s="27"/>
      <c r="D672" s="74"/>
      <c r="E672" s="79"/>
      <c r="F672" s="79"/>
      <c r="G672" s="28"/>
      <c r="H672" s="74"/>
      <c r="I672" s="74"/>
      <c r="J672" s="80"/>
      <c r="K672" s="74"/>
    </row>
    <row r="673" spans="1:11" ht="30" customHeight="1" x14ac:dyDescent="0.25">
      <c r="A673" s="78"/>
      <c r="B673" s="79"/>
      <c r="C673" s="27"/>
      <c r="D673" s="74"/>
      <c r="E673" s="79"/>
      <c r="F673" s="79"/>
      <c r="G673" s="28"/>
      <c r="H673" s="74"/>
      <c r="I673" s="74"/>
      <c r="J673" s="80"/>
      <c r="K673" s="74"/>
    </row>
    <row r="674" spans="1:11" ht="30" customHeight="1" x14ac:dyDescent="0.25">
      <c r="A674" s="78"/>
      <c r="B674" s="79"/>
      <c r="C674" s="27"/>
      <c r="D674" s="74"/>
      <c r="E674" s="79"/>
      <c r="F674" s="79"/>
      <c r="G674" s="28"/>
      <c r="H674" s="74"/>
      <c r="I674" s="74"/>
      <c r="J674" s="80"/>
      <c r="K674" s="74"/>
    </row>
    <row r="675" spans="1:11" ht="30" customHeight="1" x14ac:dyDescent="0.25">
      <c r="A675" s="78"/>
      <c r="B675" s="79"/>
      <c r="C675" s="27"/>
      <c r="D675" s="74"/>
      <c r="E675" s="79"/>
      <c r="F675" s="79"/>
      <c r="G675" s="28"/>
      <c r="H675" s="74"/>
      <c r="I675" s="74"/>
      <c r="J675" s="80"/>
      <c r="K675" s="74"/>
    </row>
    <row r="676" spans="1:11" ht="30" customHeight="1" x14ac:dyDescent="0.25">
      <c r="A676" s="78"/>
      <c r="B676" s="79"/>
      <c r="C676" s="27"/>
      <c r="D676" s="74"/>
      <c r="E676" s="79"/>
      <c r="F676" s="79"/>
      <c r="G676" s="28"/>
      <c r="H676" s="74"/>
      <c r="I676" s="74"/>
      <c r="J676" s="80"/>
      <c r="K676" s="74"/>
    </row>
    <row r="677" spans="1:11" ht="30" customHeight="1" x14ac:dyDescent="0.25">
      <c r="A677" s="78"/>
      <c r="B677" s="79"/>
      <c r="C677" s="27"/>
      <c r="D677" s="74"/>
      <c r="E677" s="79"/>
      <c r="F677" s="79"/>
      <c r="G677" s="28"/>
      <c r="H677" s="74"/>
      <c r="I677" s="74"/>
      <c r="J677" s="80"/>
      <c r="K677" s="74"/>
    </row>
    <row r="678" spans="1:11" ht="30" customHeight="1" x14ac:dyDescent="0.25">
      <c r="A678" s="78"/>
      <c r="B678" s="79"/>
      <c r="C678" s="27"/>
      <c r="D678" s="74"/>
      <c r="E678" s="79"/>
      <c r="F678" s="79"/>
      <c r="G678" s="28"/>
      <c r="H678" s="74"/>
      <c r="I678" s="74"/>
      <c r="J678" s="80"/>
      <c r="K678" s="74"/>
    </row>
    <row r="679" spans="1:11" ht="30" customHeight="1" x14ac:dyDescent="0.25">
      <c r="A679" s="78"/>
      <c r="B679" s="79"/>
      <c r="C679" s="27"/>
      <c r="D679" s="74"/>
      <c r="E679" s="79"/>
      <c r="F679" s="79"/>
      <c r="G679" s="28"/>
      <c r="H679" s="74"/>
      <c r="I679" s="74"/>
      <c r="J679" s="80"/>
      <c r="K679" s="74"/>
    </row>
    <row r="680" spans="1:11" ht="30" customHeight="1" x14ac:dyDescent="0.25">
      <c r="A680" s="78"/>
      <c r="B680" s="79"/>
      <c r="C680" s="27"/>
      <c r="D680" s="74"/>
      <c r="E680" s="79"/>
      <c r="F680" s="79"/>
      <c r="G680" s="28"/>
      <c r="H680" s="74"/>
      <c r="I680" s="74"/>
      <c r="J680" s="80"/>
      <c r="K680" s="74"/>
    </row>
    <row r="681" spans="1:11" ht="30" customHeight="1" x14ac:dyDescent="0.25">
      <c r="A681" s="78"/>
      <c r="B681" s="79"/>
      <c r="C681" s="27"/>
      <c r="D681" s="74"/>
      <c r="E681" s="79"/>
      <c r="F681" s="79"/>
      <c r="G681" s="28"/>
      <c r="H681" s="74"/>
      <c r="I681" s="74"/>
      <c r="J681" s="80"/>
      <c r="K681" s="74"/>
    </row>
    <row r="682" spans="1:11" ht="30" customHeight="1" x14ac:dyDescent="0.25">
      <c r="A682" s="78"/>
      <c r="B682" s="79"/>
      <c r="C682" s="27"/>
      <c r="D682" s="74"/>
      <c r="E682" s="79"/>
      <c r="F682" s="79"/>
      <c r="G682" s="28"/>
      <c r="H682" s="74"/>
      <c r="I682" s="74"/>
      <c r="J682" s="80"/>
      <c r="K682" s="74"/>
    </row>
    <row r="683" spans="1:11" ht="30" customHeight="1" x14ac:dyDescent="0.25">
      <c r="A683" s="78"/>
      <c r="B683" s="79"/>
      <c r="C683" s="27"/>
      <c r="D683" s="74"/>
      <c r="E683" s="79"/>
      <c r="F683" s="79"/>
      <c r="G683" s="28"/>
      <c r="H683" s="74"/>
      <c r="I683" s="74"/>
      <c r="J683" s="80"/>
      <c r="K683" s="74"/>
    </row>
    <row r="684" spans="1:11" ht="30" customHeight="1" x14ac:dyDescent="0.25">
      <c r="A684" s="78"/>
      <c r="B684" s="79"/>
      <c r="C684" s="27"/>
      <c r="D684" s="74"/>
      <c r="E684" s="79"/>
      <c r="F684" s="79"/>
      <c r="G684" s="28"/>
      <c r="H684" s="74"/>
      <c r="I684" s="74"/>
      <c r="J684" s="80"/>
      <c r="K684" s="74"/>
    </row>
    <row r="685" spans="1:11" ht="30" customHeight="1" x14ac:dyDescent="0.25">
      <c r="A685" s="78"/>
      <c r="B685" s="79"/>
      <c r="C685" s="27"/>
      <c r="D685" s="74"/>
      <c r="E685" s="79"/>
      <c r="F685" s="79"/>
      <c r="G685" s="28"/>
      <c r="H685" s="74"/>
      <c r="I685" s="74"/>
      <c r="J685" s="80"/>
      <c r="K685" s="74"/>
    </row>
    <row r="686" spans="1:11" ht="30" customHeight="1" x14ac:dyDescent="0.25">
      <c r="A686" s="78"/>
      <c r="B686" s="79"/>
      <c r="C686" s="27"/>
      <c r="D686" s="74"/>
      <c r="E686" s="79"/>
      <c r="F686" s="79"/>
      <c r="G686" s="28"/>
      <c r="H686" s="74"/>
      <c r="I686" s="74"/>
      <c r="J686" s="80"/>
      <c r="K686" s="74"/>
    </row>
    <row r="687" spans="1:11" ht="30" customHeight="1" x14ac:dyDescent="0.25">
      <c r="A687" s="78"/>
      <c r="B687" s="79"/>
      <c r="C687" s="27"/>
      <c r="D687" s="74"/>
      <c r="E687" s="79"/>
      <c r="F687" s="79"/>
      <c r="G687" s="28"/>
      <c r="H687" s="74"/>
      <c r="I687" s="74"/>
      <c r="J687" s="80"/>
      <c r="K687" s="74"/>
    </row>
    <row r="688" spans="1:11" ht="30" customHeight="1" x14ac:dyDescent="0.25">
      <c r="A688" s="78"/>
      <c r="B688" s="79"/>
      <c r="C688" s="27"/>
      <c r="D688" s="74"/>
      <c r="E688" s="79"/>
      <c r="F688" s="79"/>
      <c r="G688" s="28"/>
      <c r="H688" s="74"/>
      <c r="I688" s="74"/>
      <c r="J688" s="80"/>
      <c r="K688" s="74"/>
    </row>
    <row r="689" spans="1:11" ht="30" customHeight="1" x14ac:dyDescent="0.25">
      <c r="A689" s="78"/>
      <c r="B689" s="79"/>
      <c r="C689" s="27"/>
      <c r="D689" s="74"/>
      <c r="E689" s="79"/>
      <c r="F689" s="79"/>
      <c r="G689" s="28"/>
      <c r="H689" s="74"/>
      <c r="I689" s="74"/>
      <c r="J689" s="80"/>
      <c r="K689" s="74"/>
    </row>
    <row r="690" spans="1:11" ht="30" customHeight="1" x14ac:dyDescent="0.25">
      <c r="A690" s="78"/>
      <c r="B690" s="79"/>
      <c r="C690" s="27"/>
      <c r="D690" s="74"/>
      <c r="E690" s="79"/>
      <c r="F690" s="79"/>
      <c r="G690" s="28"/>
      <c r="H690" s="74"/>
      <c r="I690" s="74"/>
      <c r="J690" s="80"/>
      <c r="K690" s="74"/>
    </row>
    <row r="691" spans="1:11" ht="30" customHeight="1" x14ac:dyDescent="0.25">
      <c r="A691" s="78"/>
      <c r="B691" s="79"/>
      <c r="C691" s="27"/>
      <c r="D691" s="74"/>
      <c r="E691" s="79"/>
      <c r="F691" s="79"/>
      <c r="G691" s="28"/>
      <c r="H691" s="74"/>
      <c r="I691" s="74"/>
      <c r="J691" s="80"/>
      <c r="K691" s="74"/>
    </row>
    <row r="692" spans="1:11" ht="30" customHeight="1" x14ac:dyDescent="0.25">
      <c r="A692" s="78"/>
      <c r="B692" s="79"/>
      <c r="C692" s="27"/>
      <c r="D692" s="74"/>
      <c r="E692" s="79"/>
      <c r="F692" s="79"/>
      <c r="G692" s="28"/>
      <c r="H692" s="74"/>
      <c r="I692" s="74"/>
      <c r="J692" s="80"/>
      <c r="K692" s="74"/>
    </row>
    <row r="693" spans="1:11" ht="30" customHeight="1" x14ac:dyDescent="0.25">
      <c r="A693" s="78"/>
      <c r="B693" s="79"/>
      <c r="C693" s="27"/>
      <c r="D693" s="74"/>
      <c r="E693" s="79"/>
      <c r="F693" s="79"/>
      <c r="G693" s="28"/>
      <c r="H693" s="74"/>
      <c r="I693" s="74"/>
      <c r="J693" s="80"/>
      <c r="K693" s="74"/>
    </row>
    <row r="694" spans="1:11" ht="30" customHeight="1" x14ac:dyDescent="0.25">
      <c r="A694" s="78"/>
      <c r="B694" s="79"/>
      <c r="C694" s="27"/>
      <c r="D694" s="74"/>
      <c r="E694" s="79"/>
      <c r="F694" s="79"/>
      <c r="G694" s="28"/>
      <c r="H694" s="74"/>
      <c r="I694" s="74"/>
      <c r="J694" s="80"/>
      <c r="K694" s="74"/>
    </row>
    <row r="695" spans="1:11" ht="30" customHeight="1" x14ac:dyDescent="0.25">
      <c r="A695" s="78"/>
      <c r="B695" s="79"/>
      <c r="C695" s="27"/>
      <c r="D695" s="74"/>
      <c r="E695" s="79"/>
      <c r="F695" s="79"/>
      <c r="G695" s="28"/>
      <c r="H695" s="74"/>
      <c r="I695" s="74"/>
      <c r="J695" s="80"/>
      <c r="K695" s="74"/>
    </row>
    <row r="696" spans="1:11" ht="30" customHeight="1" x14ac:dyDescent="0.25">
      <c r="A696" s="78"/>
      <c r="B696" s="79"/>
      <c r="C696" s="27"/>
      <c r="D696" s="74"/>
      <c r="E696" s="79"/>
      <c r="F696" s="79"/>
      <c r="G696" s="28"/>
      <c r="H696" s="74"/>
      <c r="I696" s="74"/>
      <c r="J696" s="80"/>
      <c r="K696" s="74"/>
    </row>
    <row r="697" spans="1:11" ht="30" customHeight="1" x14ac:dyDescent="0.25">
      <c r="A697" s="78"/>
      <c r="B697" s="79"/>
      <c r="C697" s="27"/>
      <c r="D697" s="74"/>
      <c r="E697" s="79"/>
      <c r="F697" s="79"/>
      <c r="G697" s="28"/>
      <c r="H697" s="74"/>
      <c r="I697" s="74"/>
      <c r="J697" s="80"/>
      <c r="K697" s="74"/>
    </row>
    <row r="698" spans="1:11" ht="30" customHeight="1" x14ac:dyDescent="0.25">
      <c r="A698" s="78"/>
      <c r="B698" s="79"/>
      <c r="C698" s="27"/>
      <c r="D698" s="74"/>
      <c r="E698" s="79"/>
      <c r="F698" s="79"/>
      <c r="G698" s="28"/>
      <c r="H698" s="74"/>
      <c r="I698" s="74"/>
      <c r="J698" s="80"/>
      <c r="K698" s="74"/>
    </row>
    <row r="699" spans="1:11" ht="30" customHeight="1" x14ac:dyDescent="0.25">
      <c r="A699" s="78"/>
      <c r="B699" s="79"/>
      <c r="C699" s="27"/>
      <c r="D699" s="74"/>
      <c r="E699" s="79"/>
      <c r="F699" s="79"/>
      <c r="G699" s="28"/>
      <c r="H699" s="74"/>
      <c r="I699" s="74"/>
      <c r="J699" s="80"/>
      <c r="K699" s="74"/>
    </row>
    <row r="700" spans="1:11" ht="30" customHeight="1" x14ac:dyDescent="0.25">
      <c r="A700" s="78"/>
      <c r="B700" s="79"/>
      <c r="C700" s="27"/>
      <c r="D700" s="74"/>
      <c r="E700" s="79"/>
      <c r="F700" s="79"/>
      <c r="G700" s="28"/>
      <c r="H700" s="74"/>
      <c r="I700" s="74"/>
      <c r="J700" s="80"/>
      <c r="K700" s="74"/>
    </row>
    <row r="701" spans="1:11" ht="30" customHeight="1" x14ac:dyDescent="0.25">
      <c r="A701" s="78"/>
      <c r="B701" s="79"/>
      <c r="C701" s="27"/>
      <c r="D701" s="74"/>
      <c r="E701" s="79"/>
      <c r="F701" s="79"/>
      <c r="G701" s="28"/>
      <c r="H701" s="74"/>
      <c r="I701" s="74"/>
      <c r="J701" s="80"/>
      <c r="K701" s="74"/>
    </row>
    <row r="702" spans="1:11" ht="30" customHeight="1" x14ac:dyDescent="0.25">
      <c r="A702" s="78"/>
      <c r="B702" s="79"/>
      <c r="C702" s="27"/>
      <c r="D702" s="74"/>
      <c r="E702" s="79"/>
      <c r="F702" s="79"/>
      <c r="G702" s="28"/>
      <c r="H702" s="74"/>
      <c r="I702" s="74"/>
      <c r="J702" s="80"/>
      <c r="K702" s="74"/>
    </row>
    <row r="703" spans="1:11" ht="30" customHeight="1" x14ac:dyDescent="0.25">
      <c r="A703" s="78"/>
      <c r="B703" s="79"/>
      <c r="C703" s="27"/>
      <c r="D703" s="74"/>
      <c r="E703" s="79"/>
      <c r="F703" s="79"/>
      <c r="G703" s="28"/>
      <c r="H703" s="74"/>
      <c r="I703" s="74"/>
      <c r="J703" s="80"/>
      <c r="K703" s="74"/>
    </row>
    <row r="704" spans="1:11" ht="30" customHeight="1" x14ac:dyDescent="0.25">
      <c r="A704" s="78"/>
      <c r="B704" s="79"/>
      <c r="C704" s="27"/>
      <c r="D704" s="74"/>
      <c r="E704" s="79"/>
      <c r="F704" s="79"/>
      <c r="G704" s="28"/>
      <c r="H704" s="74"/>
      <c r="I704" s="74"/>
      <c r="J704" s="80"/>
      <c r="K704" s="74"/>
    </row>
    <row r="705" spans="1:11" ht="30" customHeight="1" x14ac:dyDescent="0.25">
      <c r="A705" s="78"/>
      <c r="B705" s="79"/>
      <c r="C705" s="27"/>
      <c r="D705" s="74"/>
      <c r="E705" s="79"/>
      <c r="F705" s="79"/>
      <c r="G705" s="28"/>
      <c r="H705" s="74"/>
      <c r="I705" s="74"/>
      <c r="J705" s="80"/>
      <c r="K705" s="74"/>
    </row>
    <row r="706" spans="1:11" ht="30" customHeight="1" x14ac:dyDescent="0.25">
      <c r="A706" s="78"/>
      <c r="B706" s="79"/>
      <c r="C706" s="27"/>
      <c r="D706" s="74"/>
      <c r="E706" s="79"/>
      <c r="F706" s="79"/>
      <c r="G706" s="28"/>
      <c r="H706" s="74"/>
      <c r="I706" s="74"/>
      <c r="J706" s="80"/>
      <c r="K706" s="74"/>
    </row>
    <row r="707" spans="1:11" ht="30" customHeight="1" x14ac:dyDescent="0.25">
      <c r="A707" s="78"/>
      <c r="B707" s="79"/>
      <c r="C707" s="27"/>
      <c r="D707" s="74"/>
      <c r="E707" s="79"/>
      <c r="F707" s="79"/>
      <c r="G707" s="28"/>
      <c r="H707" s="74"/>
      <c r="I707" s="74"/>
      <c r="J707" s="80"/>
      <c r="K707" s="74"/>
    </row>
    <row r="708" spans="1:11" ht="30" customHeight="1" x14ac:dyDescent="0.25">
      <c r="A708" s="78"/>
      <c r="B708" s="79"/>
      <c r="C708" s="27"/>
      <c r="D708" s="74"/>
      <c r="E708" s="79"/>
      <c r="F708" s="79"/>
      <c r="G708" s="28"/>
      <c r="H708" s="74"/>
      <c r="I708" s="74"/>
      <c r="J708" s="80"/>
      <c r="K708" s="74"/>
    </row>
    <row r="709" spans="1:11" ht="30" customHeight="1" x14ac:dyDescent="0.25">
      <c r="A709" s="78"/>
      <c r="B709" s="79"/>
      <c r="C709" s="27"/>
      <c r="D709" s="74"/>
      <c r="E709" s="79"/>
      <c r="F709" s="79"/>
      <c r="G709" s="28"/>
      <c r="H709" s="74"/>
      <c r="I709" s="74"/>
      <c r="J709" s="80"/>
      <c r="K709" s="74"/>
    </row>
    <row r="710" spans="1:11" ht="30" customHeight="1" x14ac:dyDescent="0.25">
      <c r="A710" s="78"/>
      <c r="B710" s="79"/>
      <c r="C710" s="27"/>
      <c r="D710" s="74"/>
      <c r="E710" s="79"/>
      <c r="F710" s="79"/>
      <c r="G710" s="28"/>
      <c r="H710" s="74"/>
      <c r="I710" s="74"/>
      <c r="J710" s="80"/>
      <c r="K710" s="74"/>
    </row>
    <row r="711" spans="1:11" ht="30" customHeight="1" x14ac:dyDescent="0.25">
      <c r="A711" s="78"/>
      <c r="B711" s="79"/>
      <c r="C711" s="27"/>
      <c r="D711" s="74"/>
      <c r="E711" s="79"/>
      <c r="F711" s="79"/>
      <c r="G711" s="28"/>
      <c r="H711" s="74"/>
      <c r="I711" s="74"/>
      <c r="J711" s="80"/>
      <c r="K711" s="74"/>
    </row>
    <row r="712" spans="1:11" ht="30" customHeight="1" x14ac:dyDescent="0.25">
      <c r="A712" s="78"/>
      <c r="B712" s="79"/>
      <c r="C712" s="27"/>
      <c r="D712" s="74"/>
      <c r="E712" s="79"/>
      <c r="F712" s="79"/>
      <c r="G712" s="28"/>
      <c r="H712" s="74"/>
      <c r="I712" s="74"/>
      <c r="J712" s="80"/>
      <c r="K712" s="74"/>
    </row>
    <row r="713" spans="1:11" ht="30" customHeight="1" x14ac:dyDescent="0.25">
      <c r="A713" s="78"/>
      <c r="B713" s="79"/>
      <c r="C713" s="27"/>
      <c r="D713" s="74"/>
      <c r="E713" s="79"/>
      <c r="F713" s="79"/>
      <c r="G713" s="28"/>
      <c r="H713" s="74"/>
      <c r="I713" s="74"/>
      <c r="J713" s="80"/>
      <c r="K713" s="74"/>
    </row>
    <row r="714" spans="1:11" ht="30" customHeight="1" x14ac:dyDescent="0.25">
      <c r="A714" s="78"/>
      <c r="B714" s="79"/>
      <c r="C714" s="27"/>
      <c r="D714" s="74"/>
      <c r="E714" s="79"/>
      <c r="F714" s="79"/>
      <c r="G714" s="28"/>
      <c r="H714" s="74"/>
      <c r="I714" s="74"/>
      <c r="J714" s="80"/>
      <c r="K714" s="74"/>
    </row>
    <row r="715" spans="1:11" ht="30" customHeight="1" x14ac:dyDescent="0.25">
      <c r="A715" s="78"/>
      <c r="B715" s="79"/>
      <c r="C715" s="27"/>
      <c r="D715" s="74"/>
      <c r="E715" s="79"/>
      <c r="F715" s="79"/>
      <c r="G715" s="28"/>
      <c r="H715" s="74"/>
      <c r="I715" s="74"/>
      <c r="J715" s="80"/>
      <c r="K715" s="74"/>
    </row>
    <row r="716" spans="1:11" ht="30" customHeight="1" x14ac:dyDescent="0.25">
      <c r="A716" s="78"/>
      <c r="B716" s="79"/>
      <c r="C716" s="27"/>
      <c r="D716" s="74"/>
      <c r="E716" s="79"/>
      <c r="F716" s="79"/>
      <c r="G716" s="28"/>
      <c r="H716" s="74"/>
      <c r="I716" s="74"/>
      <c r="J716" s="80"/>
      <c r="K716" s="74"/>
    </row>
    <row r="717" spans="1:11" ht="30" customHeight="1" x14ac:dyDescent="0.25">
      <c r="A717" s="78"/>
      <c r="B717" s="79"/>
      <c r="C717" s="27"/>
      <c r="D717" s="74"/>
      <c r="E717" s="79"/>
      <c r="F717" s="79"/>
      <c r="G717" s="28"/>
      <c r="H717" s="74"/>
      <c r="I717" s="74"/>
      <c r="J717" s="80"/>
      <c r="K717" s="74"/>
    </row>
    <row r="718" spans="1:11" ht="30" customHeight="1" x14ac:dyDescent="0.25">
      <c r="A718" s="78"/>
      <c r="B718" s="79"/>
      <c r="C718" s="27"/>
      <c r="D718" s="74"/>
      <c r="E718" s="79"/>
      <c r="F718" s="79"/>
      <c r="G718" s="28"/>
      <c r="H718" s="74"/>
      <c r="I718" s="74"/>
      <c r="J718" s="80"/>
      <c r="K718" s="74"/>
    </row>
    <row r="719" spans="1:11" ht="30" customHeight="1" x14ac:dyDescent="0.25">
      <c r="A719" s="78"/>
      <c r="B719" s="79"/>
      <c r="C719" s="27"/>
      <c r="D719" s="74"/>
      <c r="E719" s="79"/>
      <c r="F719" s="79"/>
      <c r="G719" s="28"/>
      <c r="H719" s="74"/>
      <c r="I719" s="74"/>
      <c r="J719" s="80"/>
      <c r="K719" s="74"/>
    </row>
    <row r="720" spans="1:11" ht="30" customHeight="1" x14ac:dyDescent="0.25">
      <c r="A720" s="78"/>
      <c r="B720" s="79"/>
      <c r="C720" s="27"/>
      <c r="D720" s="74"/>
      <c r="E720" s="79"/>
      <c r="F720" s="79"/>
      <c r="G720" s="28"/>
      <c r="H720" s="74"/>
      <c r="I720" s="74"/>
      <c r="J720" s="80"/>
      <c r="K720" s="74"/>
    </row>
    <row r="721" spans="1:11" ht="30" customHeight="1" x14ac:dyDescent="0.25">
      <c r="A721" s="78"/>
      <c r="B721" s="79"/>
      <c r="C721" s="27"/>
      <c r="D721" s="74"/>
      <c r="E721" s="79"/>
      <c r="F721" s="79"/>
      <c r="G721" s="28"/>
      <c r="H721" s="74"/>
      <c r="I721" s="74"/>
      <c r="J721" s="80"/>
      <c r="K721" s="74"/>
    </row>
    <row r="722" spans="1:11" ht="30" customHeight="1" x14ac:dyDescent="0.25">
      <c r="A722" s="78"/>
      <c r="B722" s="79"/>
      <c r="C722" s="27"/>
      <c r="D722" s="74"/>
      <c r="E722" s="79"/>
      <c r="F722" s="79"/>
      <c r="G722" s="28"/>
      <c r="H722" s="74"/>
      <c r="I722" s="74"/>
      <c r="J722" s="80"/>
      <c r="K722" s="74"/>
    </row>
    <row r="723" spans="1:11" ht="30" customHeight="1" x14ac:dyDescent="0.25">
      <c r="A723" s="78"/>
      <c r="B723" s="79"/>
      <c r="C723" s="27"/>
      <c r="D723" s="74"/>
      <c r="E723" s="79"/>
      <c r="F723" s="79"/>
      <c r="G723" s="28"/>
      <c r="H723" s="74"/>
      <c r="I723" s="74"/>
      <c r="J723" s="80"/>
      <c r="K723" s="74"/>
    </row>
    <row r="724" spans="1:11" ht="30" customHeight="1" x14ac:dyDescent="0.25">
      <c r="A724" s="78"/>
      <c r="B724" s="79"/>
      <c r="C724" s="27"/>
      <c r="D724" s="74"/>
      <c r="E724" s="79"/>
      <c r="F724" s="79"/>
      <c r="G724" s="28"/>
      <c r="H724" s="74"/>
      <c r="I724" s="74"/>
      <c r="J724" s="80"/>
      <c r="K724" s="74"/>
    </row>
    <row r="725" spans="1:11" ht="30" customHeight="1" x14ac:dyDescent="0.25">
      <c r="A725" s="78"/>
      <c r="B725" s="79"/>
      <c r="C725" s="27"/>
      <c r="D725" s="74"/>
      <c r="E725" s="79"/>
      <c r="F725" s="79"/>
      <c r="G725" s="28"/>
      <c r="H725" s="74"/>
      <c r="I725" s="74"/>
      <c r="J725" s="80"/>
      <c r="K725" s="74"/>
    </row>
    <row r="726" spans="1:11" ht="30" customHeight="1" x14ac:dyDescent="0.25">
      <c r="A726" s="78"/>
      <c r="B726" s="79"/>
      <c r="C726" s="27"/>
      <c r="D726" s="74"/>
      <c r="E726" s="79"/>
      <c r="F726" s="79"/>
      <c r="G726" s="28"/>
      <c r="H726" s="74"/>
      <c r="I726" s="74"/>
      <c r="J726" s="80"/>
      <c r="K726" s="74"/>
    </row>
    <row r="727" spans="1:11" ht="30" customHeight="1" x14ac:dyDescent="0.25">
      <c r="A727" s="78"/>
      <c r="B727" s="79"/>
      <c r="C727" s="27"/>
      <c r="D727" s="74"/>
      <c r="E727" s="79"/>
      <c r="F727" s="79"/>
      <c r="G727" s="28"/>
      <c r="H727" s="74"/>
      <c r="I727" s="74"/>
      <c r="J727" s="80"/>
      <c r="K727" s="74"/>
    </row>
    <row r="728" spans="1:11" ht="30" customHeight="1" x14ac:dyDescent="0.25">
      <c r="A728" s="78"/>
      <c r="B728" s="79"/>
      <c r="C728" s="27"/>
      <c r="D728" s="74"/>
      <c r="E728" s="79"/>
      <c r="F728" s="79"/>
      <c r="G728" s="28"/>
      <c r="H728" s="74"/>
      <c r="I728" s="74"/>
      <c r="J728" s="80"/>
      <c r="K728" s="74"/>
    </row>
    <row r="729" spans="1:11" ht="30" customHeight="1" x14ac:dyDescent="0.25">
      <c r="A729" s="78"/>
      <c r="B729" s="79"/>
      <c r="C729" s="27"/>
      <c r="D729" s="74"/>
      <c r="E729" s="79"/>
      <c r="F729" s="79"/>
      <c r="G729" s="28"/>
      <c r="H729" s="74"/>
      <c r="I729" s="74"/>
      <c r="J729" s="80"/>
      <c r="K729" s="74"/>
    </row>
    <row r="730" spans="1:11" ht="30" customHeight="1" x14ac:dyDescent="0.25">
      <c r="A730" s="78"/>
      <c r="B730" s="79"/>
      <c r="C730" s="27"/>
      <c r="D730" s="74"/>
      <c r="E730" s="79"/>
      <c r="F730" s="79"/>
      <c r="G730" s="28"/>
      <c r="H730" s="74"/>
      <c r="I730" s="74"/>
      <c r="J730" s="80"/>
      <c r="K730" s="74"/>
    </row>
    <row r="731" spans="1:11" ht="30" customHeight="1" x14ac:dyDescent="0.25">
      <c r="A731" s="78"/>
      <c r="B731" s="79"/>
      <c r="C731" s="27"/>
      <c r="D731" s="74"/>
      <c r="E731" s="79"/>
      <c r="F731" s="79"/>
      <c r="G731" s="28"/>
      <c r="H731" s="74"/>
      <c r="I731" s="74"/>
      <c r="J731" s="80"/>
      <c r="K731" s="74"/>
    </row>
    <row r="732" spans="1:11" ht="30" customHeight="1" x14ac:dyDescent="0.25">
      <c r="A732" s="78"/>
      <c r="B732" s="79"/>
      <c r="C732" s="27"/>
      <c r="D732" s="74"/>
      <c r="E732" s="79"/>
      <c r="F732" s="79"/>
      <c r="G732" s="28"/>
      <c r="H732" s="74"/>
      <c r="I732" s="74"/>
      <c r="J732" s="80"/>
      <c r="K732" s="74"/>
    </row>
    <row r="733" spans="1:11" ht="30" customHeight="1" x14ac:dyDescent="0.25">
      <c r="A733" s="78"/>
      <c r="B733" s="79"/>
      <c r="C733" s="27"/>
      <c r="D733" s="74"/>
      <c r="E733" s="79"/>
      <c r="F733" s="79"/>
      <c r="G733" s="28"/>
      <c r="H733" s="74"/>
      <c r="I733" s="74"/>
      <c r="J733" s="80"/>
      <c r="K733" s="74"/>
    </row>
    <row r="734" spans="1:11" ht="30" customHeight="1" x14ac:dyDescent="0.25">
      <c r="A734" s="78"/>
      <c r="B734" s="79"/>
      <c r="C734" s="27"/>
      <c r="D734" s="74"/>
      <c r="E734" s="79"/>
      <c r="F734" s="79"/>
      <c r="G734" s="28"/>
      <c r="H734" s="74"/>
      <c r="I734" s="74"/>
      <c r="J734" s="80"/>
      <c r="K734" s="74"/>
    </row>
    <row r="735" spans="1:11" ht="30" customHeight="1" x14ac:dyDescent="0.25">
      <c r="A735" s="78"/>
      <c r="B735" s="79"/>
      <c r="C735" s="27"/>
      <c r="D735" s="74"/>
      <c r="E735" s="79"/>
      <c r="F735" s="79"/>
      <c r="G735" s="28"/>
      <c r="H735" s="74"/>
      <c r="I735" s="74"/>
      <c r="J735" s="80"/>
      <c r="K735" s="74"/>
    </row>
    <row r="736" spans="1:11" ht="30" customHeight="1" x14ac:dyDescent="0.25">
      <c r="A736" s="78"/>
      <c r="B736" s="79"/>
      <c r="C736" s="27"/>
      <c r="D736" s="74"/>
      <c r="E736" s="79"/>
      <c r="F736" s="79"/>
      <c r="G736" s="28"/>
      <c r="H736" s="74"/>
      <c r="I736" s="74"/>
      <c r="J736" s="80"/>
      <c r="K736" s="74"/>
    </row>
    <row r="737" spans="1:11" ht="30" customHeight="1" x14ac:dyDescent="0.25">
      <c r="A737" s="78"/>
      <c r="B737" s="79"/>
      <c r="C737" s="27"/>
      <c r="D737" s="74"/>
      <c r="E737" s="79"/>
      <c r="F737" s="79"/>
      <c r="G737" s="28"/>
      <c r="H737" s="74"/>
      <c r="I737" s="74"/>
      <c r="J737" s="80"/>
      <c r="K737" s="74"/>
    </row>
    <row r="738" spans="1:11" ht="30" customHeight="1" x14ac:dyDescent="0.25">
      <c r="A738" s="78"/>
      <c r="B738" s="79"/>
      <c r="C738" s="27"/>
      <c r="D738" s="74"/>
      <c r="E738" s="79"/>
      <c r="F738" s="79"/>
      <c r="G738" s="28"/>
      <c r="H738" s="74"/>
      <c r="I738" s="74"/>
      <c r="J738" s="80"/>
      <c r="K738" s="74"/>
    </row>
    <row r="739" spans="1:11" ht="30" customHeight="1" x14ac:dyDescent="0.25">
      <c r="A739" s="78"/>
      <c r="B739" s="79"/>
      <c r="C739" s="27"/>
      <c r="D739" s="74"/>
      <c r="E739" s="79"/>
      <c r="F739" s="79"/>
      <c r="G739" s="28"/>
      <c r="H739" s="74"/>
      <c r="I739" s="74"/>
      <c r="J739" s="80"/>
      <c r="K739" s="74"/>
    </row>
    <row r="740" spans="1:11" ht="30" customHeight="1" x14ac:dyDescent="0.25">
      <c r="A740" s="78"/>
      <c r="B740" s="79"/>
      <c r="C740" s="27"/>
      <c r="D740" s="74"/>
      <c r="E740" s="79"/>
      <c r="F740" s="79"/>
      <c r="G740" s="28"/>
      <c r="H740" s="74"/>
      <c r="I740" s="74"/>
      <c r="J740" s="80"/>
      <c r="K740" s="74"/>
    </row>
    <row r="741" spans="1:11" ht="30" customHeight="1" x14ac:dyDescent="0.25">
      <c r="A741" s="78"/>
      <c r="B741" s="79"/>
      <c r="C741" s="27"/>
      <c r="D741" s="74"/>
      <c r="E741" s="79"/>
      <c r="F741" s="79"/>
      <c r="G741" s="28"/>
      <c r="H741" s="74"/>
      <c r="I741" s="74"/>
      <c r="J741" s="80"/>
      <c r="K741" s="74"/>
    </row>
    <row r="742" spans="1:11" ht="30" customHeight="1" x14ac:dyDescent="0.25">
      <c r="A742" s="78"/>
      <c r="B742" s="79"/>
      <c r="C742" s="27"/>
      <c r="D742" s="74"/>
      <c r="E742" s="79"/>
      <c r="F742" s="79"/>
      <c r="G742" s="28"/>
      <c r="H742" s="74"/>
      <c r="I742" s="74"/>
      <c r="J742" s="80"/>
      <c r="K742" s="74"/>
    </row>
    <row r="743" spans="1:11" ht="30" customHeight="1" x14ac:dyDescent="0.25">
      <c r="A743" s="78"/>
      <c r="B743" s="79"/>
      <c r="C743" s="27"/>
      <c r="D743" s="74"/>
      <c r="E743" s="79"/>
      <c r="F743" s="79"/>
      <c r="G743" s="28"/>
      <c r="H743" s="74"/>
      <c r="I743" s="74"/>
      <c r="J743" s="80"/>
      <c r="K743" s="74"/>
    </row>
    <row r="744" spans="1:11" ht="30" customHeight="1" x14ac:dyDescent="0.25">
      <c r="A744" s="78"/>
      <c r="B744" s="79"/>
      <c r="C744" s="27"/>
      <c r="D744" s="74"/>
      <c r="E744" s="79"/>
      <c r="F744" s="79"/>
      <c r="G744" s="28"/>
      <c r="H744" s="74"/>
      <c r="I744" s="74"/>
      <c r="J744" s="80"/>
      <c r="K744" s="74"/>
    </row>
    <row r="745" spans="1:11" ht="30" customHeight="1" x14ac:dyDescent="0.25">
      <c r="A745" s="78"/>
      <c r="B745" s="79"/>
      <c r="C745" s="27"/>
      <c r="D745" s="74"/>
      <c r="E745" s="79"/>
      <c r="F745" s="79"/>
      <c r="G745" s="28"/>
      <c r="H745" s="74"/>
      <c r="I745" s="74"/>
      <c r="J745" s="80"/>
      <c r="K745" s="74"/>
    </row>
    <row r="746" spans="1:11" ht="30" customHeight="1" x14ac:dyDescent="0.25">
      <c r="A746" s="78"/>
      <c r="B746" s="79"/>
      <c r="C746" s="27"/>
      <c r="D746" s="74"/>
      <c r="E746" s="79"/>
      <c r="F746" s="79"/>
      <c r="G746" s="28"/>
      <c r="H746" s="74"/>
      <c r="I746" s="74"/>
      <c r="J746" s="80"/>
      <c r="K746" s="74"/>
    </row>
    <row r="747" spans="1:11" ht="30" customHeight="1" x14ac:dyDescent="0.25">
      <c r="A747" s="78"/>
      <c r="B747" s="79"/>
      <c r="C747" s="27"/>
      <c r="D747" s="74"/>
      <c r="E747" s="79"/>
      <c r="F747" s="79"/>
      <c r="G747" s="28"/>
      <c r="H747" s="74"/>
      <c r="I747" s="74"/>
      <c r="J747" s="80"/>
      <c r="K747" s="74"/>
    </row>
    <row r="748" spans="1:11" ht="30" customHeight="1" x14ac:dyDescent="0.25">
      <c r="A748" s="78"/>
      <c r="B748" s="79"/>
      <c r="C748" s="27"/>
      <c r="D748" s="74"/>
      <c r="E748" s="79"/>
      <c r="F748" s="79"/>
      <c r="G748" s="28"/>
      <c r="H748" s="74"/>
      <c r="I748" s="74"/>
      <c r="J748" s="80"/>
      <c r="K748" s="74"/>
    </row>
    <row r="749" spans="1:11" ht="30" customHeight="1" x14ac:dyDescent="0.25">
      <c r="A749" s="78"/>
      <c r="B749" s="79"/>
      <c r="C749" s="27"/>
      <c r="D749" s="74"/>
      <c r="E749" s="79"/>
      <c r="F749" s="79"/>
      <c r="G749" s="28"/>
      <c r="H749" s="74"/>
      <c r="I749" s="74"/>
      <c r="J749" s="80"/>
      <c r="K749" s="74"/>
    </row>
    <row r="750" spans="1:11" ht="30" customHeight="1" x14ac:dyDescent="0.25">
      <c r="A750" s="78"/>
      <c r="B750" s="79"/>
      <c r="C750" s="27"/>
      <c r="D750" s="74"/>
      <c r="E750" s="79"/>
      <c r="F750" s="79"/>
      <c r="G750" s="28"/>
      <c r="H750" s="74"/>
      <c r="I750" s="74"/>
      <c r="J750" s="80"/>
      <c r="K750" s="74"/>
    </row>
    <row r="751" spans="1:11" ht="30" customHeight="1" x14ac:dyDescent="0.25">
      <c r="A751" s="78"/>
      <c r="B751" s="79"/>
      <c r="C751" s="27"/>
      <c r="D751" s="74"/>
      <c r="E751" s="79"/>
      <c r="F751" s="79"/>
      <c r="G751" s="28"/>
      <c r="H751" s="74"/>
      <c r="I751" s="74"/>
      <c r="J751" s="80"/>
      <c r="K751" s="74"/>
    </row>
    <row r="752" spans="1:11" ht="30" customHeight="1" x14ac:dyDescent="0.25">
      <c r="A752" s="78"/>
      <c r="B752" s="79"/>
      <c r="C752" s="27"/>
      <c r="D752" s="74"/>
      <c r="E752" s="79"/>
      <c r="F752" s="79"/>
      <c r="G752" s="28"/>
      <c r="H752" s="74"/>
      <c r="I752" s="74"/>
      <c r="J752" s="80"/>
      <c r="K752" s="74"/>
    </row>
    <row r="753" spans="1:11" ht="30" customHeight="1" x14ac:dyDescent="0.25">
      <c r="A753" s="78"/>
      <c r="B753" s="79"/>
      <c r="C753" s="27"/>
      <c r="D753" s="74"/>
      <c r="E753" s="79"/>
      <c r="F753" s="79"/>
      <c r="G753" s="28"/>
      <c r="H753" s="74"/>
      <c r="I753" s="74"/>
      <c r="J753" s="80"/>
      <c r="K753" s="74"/>
    </row>
    <row r="754" spans="1:11" ht="30" customHeight="1" x14ac:dyDescent="0.25">
      <c r="A754" s="78"/>
      <c r="B754" s="79"/>
      <c r="C754" s="27"/>
      <c r="D754" s="74"/>
      <c r="E754" s="79"/>
      <c r="F754" s="79"/>
      <c r="G754" s="28"/>
      <c r="H754" s="74"/>
      <c r="I754" s="74"/>
      <c r="J754" s="80"/>
      <c r="K754" s="74"/>
    </row>
    <row r="755" spans="1:11" ht="30" customHeight="1" x14ac:dyDescent="0.25">
      <c r="A755" s="78"/>
      <c r="B755" s="79"/>
      <c r="C755" s="27"/>
      <c r="D755" s="74"/>
      <c r="E755" s="79"/>
      <c r="F755" s="79"/>
      <c r="G755" s="28"/>
      <c r="H755" s="74"/>
      <c r="I755" s="74"/>
      <c r="J755" s="80"/>
      <c r="K755" s="74"/>
    </row>
    <row r="756" spans="1:11" ht="30" customHeight="1" x14ac:dyDescent="0.25">
      <c r="A756" s="78"/>
      <c r="B756" s="79"/>
      <c r="C756" s="27"/>
      <c r="D756" s="74"/>
      <c r="E756" s="79"/>
      <c r="F756" s="79"/>
      <c r="G756" s="28"/>
      <c r="H756" s="74"/>
      <c r="I756" s="74"/>
      <c r="J756" s="80"/>
      <c r="K756" s="74"/>
    </row>
    <row r="757" spans="1:11" ht="30" customHeight="1" x14ac:dyDescent="0.25">
      <c r="A757" s="78"/>
      <c r="B757" s="79"/>
      <c r="C757" s="27"/>
      <c r="D757" s="74"/>
      <c r="E757" s="79"/>
      <c r="F757" s="79"/>
      <c r="G757" s="28"/>
      <c r="H757" s="74"/>
      <c r="I757" s="74"/>
      <c r="J757" s="80"/>
      <c r="K757" s="74"/>
    </row>
    <row r="758" spans="1:11" ht="30" customHeight="1" x14ac:dyDescent="0.25">
      <c r="A758" s="78"/>
      <c r="B758" s="79"/>
      <c r="C758" s="27"/>
      <c r="D758" s="74"/>
      <c r="E758" s="79"/>
      <c r="F758" s="79"/>
      <c r="G758" s="28"/>
      <c r="H758" s="74"/>
      <c r="I758" s="74"/>
      <c r="J758" s="80"/>
      <c r="K758" s="74"/>
    </row>
    <row r="759" spans="1:11" ht="30" customHeight="1" x14ac:dyDescent="0.25">
      <c r="A759" s="78"/>
      <c r="B759" s="79"/>
      <c r="C759" s="27"/>
      <c r="D759" s="74"/>
      <c r="E759" s="79"/>
      <c r="F759" s="79"/>
      <c r="G759" s="28"/>
      <c r="H759" s="74"/>
      <c r="I759" s="74"/>
      <c r="J759" s="80"/>
      <c r="K759" s="74"/>
    </row>
    <row r="760" spans="1:11" ht="30" customHeight="1" x14ac:dyDescent="0.25">
      <c r="A760" s="78"/>
      <c r="B760" s="79"/>
      <c r="C760" s="27"/>
      <c r="D760" s="74"/>
      <c r="E760" s="79"/>
      <c r="F760" s="79"/>
      <c r="G760" s="28"/>
      <c r="H760" s="74"/>
      <c r="I760" s="74"/>
      <c r="J760" s="80"/>
      <c r="K760" s="74"/>
    </row>
    <row r="761" spans="1:11" ht="30" customHeight="1" x14ac:dyDescent="0.25">
      <c r="A761" s="78"/>
      <c r="B761" s="79"/>
      <c r="C761" s="27"/>
      <c r="D761" s="74"/>
      <c r="E761" s="79"/>
      <c r="F761" s="79"/>
      <c r="G761" s="28"/>
      <c r="H761" s="74"/>
      <c r="I761" s="74"/>
      <c r="J761" s="80"/>
      <c r="K761" s="74"/>
    </row>
    <row r="762" spans="1:11" ht="30" customHeight="1" x14ac:dyDescent="0.25">
      <c r="A762" s="78"/>
      <c r="B762" s="79"/>
      <c r="C762" s="27"/>
      <c r="D762" s="74"/>
      <c r="E762" s="79"/>
      <c r="F762" s="79"/>
      <c r="G762" s="28"/>
      <c r="H762" s="74"/>
      <c r="I762" s="74"/>
      <c r="J762" s="80"/>
      <c r="K762" s="74"/>
    </row>
    <row r="763" spans="1:11" ht="30" customHeight="1" x14ac:dyDescent="0.25">
      <c r="A763" s="78"/>
      <c r="B763" s="79"/>
      <c r="C763" s="27"/>
      <c r="D763" s="74"/>
      <c r="E763" s="79"/>
      <c r="F763" s="79"/>
      <c r="G763" s="28"/>
      <c r="H763" s="74"/>
      <c r="I763" s="74"/>
      <c r="J763" s="80"/>
      <c r="K763" s="74"/>
    </row>
    <row r="764" spans="1:11" ht="30" customHeight="1" x14ac:dyDescent="0.25">
      <c r="A764" s="78"/>
      <c r="B764" s="79"/>
      <c r="C764" s="27"/>
      <c r="D764" s="74"/>
      <c r="E764" s="79"/>
      <c r="F764" s="79"/>
      <c r="G764" s="28"/>
      <c r="H764" s="74"/>
      <c r="I764" s="74"/>
      <c r="J764" s="80"/>
      <c r="K764" s="74"/>
    </row>
    <row r="765" spans="1:11" ht="30" customHeight="1" x14ac:dyDescent="0.25">
      <c r="A765" s="78"/>
      <c r="B765" s="79"/>
      <c r="C765" s="27"/>
      <c r="D765" s="74"/>
      <c r="E765" s="79"/>
      <c r="F765" s="79"/>
      <c r="G765" s="28"/>
      <c r="H765" s="74"/>
      <c r="I765" s="74"/>
      <c r="J765" s="80"/>
      <c r="K765" s="74"/>
    </row>
    <row r="766" spans="1:11" ht="30" customHeight="1" x14ac:dyDescent="0.25">
      <c r="A766" s="78"/>
      <c r="B766" s="79"/>
      <c r="C766" s="27"/>
      <c r="D766" s="74"/>
      <c r="E766" s="79"/>
      <c r="F766" s="79"/>
      <c r="G766" s="28"/>
      <c r="H766" s="74"/>
      <c r="I766" s="74"/>
      <c r="J766" s="80"/>
      <c r="K766" s="74"/>
    </row>
    <row r="767" spans="1:11" ht="30" customHeight="1" x14ac:dyDescent="0.25">
      <c r="A767" s="78"/>
      <c r="B767" s="79"/>
      <c r="C767" s="27"/>
      <c r="D767" s="74"/>
      <c r="E767" s="79"/>
      <c r="F767" s="79"/>
      <c r="G767" s="28"/>
      <c r="H767" s="74"/>
      <c r="I767" s="74"/>
      <c r="J767" s="80"/>
      <c r="K767" s="74"/>
    </row>
    <row r="768" spans="1:11" ht="30" customHeight="1" x14ac:dyDescent="0.25">
      <c r="A768" s="78"/>
      <c r="B768" s="79"/>
      <c r="C768" s="27"/>
      <c r="D768" s="74"/>
      <c r="E768" s="79"/>
      <c r="F768" s="79"/>
      <c r="G768" s="28"/>
      <c r="H768" s="74"/>
      <c r="I768" s="74"/>
      <c r="J768" s="80"/>
      <c r="K768" s="74"/>
    </row>
    <row r="769" spans="1:11" ht="30" customHeight="1" x14ac:dyDescent="0.25">
      <c r="A769" s="78"/>
      <c r="B769" s="79"/>
      <c r="C769" s="27"/>
      <c r="D769" s="74"/>
      <c r="E769" s="79"/>
      <c r="F769" s="79"/>
      <c r="G769" s="28"/>
      <c r="H769" s="74"/>
      <c r="I769" s="74"/>
      <c r="J769" s="80"/>
      <c r="K769" s="74"/>
    </row>
    <row r="770" spans="1:11" ht="30" customHeight="1" x14ac:dyDescent="0.25">
      <c r="A770" s="78"/>
      <c r="B770" s="79"/>
      <c r="C770" s="27"/>
      <c r="D770" s="74"/>
      <c r="E770" s="79"/>
      <c r="F770" s="79"/>
      <c r="G770" s="28"/>
      <c r="H770" s="74"/>
      <c r="I770" s="74"/>
      <c r="J770" s="80"/>
      <c r="K770" s="74"/>
    </row>
    <row r="771" spans="1:11" ht="30" customHeight="1" x14ac:dyDescent="0.25">
      <c r="A771" s="78"/>
      <c r="B771" s="79"/>
      <c r="C771" s="27"/>
      <c r="D771" s="74"/>
      <c r="E771" s="79"/>
      <c r="F771" s="79"/>
      <c r="G771" s="28"/>
      <c r="H771" s="74"/>
      <c r="I771" s="74"/>
      <c r="J771" s="80"/>
      <c r="K771" s="74"/>
    </row>
    <row r="772" spans="1:11" ht="30" customHeight="1" x14ac:dyDescent="0.25">
      <c r="A772" s="78"/>
      <c r="B772" s="79"/>
      <c r="C772" s="27"/>
      <c r="D772" s="74"/>
      <c r="E772" s="79"/>
      <c r="F772" s="79"/>
      <c r="G772" s="28"/>
      <c r="H772" s="74"/>
      <c r="I772" s="74"/>
      <c r="J772" s="80"/>
      <c r="K772" s="74"/>
    </row>
    <row r="773" spans="1:11" ht="30" customHeight="1" x14ac:dyDescent="0.25">
      <c r="A773" s="78"/>
      <c r="B773" s="79"/>
      <c r="C773" s="27"/>
      <c r="D773" s="74"/>
      <c r="E773" s="79"/>
      <c r="F773" s="79"/>
      <c r="G773" s="28"/>
      <c r="H773" s="74"/>
      <c r="I773" s="74"/>
      <c r="J773" s="80"/>
      <c r="K773" s="74"/>
    </row>
    <row r="774" spans="1:11" ht="30" customHeight="1" x14ac:dyDescent="0.25">
      <c r="A774" s="78"/>
      <c r="B774" s="79"/>
      <c r="C774" s="27"/>
      <c r="D774" s="74"/>
      <c r="E774" s="79"/>
      <c r="F774" s="79"/>
      <c r="G774" s="28"/>
      <c r="H774" s="74"/>
      <c r="I774" s="74"/>
      <c r="J774" s="80"/>
      <c r="K774" s="74"/>
    </row>
    <row r="775" spans="1:11" ht="30" customHeight="1" x14ac:dyDescent="0.25">
      <c r="A775" s="78"/>
      <c r="B775" s="79"/>
      <c r="C775" s="27"/>
      <c r="D775" s="74"/>
      <c r="E775" s="79"/>
      <c r="F775" s="79"/>
      <c r="G775" s="28"/>
      <c r="H775" s="74"/>
      <c r="I775" s="74"/>
      <c r="J775" s="80"/>
      <c r="K775" s="74"/>
    </row>
    <row r="776" spans="1:11" ht="30" customHeight="1" x14ac:dyDescent="0.25">
      <c r="A776" s="78"/>
      <c r="B776" s="79"/>
      <c r="C776" s="27"/>
      <c r="D776" s="74"/>
      <c r="E776" s="79"/>
      <c r="F776" s="79"/>
      <c r="G776" s="28"/>
      <c r="H776" s="74"/>
      <c r="I776" s="74"/>
      <c r="J776" s="80"/>
      <c r="K776" s="74"/>
    </row>
    <row r="777" spans="1:11" ht="30" customHeight="1" x14ac:dyDescent="0.25">
      <c r="A777" s="78"/>
      <c r="B777" s="79"/>
      <c r="C777" s="27"/>
      <c r="D777" s="74"/>
      <c r="E777" s="79"/>
      <c r="F777" s="79"/>
      <c r="G777" s="28"/>
      <c r="H777" s="74"/>
      <c r="I777" s="74"/>
      <c r="J777" s="80"/>
      <c r="K777" s="74"/>
    </row>
    <row r="778" spans="1:11" ht="30" customHeight="1" x14ac:dyDescent="0.25">
      <c r="A778" s="78"/>
      <c r="B778" s="79"/>
      <c r="C778" s="27"/>
      <c r="D778" s="74"/>
      <c r="E778" s="79"/>
      <c r="F778" s="79"/>
      <c r="G778" s="28"/>
      <c r="H778" s="74"/>
      <c r="I778" s="74"/>
      <c r="J778" s="80"/>
      <c r="K778" s="74"/>
    </row>
    <row r="779" spans="1:11" ht="30" customHeight="1" x14ac:dyDescent="0.25">
      <c r="A779" s="78"/>
      <c r="B779" s="79"/>
      <c r="C779" s="27"/>
      <c r="D779" s="74"/>
      <c r="E779" s="79"/>
      <c r="F779" s="79"/>
      <c r="G779" s="28"/>
      <c r="H779" s="74"/>
      <c r="I779" s="74"/>
      <c r="J779" s="80"/>
      <c r="K779" s="74"/>
    </row>
    <row r="780" spans="1:11" ht="30" customHeight="1" x14ac:dyDescent="0.25">
      <c r="A780" s="78"/>
      <c r="B780" s="79"/>
      <c r="C780" s="27"/>
      <c r="D780" s="74"/>
      <c r="E780" s="79"/>
      <c r="F780" s="79"/>
      <c r="G780" s="28"/>
      <c r="H780" s="74"/>
      <c r="I780" s="74"/>
      <c r="J780" s="80"/>
      <c r="K780" s="74"/>
    </row>
    <row r="781" spans="1:11" ht="30" customHeight="1" x14ac:dyDescent="0.25">
      <c r="A781" s="78"/>
      <c r="B781" s="79"/>
      <c r="C781" s="27"/>
      <c r="D781" s="74"/>
      <c r="E781" s="79"/>
      <c r="F781" s="79"/>
      <c r="G781" s="28"/>
      <c r="H781" s="74"/>
      <c r="I781" s="74"/>
      <c r="J781" s="80"/>
      <c r="K781" s="74"/>
    </row>
    <row r="782" spans="1:11" ht="30" customHeight="1" x14ac:dyDescent="0.25">
      <c r="A782" s="78"/>
      <c r="B782" s="79"/>
      <c r="C782" s="27"/>
      <c r="D782" s="74"/>
      <c r="E782" s="79"/>
      <c r="F782" s="79"/>
      <c r="G782" s="28"/>
      <c r="H782" s="74"/>
      <c r="I782" s="74"/>
      <c r="J782" s="80"/>
      <c r="K782" s="74"/>
    </row>
    <row r="783" spans="1:11" ht="30" customHeight="1" x14ac:dyDescent="0.25">
      <c r="A783" s="78"/>
      <c r="B783" s="79"/>
      <c r="C783" s="27"/>
      <c r="D783" s="74"/>
      <c r="E783" s="79"/>
      <c r="F783" s="79"/>
      <c r="G783" s="28"/>
      <c r="H783" s="74"/>
      <c r="I783" s="74"/>
      <c r="J783" s="80"/>
      <c r="K783" s="74"/>
    </row>
    <row r="784" spans="1:11" ht="30" customHeight="1" x14ac:dyDescent="0.25">
      <c r="A784" s="78"/>
      <c r="B784" s="79"/>
      <c r="C784" s="27"/>
      <c r="D784" s="74"/>
      <c r="E784" s="79"/>
      <c r="F784" s="79"/>
      <c r="G784" s="28"/>
      <c r="H784" s="74"/>
      <c r="I784" s="74"/>
      <c r="J784" s="80"/>
      <c r="K784" s="74"/>
    </row>
    <row r="785" spans="1:11" ht="30" customHeight="1" x14ac:dyDescent="0.25">
      <c r="A785" s="78"/>
      <c r="B785" s="79"/>
      <c r="C785" s="27"/>
      <c r="D785" s="74"/>
      <c r="E785" s="79"/>
      <c r="F785" s="79"/>
      <c r="G785" s="28"/>
      <c r="H785" s="74"/>
      <c r="I785" s="74"/>
      <c r="J785" s="80"/>
      <c r="K785" s="74"/>
    </row>
    <row r="786" spans="1:11" ht="30" customHeight="1" x14ac:dyDescent="0.25">
      <c r="A786" s="78"/>
      <c r="B786" s="79"/>
      <c r="C786" s="27"/>
      <c r="D786" s="74"/>
      <c r="E786" s="79"/>
      <c r="F786" s="79"/>
      <c r="G786" s="28"/>
      <c r="H786" s="74"/>
      <c r="I786" s="74"/>
      <c r="J786" s="80"/>
      <c r="K786" s="74"/>
    </row>
    <row r="787" spans="1:11" ht="30" customHeight="1" x14ac:dyDescent="0.25">
      <c r="A787" s="78"/>
      <c r="B787" s="79"/>
      <c r="C787" s="27"/>
      <c r="D787" s="74"/>
      <c r="E787" s="79"/>
      <c r="F787" s="79"/>
      <c r="G787" s="28"/>
      <c r="H787" s="74"/>
      <c r="I787" s="74"/>
      <c r="J787" s="80"/>
      <c r="K787" s="74"/>
    </row>
    <row r="788" spans="1:11" ht="30" customHeight="1" x14ac:dyDescent="0.25">
      <c r="A788" s="78"/>
      <c r="B788" s="79"/>
      <c r="C788" s="27"/>
      <c r="D788" s="74"/>
      <c r="E788" s="79"/>
      <c r="F788" s="79"/>
      <c r="G788" s="28"/>
      <c r="H788" s="74"/>
      <c r="I788" s="74"/>
      <c r="J788" s="80"/>
      <c r="K788" s="74"/>
    </row>
    <row r="789" spans="1:11" ht="30" customHeight="1" x14ac:dyDescent="0.25">
      <c r="A789" s="78"/>
      <c r="B789" s="79"/>
      <c r="C789" s="27"/>
      <c r="D789" s="74"/>
      <c r="E789" s="79"/>
      <c r="F789" s="79"/>
      <c r="G789" s="28"/>
      <c r="H789" s="74"/>
      <c r="I789" s="74"/>
      <c r="J789" s="80"/>
      <c r="K789" s="74"/>
    </row>
    <row r="790" spans="1:11" ht="30" customHeight="1" x14ac:dyDescent="0.25">
      <c r="A790" s="78"/>
      <c r="B790" s="79"/>
      <c r="C790" s="27"/>
      <c r="D790" s="74"/>
      <c r="E790" s="79"/>
      <c r="F790" s="79"/>
      <c r="G790" s="28"/>
      <c r="H790" s="74"/>
      <c r="I790" s="74"/>
      <c r="J790" s="80"/>
      <c r="K790" s="74"/>
    </row>
    <row r="791" spans="1:11" ht="30" customHeight="1" x14ac:dyDescent="0.25">
      <c r="A791" s="78"/>
      <c r="B791" s="79"/>
      <c r="C791" s="27"/>
      <c r="D791" s="74"/>
      <c r="E791" s="79"/>
      <c r="F791" s="79"/>
      <c r="G791" s="28"/>
      <c r="H791" s="74"/>
      <c r="I791" s="74"/>
      <c r="J791" s="80"/>
      <c r="K791" s="74"/>
    </row>
    <row r="792" spans="1:11" ht="30" customHeight="1" x14ac:dyDescent="0.25">
      <c r="A792" s="78"/>
      <c r="B792" s="79"/>
      <c r="C792" s="27"/>
      <c r="D792" s="74"/>
      <c r="E792" s="79"/>
      <c r="F792" s="79"/>
      <c r="G792" s="28"/>
      <c r="H792" s="74"/>
      <c r="I792" s="74"/>
      <c r="J792" s="80"/>
      <c r="K792" s="74"/>
    </row>
    <row r="793" spans="1:11" ht="30" customHeight="1" x14ac:dyDescent="0.25">
      <c r="A793" s="78"/>
      <c r="B793" s="79"/>
      <c r="C793" s="27"/>
      <c r="D793" s="74"/>
      <c r="E793" s="79"/>
      <c r="F793" s="79"/>
      <c r="G793" s="28"/>
      <c r="H793" s="74"/>
      <c r="I793" s="74"/>
      <c r="J793" s="80"/>
      <c r="K793" s="74"/>
    </row>
    <row r="794" spans="1:11" ht="30" customHeight="1" x14ac:dyDescent="0.25">
      <c r="A794" s="78"/>
      <c r="B794" s="79"/>
      <c r="C794" s="27"/>
      <c r="D794" s="74"/>
      <c r="E794" s="79"/>
      <c r="F794" s="79"/>
      <c r="G794" s="28"/>
      <c r="H794" s="74"/>
      <c r="I794" s="74"/>
      <c r="J794" s="80"/>
      <c r="K794" s="74"/>
    </row>
    <row r="795" spans="1:11" ht="30" customHeight="1" x14ac:dyDescent="0.25">
      <c r="A795" s="78"/>
      <c r="B795" s="79"/>
      <c r="C795" s="27"/>
      <c r="D795" s="74"/>
      <c r="E795" s="79"/>
      <c r="F795" s="79"/>
      <c r="G795" s="28"/>
      <c r="H795" s="74"/>
      <c r="I795" s="74"/>
      <c r="J795" s="80"/>
      <c r="K795" s="74"/>
    </row>
    <row r="796" spans="1:11" ht="30" customHeight="1" x14ac:dyDescent="0.25">
      <c r="A796" s="78"/>
      <c r="B796" s="79"/>
      <c r="C796" s="27"/>
      <c r="D796" s="74"/>
      <c r="E796" s="79"/>
      <c r="F796" s="79"/>
      <c r="G796" s="28"/>
      <c r="H796" s="74"/>
      <c r="I796" s="74"/>
      <c r="J796" s="80"/>
      <c r="K796" s="74"/>
    </row>
    <row r="797" spans="1:11" ht="30" customHeight="1" x14ac:dyDescent="0.25">
      <c r="A797" s="78"/>
      <c r="B797" s="79"/>
      <c r="C797" s="27"/>
      <c r="D797" s="74"/>
      <c r="E797" s="79"/>
      <c r="F797" s="79"/>
      <c r="G797" s="28"/>
      <c r="H797" s="74"/>
      <c r="I797" s="74"/>
      <c r="J797" s="80"/>
      <c r="K797" s="74"/>
    </row>
    <row r="798" spans="1:11" ht="30" customHeight="1" x14ac:dyDescent="0.25">
      <c r="A798" s="78"/>
      <c r="B798" s="79"/>
      <c r="C798" s="27"/>
      <c r="D798" s="74"/>
      <c r="E798" s="79"/>
      <c r="F798" s="79"/>
      <c r="G798" s="28"/>
      <c r="H798" s="74"/>
      <c r="I798" s="74"/>
      <c r="J798" s="80"/>
      <c r="K798" s="74"/>
    </row>
    <row r="799" spans="1:11" ht="30" customHeight="1" x14ac:dyDescent="0.25">
      <c r="A799" s="78"/>
      <c r="B799" s="79"/>
      <c r="C799" s="27"/>
      <c r="D799" s="74"/>
      <c r="E799" s="79"/>
      <c r="F799" s="79"/>
      <c r="G799" s="28"/>
      <c r="H799" s="74"/>
      <c r="I799" s="74"/>
      <c r="J799" s="80"/>
      <c r="K799" s="74"/>
    </row>
    <row r="800" spans="1:11" ht="30" customHeight="1" x14ac:dyDescent="0.25">
      <c r="A800" s="78"/>
      <c r="B800" s="79"/>
      <c r="C800" s="27"/>
      <c r="D800" s="74"/>
      <c r="E800" s="79"/>
      <c r="F800" s="79"/>
      <c r="G800" s="28"/>
      <c r="H800" s="74"/>
      <c r="I800" s="74"/>
      <c r="J800" s="80"/>
      <c r="K800" s="74"/>
    </row>
    <row r="801" spans="1:11" ht="30" customHeight="1" x14ac:dyDescent="0.25">
      <c r="A801" s="78"/>
      <c r="B801" s="79"/>
      <c r="C801" s="27"/>
      <c r="D801" s="74"/>
      <c r="E801" s="79"/>
      <c r="F801" s="79"/>
      <c r="G801" s="28"/>
      <c r="H801" s="74"/>
      <c r="I801" s="74"/>
      <c r="J801" s="80"/>
      <c r="K801" s="74"/>
    </row>
    <row r="802" spans="1:11" ht="30" customHeight="1" x14ac:dyDescent="0.25">
      <c r="A802" s="78"/>
      <c r="B802" s="79"/>
      <c r="C802" s="27"/>
      <c r="D802" s="74"/>
      <c r="E802" s="79"/>
      <c r="F802" s="79"/>
      <c r="G802" s="28"/>
      <c r="H802" s="74"/>
      <c r="I802" s="74"/>
      <c r="J802" s="80"/>
      <c r="K802" s="74"/>
    </row>
    <row r="803" spans="1:11" ht="30" customHeight="1" x14ac:dyDescent="0.25">
      <c r="A803" s="78"/>
      <c r="B803" s="79"/>
      <c r="C803" s="27"/>
      <c r="D803" s="74"/>
      <c r="E803" s="79"/>
      <c r="F803" s="79"/>
      <c r="G803" s="28"/>
      <c r="H803" s="74"/>
      <c r="I803" s="74"/>
      <c r="J803" s="80"/>
      <c r="K803" s="74"/>
    </row>
    <row r="804" spans="1:11" ht="30" customHeight="1" x14ac:dyDescent="0.25">
      <c r="A804" s="78"/>
      <c r="B804" s="79"/>
      <c r="C804" s="27"/>
      <c r="D804" s="74"/>
      <c r="E804" s="79"/>
      <c r="F804" s="79"/>
      <c r="G804" s="28"/>
      <c r="H804" s="74"/>
      <c r="I804" s="74"/>
      <c r="J804" s="80"/>
      <c r="K804" s="74"/>
    </row>
    <row r="805" spans="1:11" ht="30" customHeight="1" x14ac:dyDescent="0.25">
      <c r="A805" s="78"/>
      <c r="B805" s="79"/>
      <c r="C805" s="27"/>
      <c r="D805" s="74"/>
      <c r="E805" s="79"/>
      <c r="F805" s="79"/>
      <c r="G805" s="28"/>
      <c r="H805" s="74"/>
      <c r="I805" s="74"/>
      <c r="J805" s="80"/>
      <c r="K805" s="74"/>
    </row>
    <row r="806" spans="1:11" ht="30" customHeight="1" x14ac:dyDescent="0.25">
      <c r="A806" s="78"/>
      <c r="B806" s="79"/>
      <c r="C806" s="27"/>
      <c r="D806" s="74"/>
      <c r="E806" s="79"/>
      <c r="F806" s="79"/>
      <c r="G806" s="28"/>
      <c r="H806" s="74"/>
      <c r="I806" s="74"/>
      <c r="J806" s="80"/>
      <c r="K806" s="74"/>
    </row>
    <row r="807" spans="1:11" ht="30" customHeight="1" x14ac:dyDescent="0.25">
      <c r="A807" s="78"/>
      <c r="B807" s="79"/>
      <c r="C807" s="27"/>
      <c r="D807" s="74"/>
      <c r="E807" s="79"/>
      <c r="F807" s="79"/>
      <c r="G807" s="28"/>
      <c r="H807" s="74"/>
      <c r="I807" s="74"/>
      <c r="J807" s="80"/>
      <c r="K807" s="74"/>
    </row>
    <row r="808" spans="1:11" ht="30" customHeight="1" x14ac:dyDescent="0.25">
      <c r="A808" s="78"/>
      <c r="B808" s="79"/>
      <c r="C808" s="27"/>
      <c r="D808" s="74"/>
      <c r="E808" s="79"/>
      <c r="F808" s="79"/>
      <c r="G808" s="28"/>
      <c r="H808" s="74"/>
      <c r="I808" s="74"/>
      <c r="J808" s="80"/>
      <c r="K808" s="74"/>
    </row>
    <row r="809" spans="1:11" ht="30" customHeight="1" x14ac:dyDescent="0.25">
      <c r="A809" s="78"/>
      <c r="B809" s="79"/>
      <c r="C809" s="27"/>
      <c r="D809" s="74"/>
      <c r="E809" s="79"/>
      <c r="F809" s="79"/>
      <c r="G809" s="28"/>
      <c r="H809" s="74"/>
      <c r="I809" s="74"/>
      <c r="J809" s="80"/>
      <c r="K809" s="74"/>
    </row>
    <row r="810" spans="1:11" ht="30" customHeight="1" x14ac:dyDescent="0.25">
      <c r="A810" s="78"/>
      <c r="B810" s="79"/>
      <c r="C810" s="27"/>
      <c r="D810" s="74"/>
      <c r="E810" s="79"/>
      <c r="F810" s="79"/>
      <c r="G810" s="28"/>
      <c r="H810" s="74"/>
      <c r="I810" s="74"/>
      <c r="J810" s="80"/>
      <c r="K810" s="74"/>
    </row>
    <row r="811" spans="1:11" ht="30" customHeight="1" x14ac:dyDescent="0.25">
      <c r="A811" s="78"/>
      <c r="B811" s="79"/>
      <c r="C811" s="27"/>
      <c r="D811" s="74"/>
      <c r="E811" s="79"/>
      <c r="F811" s="79"/>
      <c r="G811" s="28"/>
      <c r="H811" s="74"/>
      <c r="I811" s="74"/>
      <c r="J811" s="80"/>
      <c r="K811" s="74"/>
    </row>
    <row r="812" spans="1:11" ht="30" customHeight="1" x14ac:dyDescent="0.25">
      <c r="A812" s="78"/>
      <c r="B812" s="79"/>
      <c r="C812" s="27"/>
      <c r="D812" s="74"/>
      <c r="E812" s="79"/>
      <c r="F812" s="79"/>
      <c r="G812" s="28"/>
      <c r="H812" s="74"/>
      <c r="I812" s="74"/>
      <c r="J812" s="80"/>
      <c r="K812" s="74"/>
    </row>
    <row r="813" spans="1:11" ht="30" customHeight="1" x14ac:dyDescent="0.25">
      <c r="A813" s="78"/>
      <c r="B813" s="79"/>
      <c r="C813" s="27"/>
      <c r="D813" s="74"/>
      <c r="E813" s="79"/>
      <c r="F813" s="79"/>
      <c r="G813" s="28"/>
      <c r="H813" s="74"/>
      <c r="I813" s="74"/>
      <c r="J813" s="80"/>
      <c r="K813" s="74"/>
    </row>
    <row r="814" spans="1:11" ht="30" customHeight="1" x14ac:dyDescent="0.25">
      <c r="A814" s="78"/>
      <c r="B814" s="79"/>
      <c r="C814" s="27"/>
      <c r="D814" s="74"/>
      <c r="E814" s="79"/>
      <c r="F814" s="79"/>
      <c r="G814" s="28"/>
      <c r="H814" s="74"/>
      <c r="I814" s="74"/>
      <c r="J814" s="80"/>
      <c r="K814" s="74"/>
    </row>
    <row r="815" spans="1:11" ht="30" customHeight="1" x14ac:dyDescent="0.25">
      <c r="A815" s="78"/>
      <c r="B815" s="79"/>
      <c r="C815" s="27"/>
      <c r="D815" s="74"/>
      <c r="E815" s="79"/>
      <c r="F815" s="79"/>
      <c r="G815" s="28"/>
      <c r="H815" s="74"/>
      <c r="I815" s="74"/>
      <c r="J815" s="80"/>
      <c r="K815" s="74"/>
    </row>
    <row r="816" spans="1:11" ht="30" customHeight="1" x14ac:dyDescent="0.25">
      <c r="A816" s="78"/>
      <c r="B816" s="79"/>
      <c r="C816" s="27"/>
      <c r="D816" s="74"/>
      <c r="E816" s="79"/>
      <c r="F816" s="79"/>
      <c r="G816" s="28"/>
      <c r="H816" s="74"/>
      <c r="I816" s="74"/>
      <c r="J816" s="80"/>
      <c r="K816" s="74"/>
    </row>
    <row r="817" spans="1:11" ht="30" customHeight="1" x14ac:dyDescent="0.25">
      <c r="A817" s="78"/>
      <c r="B817" s="79"/>
      <c r="C817" s="27"/>
      <c r="D817" s="74"/>
      <c r="E817" s="79"/>
      <c r="F817" s="79"/>
      <c r="G817" s="28"/>
      <c r="H817" s="74"/>
      <c r="I817" s="74"/>
      <c r="J817" s="80"/>
      <c r="K817" s="74"/>
    </row>
    <row r="818" spans="1:11" ht="30" customHeight="1" x14ac:dyDescent="0.25">
      <c r="A818" s="78"/>
      <c r="B818" s="79"/>
      <c r="C818" s="27"/>
      <c r="D818" s="74"/>
      <c r="E818" s="79"/>
      <c r="F818" s="79"/>
      <c r="G818" s="28"/>
      <c r="H818" s="74"/>
      <c r="I818" s="74"/>
      <c r="J818" s="80"/>
      <c r="K818" s="74"/>
    </row>
    <row r="819" spans="1:11" ht="30" customHeight="1" x14ac:dyDescent="0.25">
      <c r="A819" s="78"/>
      <c r="B819" s="79"/>
      <c r="C819" s="27"/>
      <c r="D819" s="74"/>
      <c r="E819" s="79"/>
      <c r="F819" s="79"/>
      <c r="G819" s="28"/>
      <c r="H819" s="74"/>
      <c r="I819" s="74"/>
      <c r="J819" s="80"/>
      <c r="K819" s="74"/>
    </row>
    <row r="820" spans="1:11" ht="30" customHeight="1" x14ac:dyDescent="0.25">
      <c r="A820" s="78"/>
      <c r="B820" s="79"/>
      <c r="C820" s="27"/>
      <c r="D820" s="74"/>
      <c r="E820" s="79"/>
      <c r="F820" s="79"/>
      <c r="G820" s="28"/>
      <c r="H820" s="74"/>
      <c r="I820" s="74"/>
      <c r="J820" s="80"/>
      <c r="K820" s="74"/>
    </row>
    <row r="821" spans="1:11" ht="30" customHeight="1" x14ac:dyDescent="0.25">
      <c r="A821" s="78"/>
      <c r="B821" s="79"/>
      <c r="C821" s="27"/>
      <c r="D821" s="74"/>
      <c r="E821" s="79"/>
      <c r="F821" s="79"/>
      <c r="G821" s="28"/>
      <c r="H821" s="74"/>
      <c r="I821" s="74"/>
      <c r="J821" s="80"/>
      <c r="K821" s="74"/>
    </row>
    <row r="822" spans="1:11" ht="30" customHeight="1" x14ac:dyDescent="0.25">
      <c r="A822" s="78"/>
      <c r="B822" s="79"/>
      <c r="C822" s="27"/>
      <c r="D822" s="74"/>
      <c r="E822" s="79"/>
      <c r="F822" s="79"/>
      <c r="G822" s="28"/>
      <c r="H822" s="74"/>
      <c r="I822" s="74"/>
      <c r="J822" s="80"/>
      <c r="K822" s="74"/>
    </row>
    <row r="823" spans="1:11" ht="30" customHeight="1" x14ac:dyDescent="0.25">
      <c r="A823" s="78"/>
      <c r="B823" s="79"/>
      <c r="C823" s="27"/>
      <c r="D823" s="74"/>
      <c r="E823" s="79"/>
      <c r="F823" s="79"/>
      <c r="G823" s="28"/>
      <c r="H823" s="74"/>
      <c r="I823" s="74"/>
      <c r="J823" s="80"/>
      <c r="K823" s="74"/>
    </row>
    <row r="824" spans="1:11" ht="30" customHeight="1" x14ac:dyDescent="0.25">
      <c r="A824" s="78"/>
      <c r="B824" s="79"/>
      <c r="C824" s="27"/>
      <c r="D824" s="74"/>
      <c r="E824" s="79"/>
      <c r="F824" s="79"/>
      <c r="G824" s="28"/>
      <c r="H824" s="74"/>
      <c r="I824" s="74"/>
      <c r="J824" s="80"/>
      <c r="K824" s="74"/>
    </row>
    <row r="825" spans="1:11" ht="30" customHeight="1" x14ac:dyDescent="0.25">
      <c r="A825" s="78"/>
      <c r="B825" s="79"/>
      <c r="C825" s="27"/>
      <c r="D825" s="74"/>
      <c r="E825" s="79"/>
      <c r="F825" s="79"/>
      <c r="G825" s="28"/>
      <c r="H825" s="74"/>
      <c r="I825" s="74"/>
      <c r="J825" s="80"/>
      <c r="K825" s="74"/>
    </row>
    <row r="826" spans="1:11" ht="30" customHeight="1" x14ac:dyDescent="0.25">
      <c r="A826" s="78"/>
      <c r="B826" s="79"/>
      <c r="C826" s="27"/>
      <c r="D826" s="74"/>
      <c r="E826" s="79"/>
      <c r="F826" s="79"/>
      <c r="G826" s="28"/>
      <c r="H826" s="74"/>
      <c r="I826" s="74"/>
      <c r="J826" s="80"/>
      <c r="K826" s="74"/>
    </row>
    <row r="827" spans="1:11" ht="30" customHeight="1" x14ac:dyDescent="0.25">
      <c r="A827" s="78"/>
      <c r="B827" s="79"/>
      <c r="C827" s="27"/>
      <c r="D827" s="74"/>
      <c r="E827" s="79"/>
      <c r="F827" s="79"/>
      <c r="G827" s="28"/>
      <c r="H827" s="74"/>
      <c r="I827" s="74"/>
      <c r="J827" s="80"/>
      <c r="K827" s="74"/>
    </row>
    <row r="828" spans="1:11" ht="30" customHeight="1" x14ac:dyDescent="0.25">
      <c r="A828" s="78"/>
      <c r="B828" s="79"/>
      <c r="C828" s="27"/>
      <c r="D828" s="74"/>
      <c r="E828" s="79"/>
      <c r="F828" s="79"/>
      <c r="G828" s="28"/>
      <c r="H828" s="74"/>
      <c r="I828" s="74"/>
      <c r="J828" s="80"/>
      <c r="K828" s="74"/>
    </row>
    <row r="829" spans="1:11" ht="30" customHeight="1" x14ac:dyDescent="0.25">
      <c r="A829" s="78"/>
      <c r="B829" s="79"/>
      <c r="C829" s="27"/>
      <c r="D829" s="74"/>
      <c r="E829" s="79"/>
      <c r="F829" s="79"/>
      <c r="G829" s="28"/>
      <c r="H829" s="74"/>
      <c r="I829" s="74"/>
      <c r="J829" s="80"/>
      <c r="K829" s="74"/>
    </row>
    <row r="830" spans="1:11" ht="30" customHeight="1" x14ac:dyDescent="0.25">
      <c r="A830" s="78"/>
      <c r="B830" s="79"/>
      <c r="C830" s="27"/>
      <c r="D830" s="74"/>
      <c r="E830" s="79"/>
      <c r="F830" s="79"/>
      <c r="G830" s="28"/>
      <c r="H830" s="74"/>
      <c r="I830" s="74"/>
      <c r="J830" s="80"/>
      <c r="K830" s="74"/>
    </row>
    <row r="831" spans="1:11" ht="30" customHeight="1" x14ac:dyDescent="0.25">
      <c r="A831" s="78"/>
      <c r="B831" s="79"/>
      <c r="C831" s="27"/>
      <c r="D831" s="74"/>
      <c r="E831" s="79"/>
      <c r="F831" s="79"/>
      <c r="G831" s="28"/>
      <c r="H831" s="74"/>
      <c r="I831" s="74"/>
      <c r="J831" s="80"/>
      <c r="K831" s="74"/>
    </row>
    <row r="832" spans="1:11" ht="30" customHeight="1" x14ac:dyDescent="0.25">
      <c r="A832" s="78"/>
      <c r="B832" s="79"/>
      <c r="C832" s="27"/>
      <c r="D832" s="74"/>
      <c r="E832" s="79"/>
      <c r="F832" s="79"/>
      <c r="G832" s="28"/>
      <c r="H832" s="74"/>
      <c r="I832" s="74"/>
      <c r="J832" s="80"/>
      <c r="K832" s="74"/>
    </row>
    <row r="833" spans="1:11" ht="30" customHeight="1" x14ac:dyDescent="0.25">
      <c r="A833" s="78"/>
      <c r="B833" s="79"/>
      <c r="C833" s="27"/>
      <c r="D833" s="74"/>
      <c r="E833" s="79"/>
      <c r="F833" s="79"/>
      <c r="G833" s="28"/>
      <c r="H833" s="74"/>
      <c r="I833" s="74"/>
      <c r="J833" s="80"/>
      <c r="K833" s="74"/>
    </row>
    <row r="834" spans="1:11" ht="30" customHeight="1" x14ac:dyDescent="0.25">
      <c r="A834" s="78"/>
      <c r="B834" s="79"/>
      <c r="C834" s="27"/>
      <c r="D834" s="74"/>
      <c r="E834" s="79"/>
      <c r="F834" s="79"/>
      <c r="G834" s="28"/>
      <c r="H834" s="74"/>
      <c r="I834" s="74"/>
      <c r="J834" s="80"/>
      <c r="K834" s="74"/>
    </row>
    <row r="835" spans="1:11" ht="30" customHeight="1" x14ac:dyDescent="0.25">
      <c r="A835" s="78"/>
      <c r="B835" s="79"/>
      <c r="C835" s="27"/>
      <c r="D835" s="74"/>
      <c r="E835" s="79"/>
      <c r="F835" s="79"/>
      <c r="G835" s="28"/>
      <c r="H835" s="74"/>
      <c r="I835" s="74"/>
      <c r="J835" s="80"/>
      <c r="K835" s="74"/>
    </row>
    <row r="836" spans="1:11" ht="30" customHeight="1" x14ac:dyDescent="0.25">
      <c r="A836" s="78"/>
      <c r="B836" s="79"/>
      <c r="C836" s="27"/>
      <c r="D836" s="74"/>
      <c r="E836" s="79"/>
      <c r="F836" s="79"/>
      <c r="G836" s="28"/>
      <c r="H836" s="74"/>
      <c r="I836" s="74"/>
      <c r="J836" s="80"/>
      <c r="K836" s="74"/>
    </row>
    <row r="837" spans="1:11" ht="30" customHeight="1" x14ac:dyDescent="0.25">
      <c r="A837" s="78"/>
      <c r="B837" s="79"/>
      <c r="C837" s="27"/>
      <c r="D837" s="74"/>
      <c r="E837" s="79"/>
      <c r="F837" s="79"/>
      <c r="G837" s="28"/>
      <c r="H837" s="74"/>
      <c r="I837" s="74"/>
      <c r="J837" s="80"/>
      <c r="K837" s="74"/>
    </row>
    <row r="838" spans="1:11" ht="30" customHeight="1" x14ac:dyDescent="0.25">
      <c r="A838" s="78"/>
      <c r="B838" s="79"/>
      <c r="C838" s="27"/>
      <c r="D838" s="74"/>
      <c r="E838" s="79"/>
      <c r="F838" s="79"/>
      <c r="G838" s="28"/>
      <c r="H838" s="74"/>
      <c r="I838" s="74"/>
      <c r="J838" s="80"/>
      <c r="K838" s="74"/>
    </row>
    <row r="839" spans="1:11" ht="30" customHeight="1" x14ac:dyDescent="0.25">
      <c r="A839" s="78"/>
      <c r="B839" s="79"/>
      <c r="C839" s="27"/>
      <c r="D839" s="74"/>
      <c r="E839" s="79"/>
      <c r="F839" s="79"/>
      <c r="G839" s="28"/>
      <c r="H839" s="74"/>
      <c r="I839" s="74"/>
      <c r="J839" s="80"/>
      <c r="K839" s="74"/>
    </row>
    <row r="840" spans="1:11" ht="30" customHeight="1" x14ac:dyDescent="0.25">
      <c r="A840" s="78"/>
      <c r="B840" s="79"/>
      <c r="C840" s="27"/>
      <c r="D840" s="74"/>
      <c r="E840" s="79"/>
      <c r="F840" s="79"/>
      <c r="G840" s="28"/>
      <c r="H840" s="74"/>
      <c r="I840" s="74"/>
      <c r="J840" s="80"/>
      <c r="K840" s="74"/>
    </row>
    <row r="841" spans="1:11" ht="30" customHeight="1" x14ac:dyDescent="0.25">
      <c r="A841" s="78"/>
      <c r="B841" s="79"/>
      <c r="C841" s="27"/>
      <c r="D841" s="74"/>
      <c r="E841" s="79"/>
      <c r="F841" s="79"/>
      <c r="G841" s="28"/>
      <c r="H841" s="74"/>
      <c r="I841" s="74"/>
      <c r="J841" s="80"/>
      <c r="K841" s="74"/>
    </row>
    <row r="842" spans="1:11" ht="30" customHeight="1" x14ac:dyDescent="0.25">
      <c r="A842" s="78"/>
      <c r="B842" s="79"/>
      <c r="C842" s="27"/>
      <c r="D842" s="74"/>
      <c r="E842" s="79"/>
      <c r="F842" s="79"/>
      <c r="G842" s="28"/>
      <c r="H842" s="74"/>
      <c r="I842" s="74"/>
      <c r="J842" s="80"/>
      <c r="K842" s="74"/>
    </row>
    <row r="843" spans="1:11" ht="30" customHeight="1" x14ac:dyDescent="0.25">
      <c r="A843" s="78"/>
      <c r="B843" s="79"/>
      <c r="C843" s="27"/>
      <c r="D843" s="74"/>
      <c r="E843" s="79"/>
      <c r="F843" s="79"/>
      <c r="G843" s="28"/>
      <c r="H843" s="74"/>
      <c r="I843" s="74"/>
      <c r="J843" s="80"/>
      <c r="K843" s="74"/>
    </row>
    <row r="844" spans="1:11" ht="30" customHeight="1" x14ac:dyDescent="0.25">
      <c r="A844" s="78"/>
      <c r="B844" s="79"/>
      <c r="C844" s="27"/>
      <c r="D844" s="74"/>
      <c r="E844" s="79"/>
      <c r="F844" s="79"/>
      <c r="G844" s="28"/>
      <c r="H844" s="74"/>
      <c r="I844" s="74"/>
      <c r="J844" s="80"/>
      <c r="K844" s="74"/>
    </row>
    <row r="845" spans="1:11" ht="30" customHeight="1" x14ac:dyDescent="0.25">
      <c r="A845" s="78"/>
      <c r="B845" s="79"/>
      <c r="C845" s="27"/>
      <c r="D845" s="74"/>
      <c r="E845" s="79"/>
      <c r="F845" s="79"/>
      <c r="G845" s="28"/>
      <c r="H845" s="74"/>
      <c r="I845" s="74"/>
      <c r="J845" s="80"/>
      <c r="K845" s="74"/>
    </row>
    <row r="846" spans="1:11" ht="30" customHeight="1" x14ac:dyDescent="0.25">
      <c r="A846" s="78"/>
      <c r="B846" s="79"/>
      <c r="C846" s="27"/>
      <c r="D846" s="74"/>
      <c r="E846" s="79"/>
      <c r="F846" s="79"/>
      <c r="G846" s="28"/>
      <c r="H846" s="74"/>
      <c r="I846" s="74"/>
      <c r="J846" s="80"/>
      <c r="K846" s="74"/>
    </row>
    <row r="847" spans="1:11" ht="30" customHeight="1" x14ac:dyDescent="0.25">
      <c r="A847" s="78"/>
      <c r="B847" s="79"/>
      <c r="C847" s="27"/>
      <c r="D847" s="74"/>
      <c r="E847" s="79"/>
      <c r="F847" s="79"/>
      <c r="G847" s="28"/>
      <c r="H847" s="74"/>
      <c r="I847" s="74"/>
      <c r="J847" s="80"/>
      <c r="K847" s="74"/>
    </row>
    <row r="848" spans="1:11" ht="30" customHeight="1" x14ac:dyDescent="0.25">
      <c r="A848" s="78"/>
      <c r="B848" s="79"/>
      <c r="C848" s="27"/>
      <c r="D848" s="74"/>
      <c r="E848" s="79"/>
      <c r="F848" s="79"/>
      <c r="G848" s="28"/>
      <c r="H848" s="74"/>
      <c r="I848" s="74"/>
      <c r="J848" s="80"/>
      <c r="K848" s="74"/>
    </row>
    <row r="849" spans="1:11" ht="30" customHeight="1" x14ac:dyDescent="0.25">
      <c r="A849" s="78"/>
      <c r="B849" s="79"/>
      <c r="C849" s="27"/>
      <c r="D849" s="74"/>
      <c r="E849" s="79"/>
      <c r="F849" s="79"/>
      <c r="G849" s="28"/>
      <c r="H849" s="74"/>
      <c r="I849" s="74"/>
      <c r="J849" s="80"/>
      <c r="K849" s="74"/>
    </row>
    <row r="850" spans="1:11" ht="30" customHeight="1" x14ac:dyDescent="0.25">
      <c r="A850" s="78"/>
      <c r="B850" s="79"/>
      <c r="C850" s="27"/>
      <c r="D850" s="74"/>
      <c r="E850" s="79"/>
      <c r="F850" s="79"/>
      <c r="G850" s="28"/>
      <c r="H850" s="74"/>
      <c r="I850" s="74"/>
      <c r="J850" s="80"/>
      <c r="K850" s="74"/>
    </row>
    <row r="851" spans="1:11" ht="30" customHeight="1" x14ac:dyDescent="0.25">
      <c r="A851" s="78"/>
      <c r="B851" s="79"/>
      <c r="C851" s="27"/>
      <c r="D851" s="74"/>
      <c r="E851" s="79"/>
      <c r="F851" s="79"/>
      <c r="G851" s="28"/>
      <c r="H851" s="74"/>
      <c r="I851" s="74"/>
      <c r="J851" s="80"/>
      <c r="K851" s="74"/>
    </row>
    <row r="852" spans="1:11" ht="30" customHeight="1" x14ac:dyDescent="0.25">
      <c r="A852" s="78"/>
      <c r="B852" s="79"/>
      <c r="C852" s="27"/>
      <c r="D852" s="74"/>
      <c r="E852" s="79"/>
      <c r="F852" s="79"/>
      <c r="G852" s="28"/>
      <c r="H852" s="74"/>
      <c r="I852" s="74"/>
      <c r="J852" s="80"/>
      <c r="K852" s="74"/>
    </row>
    <row r="853" spans="1:11" ht="30" customHeight="1" x14ac:dyDescent="0.25">
      <c r="A853" s="78"/>
      <c r="B853" s="79"/>
      <c r="C853" s="27"/>
      <c r="D853" s="74"/>
      <c r="E853" s="79"/>
      <c r="F853" s="79"/>
      <c r="G853" s="28"/>
      <c r="H853" s="74"/>
      <c r="I853" s="74"/>
      <c r="J853" s="80"/>
      <c r="K853" s="74"/>
    </row>
    <row r="854" spans="1:11" ht="30" customHeight="1" x14ac:dyDescent="0.25">
      <c r="A854" s="78"/>
      <c r="B854" s="79"/>
      <c r="C854" s="27"/>
      <c r="D854" s="74"/>
      <c r="E854" s="79"/>
      <c r="F854" s="79"/>
      <c r="G854" s="28"/>
      <c r="H854" s="74"/>
      <c r="I854" s="74"/>
      <c r="J854" s="80"/>
      <c r="K854" s="74"/>
    </row>
    <row r="855" spans="1:11" ht="30" customHeight="1" x14ac:dyDescent="0.25">
      <c r="A855" s="78"/>
      <c r="B855" s="79"/>
      <c r="C855" s="27"/>
      <c r="D855" s="74"/>
      <c r="E855" s="79"/>
      <c r="F855" s="79"/>
      <c r="G855" s="28"/>
      <c r="H855" s="74"/>
      <c r="I855" s="74"/>
      <c r="J855" s="80"/>
      <c r="K855" s="74"/>
    </row>
    <row r="856" spans="1:11" ht="30" customHeight="1" x14ac:dyDescent="0.25">
      <c r="A856" s="78"/>
      <c r="B856" s="79"/>
      <c r="C856" s="27"/>
      <c r="D856" s="74"/>
      <c r="E856" s="79"/>
      <c r="F856" s="79"/>
      <c r="G856" s="28"/>
      <c r="H856" s="74"/>
      <c r="I856" s="74"/>
      <c r="J856" s="80"/>
      <c r="K856" s="74"/>
    </row>
    <row r="857" spans="1:11" ht="30" customHeight="1" x14ac:dyDescent="0.25">
      <c r="A857" s="78"/>
      <c r="B857" s="79"/>
      <c r="C857" s="27"/>
      <c r="D857" s="74"/>
      <c r="E857" s="79"/>
      <c r="F857" s="79"/>
      <c r="G857" s="28"/>
      <c r="H857" s="74"/>
      <c r="I857" s="74"/>
      <c r="J857" s="80"/>
      <c r="K857" s="74"/>
    </row>
    <row r="858" spans="1:11" ht="30" customHeight="1" x14ac:dyDescent="0.25">
      <c r="A858" s="78"/>
      <c r="B858" s="79"/>
      <c r="C858" s="27"/>
      <c r="D858" s="74"/>
      <c r="E858" s="79"/>
      <c r="F858" s="79"/>
      <c r="G858" s="28"/>
      <c r="H858" s="74"/>
      <c r="I858" s="74"/>
      <c r="J858" s="80"/>
      <c r="K858" s="74"/>
    </row>
    <row r="859" spans="1:11" ht="30" customHeight="1" x14ac:dyDescent="0.25">
      <c r="A859" s="78"/>
      <c r="B859" s="79"/>
      <c r="C859" s="27"/>
      <c r="D859" s="74"/>
      <c r="E859" s="79"/>
      <c r="F859" s="79"/>
      <c r="G859" s="28"/>
      <c r="H859" s="74"/>
      <c r="I859" s="74"/>
      <c r="J859" s="80"/>
      <c r="K859" s="74"/>
    </row>
    <row r="860" spans="1:11" ht="30" customHeight="1" x14ac:dyDescent="0.25">
      <c r="A860" s="78"/>
      <c r="B860" s="79"/>
      <c r="C860" s="27"/>
      <c r="D860" s="74"/>
      <c r="E860" s="79"/>
      <c r="F860" s="79"/>
      <c r="G860" s="28"/>
      <c r="H860" s="74"/>
      <c r="I860" s="74"/>
      <c r="J860" s="80"/>
      <c r="K860" s="74"/>
    </row>
    <row r="861" spans="1:11" ht="30" customHeight="1" x14ac:dyDescent="0.25">
      <c r="A861" s="78"/>
      <c r="B861" s="79"/>
      <c r="C861" s="27"/>
      <c r="D861" s="74"/>
      <c r="E861" s="79"/>
      <c r="F861" s="79"/>
      <c r="G861" s="28"/>
      <c r="H861" s="74"/>
      <c r="I861" s="74"/>
      <c r="J861" s="80"/>
      <c r="K861" s="74"/>
    </row>
    <row r="862" spans="1:11" ht="30" customHeight="1" x14ac:dyDescent="0.25">
      <c r="A862" s="78"/>
      <c r="B862" s="79"/>
      <c r="C862" s="27"/>
      <c r="D862" s="74"/>
      <c r="E862" s="79"/>
      <c r="F862" s="79"/>
      <c r="G862" s="28"/>
      <c r="H862" s="74"/>
      <c r="I862" s="74"/>
      <c r="J862" s="80"/>
      <c r="K862" s="74"/>
    </row>
    <row r="863" spans="1:11" ht="30" customHeight="1" x14ac:dyDescent="0.25">
      <c r="A863" s="78"/>
      <c r="B863" s="79"/>
      <c r="C863" s="27"/>
      <c r="D863" s="74"/>
      <c r="E863" s="79"/>
      <c r="F863" s="79"/>
      <c r="G863" s="28"/>
      <c r="H863" s="74"/>
      <c r="I863" s="74"/>
      <c r="J863" s="80"/>
      <c r="K863" s="74"/>
    </row>
    <row r="864" spans="1:11" ht="30" customHeight="1" x14ac:dyDescent="0.25">
      <c r="A864" s="78"/>
      <c r="B864" s="79"/>
      <c r="C864" s="27"/>
      <c r="D864" s="74"/>
      <c r="E864" s="79"/>
      <c r="F864" s="79"/>
      <c r="G864" s="28"/>
      <c r="H864" s="74"/>
      <c r="I864" s="74"/>
      <c r="J864" s="80"/>
      <c r="K864" s="74"/>
    </row>
    <row r="865" spans="1:11" ht="30" customHeight="1" x14ac:dyDescent="0.25">
      <c r="A865" s="78"/>
      <c r="B865" s="79"/>
      <c r="C865" s="27"/>
      <c r="D865" s="74"/>
      <c r="E865" s="79"/>
      <c r="F865" s="79"/>
      <c r="G865" s="28"/>
      <c r="H865" s="74"/>
      <c r="I865" s="74"/>
      <c r="J865" s="80"/>
      <c r="K865" s="74"/>
    </row>
    <row r="866" spans="1:11" ht="30" customHeight="1" x14ac:dyDescent="0.25">
      <c r="A866" s="78"/>
      <c r="B866" s="79"/>
      <c r="C866" s="27"/>
      <c r="D866" s="74"/>
      <c r="E866" s="79"/>
      <c r="F866" s="79"/>
      <c r="G866" s="28"/>
      <c r="H866" s="74"/>
      <c r="I866" s="74"/>
      <c r="J866" s="80"/>
      <c r="K866" s="74"/>
    </row>
    <row r="867" spans="1:11" ht="30" customHeight="1" x14ac:dyDescent="0.25">
      <c r="A867" s="78"/>
      <c r="B867" s="79"/>
      <c r="C867" s="27"/>
      <c r="D867" s="74"/>
      <c r="E867" s="79"/>
      <c r="F867" s="79"/>
      <c r="G867" s="28"/>
      <c r="H867" s="74"/>
      <c r="I867" s="74"/>
      <c r="J867" s="80"/>
      <c r="K867" s="74"/>
    </row>
    <row r="868" spans="1:11" ht="30" customHeight="1" x14ac:dyDescent="0.25">
      <c r="A868" s="78"/>
      <c r="B868" s="79"/>
      <c r="C868" s="27"/>
      <c r="D868" s="74"/>
      <c r="E868" s="79"/>
      <c r="F868" s="79"/>
      <c r="G868" s="28"/>
      <c r="H868" s="74"/>
      <c r="I868" s="74"/>
      <c r="J868" s="80"/>
      <c r="K868" s="74"/>
    </row>
    <row r="869" spans="1:11" ht="30" customHeight="1" x14ac:dyDescent="0.25">
      <c r="A869" s="78"/>
      <c r="B869" s="79"/>
      <c r="C869" s="27"/>
      <c r="D869" s="74"/>
      <c r="E869" s="79"/>
      <c r="F869" s="79"/>
      <c r="G869" s="28"/>
      <c r="H869" s="74"/>
      <c r="I869" s="74"/>
      <c r="J869" s="80"/>
      <c r="K869" s="74"/>
    </row>
    <row r="870" spans="1:11" ht="30" customHeight="1" x14ac:dyDescent="0.25">
      <c r="A870" s="78"/>
      <c r="B870" s="79"/>
      <c r="C870" s="27"/>
      <c r="D870" s="74"/>
      <c r="E870" s="79"/>
      <c r="F870" s="79"/>
      <c r="G870" s="28"/>
      <c r="H870" s="74"/>
      <c r="I870" s="74"/>
      <c r="J870" s="80"/>
      <c r="K870" s="74"/>
    </row>
    <row r="871" spans="1:11" ht="30" customHeight="1" x14ac:dyDescent="0.25">
      <c r="A871" s="78"/>
      <c r="B871" s="79"/>
      <c r="C871" s="27"/>
      <c r="D871" s="74"/>
      <c r="E871" s="79"/>
      <c r="F871" s="79"/>
      <c r="G871" s="28"/>
      <c r="H871" s="74"/>
      <c r="I871" s="74"/>
      <c r="J871" s="80"/>
      <c r="K871" s="74"/>
    </row>
    <row r="872" spans="1:11" ht="30" customHeight="1" x14ac:dyDescent="0.25">
      <c r="A872" s="78"/>
      <c r="B872" s="79"/>
      <c r="C872" s="27"/>
      <c r="D872" s="74"/>
      <c r="E872" s="79"/>
      <c r="F872" s="79"/>
      <c r="G872" s="28"/>
      <c r="H872" s="74"/>
      <c r="I872" s="74"/>
      <c r="J872" s="80"/>
      <c r="K872" s="74"/>
    </row>
    <row r="873" spans="1:11" ht="30" customHeight="1" x14ac:dyDescent="0.25">
      <c r="A873" s="78"/>
      <c r="B873" s="79"/>
      <c r="C873" s="27"/>
      <c r="D873" s="74"/>
      <c r="E873" s="79"/>
      <c r="F873" s="79"/>
      <c r="G873" s="28"/>
      <c r="H873" s="74"/>
      <c r="I873" s="74"/>
      <c r="J873" s="80"/>
      <c r="K873" s="74"/>
    </row>
    <row r="874" spans="1:11" ht="30" customHeight="1" x14ac:dyDescent="0.25">
      <c r="A874" s="78"/>
      <c r="B874" s="79"/>
      <c r="C874" s="27"/>
      <c r="D874" s="74"/>
      <c r="E874" s="79"/>
      <c r="F874" s="79"/>
      <c r="G874" s="28"/>
      <c r="H874" s="74"/>
      <c r="I874" s="74"/>
      <c r="J874" s="80"/>
      <c r="K874" s="74"/>
    </row>
    <row r="875" spans="1:11" ht="30" customHeight="1" x14ac:dyDescent="0.25">
      <c r="A875" s="78"/>
      <c r="B875" s="79"/>
      <c r="C875" s="27"/>
      <c r="D875" s="74"/>
      <c r="E875" s="79"/>
      <c r="F875" s="79"/>
      <c r="G875" s="28"/>
      <c r="H875" s="74"/>
      <c r="I875" s="74"/>
      <c r="J875" s="80"/>
      <c r="K875" s="74"/>
    </row>
    <row r="876" spans="1:11" ht="30" customHeight="1" x14ac:dyDescent="0.25">
      <c r="A876" s="78"/>
      <c r="B876" s="79"/>
      <c r="C876" s="27"/>
      <c r="D876" s="74"/>
      <c r="E876" s="79"/>
      <c r="F876" s="79"/>
      <c r="G876" s="28"/>
      <c r="H876" s="74"/>
      <c r="I876" s="74"/>
      <c r="J876" s="80"/>
      <c r="K876" s="74"/>
    </row>
    <row r="877" spans="1:11" ht="30" customHeight="1" x14ac:dyDescent="0.25">
      <c r="A877" s="78"/>
      <c r="B877" s="79"/>
      <c r="C877" s="27"/>
      <c r="D877" s="74"/>
      <c r="E877" s="79"/>
      <c r="F877" s="79"/>
      <c r="G877" s="28"/>
      <c r="H877" s="74"/>
      <c r="I877" s="74"/>
      <c r="J877" s="80"/>
      <c r="K877" s="74"/>
    </row>
    <row r="878" spans="1:11" ht="30" customHeight="1" x14ac:dyDescent="0.25">
      <c r="A878" s="78"/>
      <c r="B878" s="79"/>
      <c r="C878" s="27"/>
      <c r="D878" s="74"/>
      <c r="E878" s="79"/>
      <c r="F878" s="79"/>
      <c r="G878" s="28"/>
      <c r="H878" s="74"/>
      <c r="I878" s="74"/>
      <c r="J878" s="80"/>
      <c r="K878" s="74"/>
    </row>
    <row r="879" spans="1:11" ht="30" customHeight="1" x14ac:dyDescent="0.25">
      <c r="A879" s="78"/>
      <c r="B879" s="79"/>
      <c r="C879" s="27"/>
      <c r="D879" s="74"/>
      <c r="E879" s="79"/>
      <c r="F879" s="79"/>
      <c r="G879" s="28"/>
      <c r="H879" s="74"/>
      <c r="I879" s="74"/>
      <c r="J879" s="80"/>
      <c r="K879" s="74"/>
    </row>
    <row r="880" spans="1:11" ht="30" customHeight="1" x14ac:dyDescent="0.25">
      <c r="A880" s="78"/>
      <c r="B880" s="79"/>
      <c r="C880" s="27"/>
      <c r="D880" s="74"/>
      <c r="E880" s="79"/>
      <c r="F880" s="79"/>
      <c r="G880" s="28"/>
      <c r="H880" s="74"/>
      <c r="I880" s="74"/>
      <c r="J880" s="80"/>
      <c r="K880" s="74"/>
    </row>
    <row r="881" spans="1:11" ht="30" customHeight="1" x14ac:dyDescent="0.25">
      <c r="A881" s="78"/>
      <c r="B881" s="79"/>
      <c r="C881" s="27"/>
      <c r="D881" s="74"/>
      <c r="E881" s="79"/>
      <c r="F881" s="79"/>
      <c r="G881" s="28"/>
      <c r="H881" s="74"/>
      <c r="I881" s="74"/>
      <c r="J881" s="80"/>
      <c r="K881" s="74"/>
    </row>
    <row r="882" spans="1:11" ht="30" customHeight="1" x14ac:dyDescent="0.25">
      <c r="A882" s="78"/>
      <c r="B882" s="79"/>
      <c r="C882" s="27"/>
      <c r="D882" s="74"/>
      <c r="E882" s="79"/>
      <c r="F882" s="79"/>
      <c r="G882" s="28"/>
      <c r="H882" s="74"/>
      <c r="I882" s="74"/>
      <c r="J882" s="80"/>
      <c r="K882" s="74"/>
    </row>
    <row r="883" spans="1:11" ht="30" customHeight="1" x14ac:dyDescent="0.25">
      <c r="A883" s="78"/>
      <c r="B883" s="79"/>
      <c r="C883" s="27"/>
      <c r="D883" s="74"/>
      <c r="E883" s="79"/>
      <c r="F883" s="79"/>
      <c r="G883" s="28"/>
      <c r="H883" s="74"/>
      <c r="I883" s="74"/>
      <c r="J883" s="80"/>
      <c r="K883" s="74"/>
    </row>
    <row r="884" spans="1:11" ht="30" customHeight="1" x14ac:dyDescent="0.25">
      <c r="A884" s="78"/>
      <c r="B884" s="79"/>
      <c r="C884" s="27"/>
      <c r="D884" s="74"/>
      <c r="E884" s="79"/>
      <c r="F884" s="79"/>
      <c r="G884" s="28"/>
      <c r="H884" s="74"/>
      <c r="I884" s="74"/>
      <c r="J884" s="80"/>
      <c r="K884" s="74"/>
    </row>
    <row r="885" spans="1:11" ht="30" customHeight="1" x14ac:dyDescent="0.25">
      <c r="A885" s="78"/>
      <c r="B885" s="79"/>
      <c r="C885" s="27"/>
      <c r="D885" s="74"/>
      <c r="E885" s="79"/>
      <c r="F885" s="79"/>
      <c r="G885" s="28"/>
      <c r="H885" s="74"/>
      <c r="I885" s="74"/>
      <c r="J885" s="80"/>
      <c r="K885" s="74"/>
    </row>
    <row r="886" spans="1:11" ht="30" customHeight="1" x14ac:dyDescent="0.25">
      <c r="A886" s="78"/>
      <c r="B886" s="79"/>
      <c r="C886" s="27"/>
      <c r="D886" s="74"/>
      <c r="E886" s="79"/>
      <c r="F886" s="79"/>
      <c r="G886" s="28"/>
      <c r="H886" s="74"/>
      <c r="I886" s="74"/>
      <c r="J886" s="80"/>
      <c r="K886" s="74"/>
    </row>
    <row r="887" spans="1:11" ht="30" customHeight="1" x14ac:dyDescent="0.25">
      <c r="A887" s="78"/>
      <c r="B887" s="79"/>
      <c r="C887" s="27"/>
      <c r="D887" s="74"/>
      <c r="E887" s="79"/>
      <c r="F887" s="79"/>
      <c r="G887" s="28"/>
      <c r="H887" s="74"/>
      <c r="I887" s="74"/>
      <c r="J887" s="80"/>
      <c r="K887" s="74"/>
    </row>
    <row r="888" spans="1:11" ht="30" customHeight="1" x14ac:dyDescent="0.25">
      <c r="A888" s="78"/>
      <c r="B888" s="79"/>
      <c r="C888" s="27"/>
      <c r="D888" s="74"/>
      <c r="E888" s="79"/>
      <c r="F888" s="79"/>
      <c r="G888" s="28"/>
      <c r="H888" s="74"/>
      <c r="I888" s="74"/>
      <c r="J888" s="80"/>
      <c r="K888" s="74"/>
    </row>
    <row r="889" spans="1:11" ht="30" customHeight="1" x14ac:dyDescent="0.25">
      <c r="A889" s="78"/>
      <c r="B889" s="79"/>
      <c r="C889" s="27"/>
      <c r="D889" s="74"/>
      <c r="E889" s="79"/>
      <c r="F889" s="79"/>
      <c r="G889" s="28"/>
      <c r="H889" s="74"/>
      <c r="I889" s="74"/>
      <c r="J889" s="80"/>
      <c r="K889" s="74"/>
    </row>
    <row r="890" spans="1:11" ht="30" customHeight="1" x14ac:dyDescent="0.25">
      <c r="A890" s="78"/>
      <c r="B890" s="79"/>
      <c r="C890" s="27"/>
      <c r="D890" s="74"/>
      <c r="E890" s="79"/>
      <c r="F890" s="79"/>
      <c r="G890" s="28"/>
      <c r="H890" s="74"/>
      <c r="I890" s="74"/>
      <c r="J890" s="80"/>
      <c r="K890" s="74"/>
    </row>
    <row r="891" spans="1:11" ht="30" customHeight="1" x14ac:dyDescent="0.25">
      <c r="A891" s="78"/>
      <c r="B891" s="79"/>
      <c r="C891" s="27"/>
      <c r="D891" s="74"/>
      <c r="E891" s="79"/>
      <c r="F891" s="79"/>
      <c r="G891" s="28"/>
      <c r="H891" s="74"/>
      <c r="I891" s="74"/>
      <c r="J891" s="80"/>
      <c r="K891" s="74"/>
    </row>
    <row r="892" spans="1:11" ht="30" customHeight="1" x14ac:dyDescent="0.25">
      <c r="A892" s="78"/>
      <c r="B892" s="79"/>
      <c r="C892" s="27"/>
      <c r="D892" s="74"/>
      <c r="E892" s="79"/>
      <c r="F892" s="79"/>
      <c r="G892" s="28"/>
      <c r="H892" s="74"/>
      <c r="I892" s="74"/>
      <c r="J892" s="80"/>
      <c r="K892" s="74"/>
    </row>
    <row r="893" spans="1:11" ht="30" customHeight="1" x14ac:dyDescent="0.25">
      <c r="A893" s="78"/>
      <c r="B893" s="79"/>
      <c r="C893" s="27"/>
      <c r="D893" s="74"/>
      <c r="E893" s="79"/>
      <c r="F893" s="79"/>
      <c r="G893" s="28"/>
      <c r="H893" s="74"/>
      <c r="I893" s="74"/>
      <c r="J893" s="80"/>
      <c r="K893" s="74"/>
    </row>
    <row r="894" spans="1:11" ht="30" customHeight="1" x14ac:dyDescent="0.25">
      <c r="A894" s="78"/>
      <c r="B894" s="79"/>
      <c r="C894" s="27"/>
      <c r="D894" s="74"/>
      <c r="E894" s="79"/>
      <c r="F894" s="79"/>
      <c r="G894" s="28"/>
      <c r="H894" s="74"/>
      <c r="I894" s="74"/>
      <c r="J894" s="80"/>
      <c r="K894" s="74"/>
    </row>
    <row r="895" spans="1:11" ht="30" customHeight="1" x14ac:dyDescent="0.25">
      <c r="A895" s="78"/>
      <c r="B895" s="79"/>
      <c r="C895" s="27"/>
      <c r="D895" s="74"/>
      <c r="E895" s="79"/>
      <c r="F895" s="79"/>
      <c r="G895" s="28"/>
      <c r="H895" s="74"/>
      <c r="I895" s="74"/>
      <c r="J895" s="80"/>
      <c r="K895" s="74"/>
    </row>
    <row r="896" spans="1:11" ht="30" customHeight="1" x14ac:dyDescent="0.25">
      <c r="A896" s="78"/>
      <c r="B896" s="79"/>
      <c r="C896" s="27"/>
      <c r="D896" s="74"/>
      <c r="E896" s="79"/>
      <c r="F896" s="79"/>
      <c r="G896" s="28"/>
      <c r="H896" s="74"/>
      <c r="I896" s="74"/>
      <c r="J896" s="80"/>
      <c r="K896" s="74"/>
    </row>
    <row r="897" spans="1:11" ht="30" customHeight="1" x14ac:dyDescent="0.25">
      <c r="A897" s="78"/>
      <c r="B897" s="79"/>
      <c r="C897" s="27"/>
      <c r="D897" s="74"/>
      <c r="E897" s="79"/>
      <c r="F897" s="79"/>
      <c r="G897" s="28"/>
      <c r="H897" s="74"/>
      <c r="I897" s="74"/>
      <c r="J897" s="80"/>
      <c r="K897" s="74"/>
    </row>
    <row r="898" spans="1:11" ht="30" customHeight="1" x14ac:dyDescent="0.25">
      <c r="A898" s="78"/>
      <c r="B898" s="79"/>
      <c r="C898" s="27"/>
      <c r="D898" s="74"/>
      <c r="E898" s="79"/>
      <c r="F898" s="79"/>
      <c r="G898" s="28"/>
      <c r="H898" s="74"/>
      <c r="I898" s="74"/>
      <c r="J898" s="80"/>
      <c r="K898" s="74"/>
    </row>
    <row r="899" spans="1:11" ht="30" customHeight="1" x14ac:dyDescent="0.25">
      <c r="A899" s="78"/>
      <c r="B899" s="79"/>
      <c r="C899" s="27"/>
      <c r="D899" s="74"/>
      <c r="E899" s="79"/>
      <c r="F899" s="79"/>
      <c r="G899" s="28"/>
      <c r="H899" s="74"/>
      <c r="I899" s="74"/>
      <c r="J899" s="80"/>
      <c r="K899" s="74"/>
    </row>
    <row r="900" spans="1:11" ht="30" customHeight="1" x14ac:dyDescent="0.25">
      <c r="A900" s="78"/>
      <c r="B900" s="79"/>
      <c r="C900" s="27"/>
      <c r="D900" s="74"/>
      <c r="E900" s="79"/>
      <c r="F900" s="79"/>
      <c r="G900" s="28"/>
      <c r="H900" s="74"/>
      <c r="I900" s="74"/>
      <c r="J900" s="80"/>
      <c r="K900" s="74"/>
    </row>
    <row r="901" spans="1:11" ht="30" customHeight="1" x14ac:dyDescent="0.25">
      <c r="A901" s="78"/>
      <c r="B901" s="79"/>
      <c r="C901" s="27"/>
      <c r="D901" s="74"/>
      <c r="E901" s="79"/>
      <c r="F901" s="79"/>
      <c r="G901" s="28"/>
      <c r="H901" s="74"/>
      <c r="I901" s="74"/>
      <c r="J901" s="80"/>
      <c r="K901" s="74"/>
    </row>
    <row r="902" spans="1:11" ht="30" customHeight="1" x14ac:dyDescent="0.25">
      <c r="A902" s="78"/>
      <c r="B902" s="79"/>
      <c r="C902" s="27"/>
      <c r="D902" s="74"/>
      <c r="E902" s="79"/>
      <c r="F902" s="79"/>
      <c r="G902" s="28"/>
      <c r="H902" s="74"/>
      <c r="I902" s="74"/>
      <c r="J902" s="80"/>
      <c r="K902" s="74"/>
    </row>
    <row r="903" spans="1:11" ht="30" customHeight="1" x14ac:dyDescent="0.25">
      <c r="A903" s="78"/>
      <c r="B903" s="79"/>
      <c r="C903" s="27"/>
      <c r="D903" s="74"/>
      <c r="E903" s="79"/>
      <c r="F903" s="79"/>
      <c r="G903" s="28"/>
      <c r="H903" s="74"/>
      <c r="I903" s="74"/>
      <c r="J903" s="80"/>
      <c r="K903" s="74"/>
    </row>
    <row r="904" spans="1:11" ht="30" customHeight="1" x14ac:dyDescent="0.25">
      <c r="A904" s="78"/>
      <c r="B904" s="79"/>
      <c r="C904" s="27"/>
      <c r="D904" s="74"/>
      <c r="E904" s="79"/>
      <c r="F904" s="79"/>
      <c r="G904" s="28"/>
      <c r="H904" s="74"/>
      <c r="I904" s="74"/>
      <c r="J904" s="80"/>
      <c r="K904" s="74"/>
    </row>
    <row r="905" spans="1:11" ht="30" customHeight="1" x14ac:dyDescent="0.25">
      <c r="A905" s="78"/>
      <c r="B905" s="79"/>
      <c r="C905" s="27"/>
      <c r="D905" s="74"/>
      <c r="E905" s="79"/>
      <c r="F905" s="79"/>
      <c r="G905" s="28"/>
      <c r="H905" s="74"/>
      <c r="I905" s="74"/>
      <c r="J905" s="80"/>
      <c r="K905" s="74"/>
    </row>
    <row r="906" spans="1:11" ht="30" customHeight="1" x14ac:dyDescent="0.25">
      <c r="A906" s="78"/>
      <c r="B906" s="79"/>
      <c r="C906" s="27"/>
      <c r="D906" s="74"/>
      <c r="E906" s="79"/>
      <c r="F906" s="79"/>
      <c r="G906" s="28"/>
      <c r="H906" s="74"/>
      <c r="I906" s="74"/>
      <c r="J906" s="80"/>
      <c r="K906" s="74"/>
    </row>
    <row r="907" spans="1:11" ht="30" customHeight="1" x14ac:dyDescent="0.25">
      <c r="A907" s="78"/>
      <c r="B907" s="79"/>
      <c r="C907" s="27"/>
      <c r="D907" s="74"/>
      <c r="E907" s="79"/>
      <c r="F907" s="79"/>
      <c r="G907" s="28"/>
      <c r="H907" s="74"/>
      <c r="I907" s="74"/>
      <c r="J907" s="80"/>
      <c r="K907" s="74"/>
    </row>
    <row r="908" spans="1:11" ht="30" customHeight="1" x14ac:dyDescent="0.25">
      <c r="A908" s="78"/>
      <c r="B908" s="79"/>
      <c r="C908" s="27"/>
      <c r="D908" s="74"/>
      <c r="E908" s="79"/>
      <c r="F908" s="79"/>
      <c r="G908" s="28"/>
      <c r="H908" s="74"/>
      <c r="I908" s="74"/>
      <c r="J908" s="80"/>
      <c r="K908" s="74"/>
    </row>
    <row r="909" spans="1:11" ht="30" customHeight="1" x14ac:dyDescent="0.25">
      <c r="A909" s="78"/>
      <c r="B909" s="79"/>
      <c r="C909" s="27"/>
      <c r="D909" s="74"/>
      <c r="E909" s="79"/>
      <c r="F909" s="79"/>
      <c r="G909" s="28"/>
      <c r="H909" s="74"/>
      <c r="I909" s="74"/>
      <c r="J909" s="80"/>
      <c r="K909" s="74"/>
    </row>
    <row r="910" spans="1:11" ht="30" customHeight="1" x14ac:dyDescent="0.25">
      <c r="A910" s="78"/>
      <c r="B910" s="79"/>
      <c r="C910" s="27"/>
      <c r="D910" s="74"/>
      <c r="E910" s="79"/>
      <c r="F910" s="79"/>
      <c r="G910" s="28"/>
      <c r="H910" s="74"/>
      <c r="I910" s="74"/>
      <c r="J910" s="80"/>
      <c r="K910" s="74"/>
    </row>
    <row r="911" spans="1:11" ht="30" customHeight="1" x14ac:dyDescent="0.25">
      <c r="A911" s="78"/>
      <c r="B911" s="79"/>
      <c r="C911" s="27"/>
      <c r="D911" s="74"/>
      <c r="E911" s="79"/>
      <c r="F911" s="79"/>
      <c r="G911" s="28"/>
      <c r="H911" s="74"/>
      <c r="I911" s="74"/>
      <c r="J911" s="80"/>
      <c r="K911" s="74"/>
    </row>
    <row r="912" spans="1:11" ht="30" customHeight="1" x14ac:dyDescent="0.25">
      <c r="A912" s="78"/>
      <c r="B912" s="79"/>
      <c r="C912" s="27"/>
      <c r="D912" s="74"/>
      <c r="E912" s="79"/>
      <c r="F912" s="79"/>
      <c r="G912" s="28"/>
      <c r="H912" s="74"/>
      <c r="I912" s="74"/>
      <c r="J912" s="80"/>
      <c r="K912" s="74"/>
    </row>
    <row r="913" spans="1:11" ht="30" customHeight="1" x14ac:dyDescent="0.25">
      <c r="A913" s="78"/>
      <c r="B913" s="79"/>
      <c r="C913" s="27"/>
      <c r="D913" s="74"/>
      <c r="E913" s="79"/>
      <c r="F913" s="79"/>
      <c r="G913" s="28"/>
      <c r="H913" s="74"/>
      <c r="I913" s="74"/>
      <c r="J913" s="80"/>
      <c r="K913" s="74"/>
    </row>
    <row r="914" spans="1:11" ht="30" customHeight="1" x14ac:dyDescent="0.25">
      <c r="A914" s="78"/>
      <c r="B914" s="79"/>
      <c r="C914" s="27"/>
      <c r="D914" s="74"/>
      <c r="E914" s="79"/>
      <c r="F914" s="79"/>
      <c r="G914" s="28"/>
      <c r="H914" s="74"/>
      <c r="I914" s="74"/>
      <c r="J914" s="80"/>
      <c r="K914" s="74"/>
    </row>
    <row r="915" spans="1:11" ht="30" customHeight="1" x14ac:dyDescent="0.25">
      <c r="A915" s="78"/>
      <c r="B915" s="79"/>
      <c r="C915" s="27"/>
      <c r="D915" s="74"/>
      <c r="E915" s="79"/>
      <c r="F915" s="79"/>
      <c r="G915" s="28"/>
      <c r="H915" s="74"/>
      <c r="I915" s="74"/>
      <c r="J915" s="80"/>
      <c r="K915" s="74"/>
    </row>
    <row r="916" spans="1:11" ht="30" customHeight="1" x14ac:dyDescent="0.25">
      <c r="A916" s="78"/>
      <c r="B916" s="79"/>
      <c r="C916" s="27"/>
      <c r="D916" s="74"/>
      <c r="E916" s="79"/>
      <c r="F916" s="79"/>
      <c r="G916" s="28"/>
      <c r="H916" s="74"/>
      <c r="I916" s="74"/>
      <c r="J916" s="80"/>
      <c r="K916" s="74"/>
    </row>
    <row r="917" spans="1:11" ht="30" customHeight="1" x14ac:dyDescent="0.25">
      <c r="A917" s="78"/>
      <c r="B917" s="79"/>
      <c r="C917" s="27"/>
      <c r="D917" s="74"/>
      <c r="E917" s="79"/>
      <c r="F917" s="79"/>
      <c r="G917" s="28"/>
      <c r="H917" s="74"/>
      <c r="I917" s="74"/>
      <c r="J917" s="80"/>
      <c r="K917" s="74"/>
    </row>
    <row r="918" spans="1:11" ht="30" customHeight="1" x14ac:dyDescent="0.25">
      <c r="A918" s="78"/>
      <c r="B918" s="79"/>
      <c r="C918" s="27"/>
      <c r="D918" s="74"/>
      <c r="E918" s="79"/>
      <c r="F918" s="79"/>
      <c r="G918" s="28"/>
      <c r="H918" s="74"/>
      <c r="I918" s="74"/>
      <c r="J918" s="80"/>
      <c r="K918" s="74"/>
    </row>
    <row r="919" spans="1:11" ht="30" customHeight="1" x14ac:dyDescent="0.25">
      <c r="A919" s="78"/>
      <c r="B919" s="79"/>
      <c r="C919" s="27"/>
      <c r="D919" s="74"/>
      <c r="E919" s="79"/>
      <c r="F919" s="79"/>
      <c r="G919" s="28"/>
      <c r="H919" s="74"/>
      <c r="I919" s="74"/>
      <c r="J919" s="80"/>
      <c r="K919" s="74"/>
    </row>
    <row r="920" spans="1:11" ht="30" customHeight="1" x14ac:dyDescent="0.25">
      <c r="A920" s="78"/>
      <c r="B920" s="79"/>
      <c r="C920" s="27"/>
      <c r="D920" s="74"/>
      <c r="E920" s="79"/>
      <c r="F920" s="79"/>
      <c r="G920" s="28"/>
      <c r="H920" s="74"/>
      <c r="I920" s="74"/>
      <c r="J920" s="80"/>
      <c r="K920" s="74"/>
    </row>
    <row r="921" spans="1:11" ht="30" customHeight="1" x14ac:dyDescent="0.25">
      <c r="A921" s="78"/>
      <c r="B921" s="79"/>
      <c r="C921" s="27"/>
      <c r="D921" s="74"/>
      <c r="E921" s="79"/>
      <c r="F921" s="79"/>
      <c r="G921" s="28"/>
      <c r="H921" s="74"/>
      <c r="I921" s="74"/>
      <c r="J921" s="80"/>
      <c r="K921" s="74"/>
    </row>
    <row r="922" spans="1:11" ht="30" customHeight="1" x14ac:dyDescent="0.25">
      <c r="A922" s="78"/>
      <c r="B922" s="79"/>
      <c r="C922" s="27"/>
      <c r="D922" s="74"/>
      <c r="E922" s="79"/>
      <c r="F922" s="79"/>
      <c r="G922" s="28"/>
      <c r="H922" s="74"/>
      <c r="I922" s="74"/>
      <c r="J922" s="80"/>
      <c r="K922" s="74"/>
    </row>
    <row r="923" spans="1:11" ht="30" customHeight="1" x14ac:dyDescent="0.25">
      <c r="A923" s="78"/>
      <c r="B923" s="79"/>
      <c r="C923" s="27"/>
      <c r="D923" s="74"/>
      <c r="E923" s="79"/>
      <c r="F923" s="79"/>
      <c r="G923" s="28"/>
      <c r="H923" s="74"/>
      <c r="I923" s="74"/>
      <c r="J923" s="80"/>
      <c r="K923" s="74"/>
    </row>
    <row r="924" spans="1:11" ht="30" customHeight="1" x14ac:dyDescent="0.25">
      <c r="A924" s="78"/>
      <c r="B924" s="79"/>
      <c r="C924" s="27"/>
      <c r="D924" s="74"/>
      <c r="E924" s="79"/>
      <c r="F924" s="79"/>
      <c r="G924" s="28"/>
      <c r="H924" s="74"/>
      <c r="I924" s="74"/>
      <c r="J924" s="80"/>
      <c r="K924" s="74"/>
    </row>
    <row r="925" spans="1:11" ht="30" customHeight="1" x14ac:dyDescent="0.25">
      <c r="A925" s="78"/>
      <c r="B925" s="79"/>
      <c r="C925" s="27"/>
      <c r="D925" s="74"/>
      <c r="E925" s="79"/>
      <c r="F925" s="79"/>
      <c r="G925" s="28"/>
      <c r="H925" s="74"/>
      <c r="I925" s="74"/>
      <c r="J925" s="80"/>
      <c r="K925" s="74"/>
    </row>
    <row r="926" spans="1:11" ht="30" customHeight="1" x14ac:dyDescent="0.25">
      <c r="A926" s="78"/>
      <c r="B926" s="79"/>
      <c r="C926" s="27"/>
      <c r="D926" s="74"/>
      <c r="E926" s="79"/>
      <c r="F926" s="79"/>
      <c r="G926" s="28"/>
      <c r="H926" s="74"/>
      <c r="I926" s="74"/>
      <c r="J926" s="80"/>
      <c r="K926" s="74"/>
    </row>
    <row r="927" spans="1:11" ht="30" customHeight="1" x14ac:dyDescent="0.25">
      <c r="A927" s="78"/>
      <c r="B927" s="79"/>
      <c r="C927" s="27"/>
      <c r="D927" s="74"/>
      <c r="E927" s="79"/>
      <c r="F927" s="79"/>
      <c r="G927" s="28"/>
      <c r="H927" s="74"/>
      <c r="I927" s="74"/>
      <c r="J927" s="80"/>
      <c r="K927" s="74"/>
    </row>
    <row r="928" spans="1:11" ht="30" customHeight="1" x14ac:dyDescent="0.25">
      <c r="A928" s="78"/>
      <c r="B928" s="79"/>
      <c r="C928" s="27"/>
      <c r="D928" s="74"/>
      <c r="E928" s="79"/>
      <c r="F928" s="79"/>
      <c r="G928" s="28"/>
      <c r="H928" s="74"/>
      <c r="I928" s="74"/>
      <c r="J928" s="80"/>
      <c r="K928" s="74"/>
    </row>
    <row r="929" spans="1:11" ht="30" customHeight="1" x14ac:dyDescent="0.25">
      <c r="A929" s="78"/>
      <c r="B929" s="79"/>
      <c r="C929" s="27"/>
      <c r="D929" s="74"/>
      <c r="E929" s="79"/>
      <c r="F929" s="79"/>
      <c r="G929" s="28"/>
      <c r="H929" s="74"/>
      <c r="I929" s="74"/>
      <c r="J929" s="80"/>
      <c r="K929" s="74"/>
    </row>
    <row r="930" spans="1:11" ht="30" customHeight="1" x14ac:dyDescent="0.25">
      <c r="A930" s="78"/>
      <c r="B930" s="79"/>
      <c r="C930" s="27"/>
      <c r="D930" s="74"/>
      <c r="E930" s="79"/>
      <c r="F930" s="79"/>
      <c r="G930" s="28"/>
      <c r="H930" s="74"/>
      <c r="I930" s="74"/>
      <c r="J930" s="80"/>
      <c r="K930" s="74"/>
    </row>
    <row r="931" spans="1:11" ht="30" customHeight="1" x14ac:dyDescent="0.25">
      <c r="A931" s="78"/>
      <c r="B931" s="79"/>
      <c r="C931" s="27"/>
      <c r="D931" s="74"/>
      <c r="E931" s="79"/>
      <c r="F931" s="79"/>
      <c r="G931" s="28"/>
      <c r="H931" s="74"/>
      <c r="I931" s="74"/>
      <c r="J931" s="80"/>
      <c r="K931" s="74"/>
    </row>
    <row r="932" spans="1:11" ht="30" customHeight="1" x14ac:dyDescent="0.25">
      <c r="A932" s="78"/>
      <c r="B932" s="79"/>
      <c r="C932" s="27"/>
      <c r="D932" s="74"/>
      <c r="E932" s="79"/>
      <c r="F932" s="79"/>
      <c r="G932" s="28"/>
      <c r="H932" s="74"/>
      <c r="I932" s="74"/>
      <c r="J932" s="80"/>
      <c r="K932" s="74"/>
    </row>
    <row r="933" spans="1:11" ht="30" customHeight="1" x14ac:dyDescent="0.25">
      <c r="A933" s="78"/>
      <c r="B933" s="79"/>
      <c r="C933" s="27"/>
      <c r="D933" s="74"/>
      <c r="E933" s="79"/>
      <c r="F933" s="79"/>
      <c r="G933" s="28"/>
      <c r="H933" s="74"/>
      <c r="I933" s="74"/>
      <c r="J933" s="80"/>
      <c r="K933" s="74"/>
    </row>
    <row r="934" spans="1:11" ht="30" customHeight="1" x14ac:dyDescent="0.25">
      <c r="A934" s="78"/>
      <c r="B934" s="79"/>
      <c r="C934" s="27"/>
      <c r="D934" s="74"/>
      <c r="E934" s="79"/>
      <c r="F934" s="79"/>
      <c r="G934" s="28"/>
      <c r="H934" s="74"/>
      <c r="I934" s="74"/>
      <c r="J934" s="80"/>
      <c r="K934" s="74"/>
    </row>
    <row r="935" spans="1:11" ht="30" customHeight="1" x14ac:dyDescent="0.25">
      <c r="A935" s="78"/>
      <c r="B935" s="79"/>
      <c r="C935" s="27"/>
      <c r="D935" s="74"/>
      <c r="E935" s="79"/>
      <c r="F935" s="79"/>
      <c r="G935" s="28"/>
      <c r="H935" s="74"/>
      <c r="I935" s="74"/>
      <c r="J935" s="80"/>
      <c r="K935" s="74"/>
    </row>
    <row r="936" spans="1:11" ht="30" customHeight="1" x14ac:dyDescent="0.25">
      <c r="A936" s="78"/>
      <c r="B936" s="79"/>
      <c r="C936" s="27"/>
      <c r="D936" s="74"/>
      <c r="E936" s="79"/>
      <c r="F936" s="79"/>
      <c r="G936" s="28"/>
      <c r="H936" s="74"/>
      <c r="I936" s="74"/>
      <c r="J936" s="80"/>
      <c r="K936" s="74"/>
    </row>
    <row r="937" spans="1:11" ht="30" customHeight="1" x14ac:dyDescent="0.25">
      <c r="A937" s="78"/>
      <c r="B937" s="79"/>
      <c r="C937" s="27"/>
      <c r="D937" s="74"/>
      <c r="E937" s="79"/>
      <c r="F937" s="79"/>
      <c r="G937" s="28"/>
      <c r="H937" s="74"/>
      <c r="I937" s="74"/>
      <c r="J937" s="80"/>
      <c r="K937" s="74"/>
    </row>
    <row r="938" spans="1:11" ht="30" customHeight="1" x14ac:dyDescent="0.25">
      <c r="A938" s="78"/>
      <c r="B938" s="79"/>
      <c r="C938" s="27"/>
      <c r="D938" s="74"/>
      <c r="E938" s="79"/>
      <c r="F938" s="79"/>
      <c r="G938" s="28"/>
      <c r="H938" s="74"/>
      <c r="I938" s="74"/>
      <c r="J938" s="80"/>
      <c r="K938" s="74"/>
    </row>
    <row r="939" spans="1:11" ht="30" customHeight="1" x14ac:dyDescent="0.25">
      <c r="A939" s="78"/>
      <c r="B939" s="79"/>
      <c r="C939" s="27"/>
      <c r="D939" s="74"/>
      <c r="E939" s="79"/>
      <c r="F939" s="79"/>
      <c r="G939" s="28"/>
      <c r="H939" s="74"/>
      <c r="I939" s="74"/>
      <c r="J939" s="80"/>
      <c r="K939" s="74"/>
    </row>
    <row r="940" spans="1:11" ht="30" customHeight="1" x14ac:dyDescent="0.25">
      <c r="A940" s="78"/>
      <c r="B940" s="79"/>
      <c r="C940" s="27"/>
      <c r="D940" s="74"/>
      <c r="E940" s="79"/>
      <c r="F940" s="79"/>
      <c r="G940" s="28"/>
      <c r="H940" s="74"/>
      <c r="I940" s="74"/>
      <c r="J940" s="80"/>
      <c r="K940" s="74"/>
    </row>
    <row r="941" spans="1:11" ht="30" customHeight="1" x14ac:dyDescent="0.25">
      <c r="A941" s="78"/>
      <c r="B941" s="79"/>
      <c r="C941" s="27"/>
      <c r="D941" s="74"/>
      <c r="E941" s="79"/>
      <c r="F941" s="79"/>
      <c r="G941" s="28"/>
      <c r="H941" s="74"/>
      <c r="I941" s="74"/>
      <c r="J941" s="80"/>
      <c r="K941" s="74"/>
    </row>
    <row r="942" spans="1:11" ht="30" customHeight="1" x14ac:dyDescent="0.25">
      <c r="A942" s="78"/>
      <c r="B942" s="79"/>
      <c r="C942" s="27"/>
      <c r="D942" s="74"/>
      <c r="E942" s="79"/>
      <c r="F942" s="79"/>
      <c r="G942" s="28"/>
      <c r="H942" s="74"/>
      <c r="I942" s="74"/>
      <c r="J942" s="80"/>
      <c r="K942" s="74"/>
    </row>
    <row r="943" spans="1:11" ht="30" customHeight="1" x14ac:dyDescent="0.25">
      <c r="A943" s="78"/>
      <c r="B943" s="79"/>
      <c r="C943" s="27"/>
      <c r="D943" s="74"/>
      <c r="E943" s="79"/>
      <c r="F943" s="79"/>
      <c r="G943" s="28"/>
      <c r="H943" s="74"/>
      <c r="I943" s="74"/>
      <c r="J943" s="80"/>
      <c r="K943" s="74"/>
    </row>
    <row r="944" spans="1:11" ht="30" customHeight="1" x14ac:dyDescent="0.25">
      <c r="A944" s="78"/>
      <c r="B944" s="79"/>
      <c r="C944" s="27"/>
      <c r="D944" s="74"/>
      <c r="E944" s="79"/>
      <c r="F944" s="79"/>
      <c r="G944" s="28"/>
      <c r="H944" s="74"/>
      <c r="I944" s="74"/>
      <c r="J944" s="80"/>
      <c r="K944" s="74"/>
    </row>
    <row r="945" spans="1:11" ht="30" customHeight="1" x14ac:dyDescent="0.25">
      <c r="A945" s="78"/>
      <c r="B945" s="79"/>
      <c r="C945" s="27"/>
      <c r="D945" s="74"/>
      <c r="E945" s="79"/>
      <c r="F945" s="79"/>
      <c r="G945" s="28"/>
      <c r="H945" s="74"/>
      <c r="I945" s="74"/>
      <c r="J945" s="80"/>
      <c r="K945" s="74"/>
    </row>
    <row r="946" spans="1:11" ht="30" customHeight="1" x14ac:dyDescent="0.25">
      <c r="A946" s="78"/>
      <c r="B946" s="79"/>
      <c r="C946" s="27"/>
      <c r="D946" s="74"/>
      <c r="E946" s="79"/>
      <c r="F946" s="79"/>
      <c r="G946" s="28"/>
      <c r="H946" s="74"/>
      <c r="I946" s="74"/>
      <c r="J946" s="80"/>
      <c r="K946" s="74"/>
    </row>
    <row r="947" spans="1:11" ht="30" customHeight="1" x14ac:dyDescent="0.25">
      <c r="A947" s="78"/>
      <c r="B947" s="79"/>
      <c r="C947" s="27"/>
      <c r="D947" s="74"/>
      <c r="E947" s="79"/>
      <c r="F947" s="79"/>
      <c r="G947" s="28"/>
      <c r="H947" s="74"/>
      <c r="I947" s="74"/>
      <c r="J947" s="80"/>
      <c r="K947" s="74"/>
    </row>
    <row r="948" spans="1:11" ht="30" customHeight="1" x14ac:dyDescent="0.25">
      <c r="A948" s="78"/>
      <c r="B948" s="79"/>
      <c r="C948" s="27"/>
      <c r="D948" s="74"/>
      <c r="E948" s="79"/>
      <c r="F948" s="79"/>
      <c r="G948" s="28"/>
      <c r="H948" s="74"/>
      <c r="I948" s="74"/>
      <c r="J948" s="80"/>
      <c r="K948" s="74"/>
    </row>
    <row r="949" spans="1:11" ht="30" customHeight="1" x14ac:dyDescent="0.25">
      <c r="A949" s="78"/>
      <c r="B949" s="79"/>
      <c r="C949" s="27"/>
      <c r="D949" s="74"/>
      <c r="E949" s="79"/>
      <c r="F949" s="79"/>
      <c r="G949" s="28"/>
      <c r="H949" s="74"/>
      <c r="I949" s="74"/>
      <c r="J949" s="80"/>
      <c r="K949" s="74"/>
    </row>
    <row r="950" spans="1:11" ht="30" customHeight="1" x14ac:dyDescent="0.25">
      <c r="A950" s="78"/>
      <c r="B950" s="79"/>
      <c r="C950" s="27"/>
      <c r="D950" s="74"/>
      <c r="E950" s="79"/>
      <c r="F950" s="79"/>
      <c r="G950" s="28"/>
      <c r="H950" s="74"/>
      <c r="I950" s="74"/>
      <c r="J950" s="80"/>
      <c r="K950" s="74"/>
    </row>
    <row r="951" spans="1:11" ht="30" customHeight="1" x14ac:dyDescent="0.25">
      <c r="A951" s="78"/>
      <c r="B951" s="79"/>
      <c r="C951" s="27"/>
      <c r="D951" s="74"/>
      <c r="E951" s="79"/>
      <c r="F951" s="79"/>
      <c r="G951" s="28"/>
      <c r="H951" s="74"/>
      <c r="I951" s="74"/>
      <c r="J951" s="80"/>
      <c r="K951" s="74"/>
    </row>
    <row r="952" spans="1:11" ht="30" customHeight="1" x14ac:dyDescent="0.25">
      <c r="A952" s="78"/>
      <c r="B952" s="79"/>
      <c r="C952" s="27"/>
      <c r="D952" s="74"/>
      <c r="E952" s="79"/>
      <c r="F952" s="79"/>
      <c r="G952" s="28"/>
      <c r="H952" s="74"/>
      <c r="I952" s="74"/>
      <c r="J952" s="80"/>
      <c r="K952" s="74"/>
    </row>
    <row r="953" spans="1:11" ht="30" customHeight="1" x14ac:dyDescent="0.25">
      <c r="A953" s="78"/>
      <c r="B953" s="79"/>
      <c r="C953" s="27"/>
      <c r="D953" s="74"/>
      <c r="E953" s="79"/>
      <c r="F953" s="79"/>
      <c r="G953" s="28"/>
      <c r="H953" s="74"/>
      <c r="I953" s="74"/>
      <c r="J953" s="80"/>
      <c r="K953" s="74"/>
    </row>
    <row r="954" spans="1:11" ht="30" customHeight="1" x14ac:dyDescent="0.25">
      <c r="A954" s="78"/>
      <c r="B954" s="79"/>
      <c r="C954" s="27"/>
      <c r="D954" s="74"/>
      <c r="E954" s="79"/>
      <c r="F954" s="79"/>
      <c r="G954" s="28"/>
      <c r="H954" s="74"/>
      <c r="I954" s="74"/>
      <c r="J954" s="80"/>
      <c r="K954" s="74"/>
    </row>
    <row r="955" spans="1:11" ht="30" customHeight="1" x14ac:dyDescent="0.25">
      <c r="A955" s="78"/>
      <c r="B955" s="79"/>
      <c r="C955" s="27"/>
      <c r="D955" s="74"/>
      <c r="E955" s="79"/>
      <c r="F955" s="79"/>
      <c r="G955" s="28"/>
      <c r="H955" s="74"/>
      <c r="I955" s="74"/>
      <c r="J955" s="80"/>
      <c r="K955" s="74"/>
    </row>
    <row r="956" spans="1:11" ht="30" customHeight="1" x14ac:dyDescent="0.25">
      <c r="A956" s="78"/>
      <c r="B956" s="79"/>
      <c r="C956" s="27"/>
      <c r="D956" s="74"/>
      <c r="E956" s="79"/>
      <c r="F956" s="79"/>
      <c r="G956" s="28"/>
      <c r="H956" s="74"/>
      <c r="I956" s="74"/>
      <c r="J956" s="80"/>
      <c r="K956" s="74"/>
    </row>
    <row r="957" spans="1:11" ht="30" customHeight="1" x14ac:dyDescent="0.25">
      <c r="A957" s="78"/>
      <c r="B957" s="79"/>
      <c r="C957" s="27"/>
      <c r="D957" s="74"/>
      <c r="E957" s="79"/>
      <c r="F957" s="79"/>
      <c r="G957" s="28"/>
      <c r="H957" s="74"/>
      <c r="I957" s="74"/>
      <c r="J957" s="80"/>
      <c r="K957" s="74"/>
    </row>
    <row r="958" spans="1:11" ht="30" customHeight="1" x14ac:dyDescent="0.25">
      <c r="A958" s="78"/>
      <c r="B958" s="79"/>
      <c r="C958" s="27"/>
      <c r="D958" s="74"/>
      <c r="E958" s="79"/>
      <c r="F958" s="79"/>
      <c r="G958" s="28"/>
      <c r="H958" s="74"/>
      <c r="I958" s="74"/>
      <c r="J958" s="80"/>
      <c r="K958" s="74"/>
    </row>
    <row r="959" spans="1:11" ht="30" customHeight="1" x14ac:dyDescent="0.25">
      <c r="A959" s="78"/>
      <c r="B959" s="79"/>
      <c r="C959" s="27"/>
      <c r="D959" s="74"/>
      <c r="E959" s="79"/>
      <c r="F959" s="79"/>
      <c r="G959" s="28"/>
      <c r="H959" s="74"/>
      <c r="I959" s="74"/>
      <c r="J959" s="80"/>
      <c r="K959" s="74"/>
    </row>
    <row r="960" spans="1:11" ht="30" customHeight="1" x14ac:dyDescent="0.25">
      <c r="A960" s="78"/>
      <c r="B960" s="79"/>
      <c r="C960" s="27"/>
      <c r="D960" s="74"/>
      <c r="E960" s="79"/>
      <c r="F960" s="79"/>
      <c r="G960" s="28"/>
      <c r="H960" s="74"/>
      <c r="I960" s="74"/>
      <c r="J960" s="80"/>
      <c r="K960" s="74"/>
    </row>
    <row r="961" spans="1:11" ht="30" customHeight="1" x14ac:dyDescent="0.25">
      <c r="A961" s="78"/>
      <c r="B961" s="79"/>
      <c r="C961" s="27"/>
      <c r="D961" s="74"/>
      <c r="E961" s="79"/>
      <c r="F961" s="79"/>
      <c r="G961" s="28"/>
      <c r="H961" s="74"/>
      <c r="I961" s="74"/>
      <c r="J961" s="80"/>
      <c r="K961" s="74"/>
    </row>
    <row r="962" spans="1:11" ht="30" customHeight="1" x14ac:dyDescent="0.25">
      <c r="A962" s="78"/>
      <c r="B962" s="79"/>
      <c r="C962" s="27"/>
      <c r="D962" s="74"/>
      <c r="E962" s="79"/>
      <c r="F962" s="79"/>
      <c r="G962" s="28"/>
      <c r="H962" s="74"/>
      <c r="I962" s="74"/>
      <c r="J962" s="80"/>
      <c r="K962" s="74"/>
    </row>
    <row r="963" spans="1:11" ht="30" customHeight="1" x14ac:dyDescent="0.25">
      <c r="A963" s="78"/>
      <c r="B963" s="79"/>
      <c r="C963" s="27"/>
      <c r="D963" s="74"/>
      <c r="E963" s="79"/>
      <c r="F963" s="79"/>
      <c r="G963" s="28"/>
      <c r="H963" s="74"/>
      <c r="I963" s="74"/>
      <c r="J963" s="80"/>
      <c r="K963" s="74"/>
    </row>
    <row r="964" spans="1:11" ht="30" customHeight="1" x14ac:dyDescent="0.25">
      <c r="A964" s="78"/>
      <c r="B964" s="79"/>
      <c r="C964" s="27"/>
      <c r="D964" s="74"/>
      <c r="E964" s="79"/>
      <c r="F964" s="79"/>
      <c r="G964" s="28"/>
      <c r="H964" s="74"/>
      <c r="I964" s="74"/>
      <c r="J964" s="80"/>
      <c r="K964" s="74"/>
    </row>
    <row r="965" spans="1:11" ht="30" customHeight="1" x14ac:dyDescent="0.25">
      <c r="A965" s="78"/>
      <c r="B965" s="79"/>
      <c r="C965" s="27"/>
      <c r="D965" s="74"/>
      <c r="E965" s="79"/>
      <c r="F965" s="79"/>
      <c r="G965" s="28"/>
      <c r="H965" s="74"/>
      <c r="I965" s="74"/>
      <c r="J965" s="80"/>
      <c r="K965" s="74"/>
    </row>
    <row r="966" spans="1:11" ht="30" customHeight="1" x14ac:dyDescent="0.25">
      <c r="A966" s="78"/>
      <c r="B966" s="79"/>
      <c r="C966" s="27"/>
      <c r="D966" s="74"/>
      <c r="E966" s="79"/>
      <c r="F966" s="79"/>
      <c r="G966" s="28"/>
      <c r="H966" s="74"/>
      <c r="I966" s="74"/>
      <c r="J966" s="80"/>
      <c r="K966" s="74"/>
    </row>
    <row r="967" spans="1:11" ht="30" customHeight="1" x14ac:dyDescent="0.25">
      <c r="A967" s="78"/>
      <c r="B967" s="79"/>
      <c r="C967" s="27"/>
      <c r="D967" s="74"/>
      <c r="E967" s="79"/>
      <c r="F967" s="79"/>
      <c r="G967" s="28"/>
      <c r="H967" s="74"/>
      <c r="I967" s="74"/>
      <c r="J967" s="80"/>
      <c r="K967" s="74"/>
    </row>
    <row r="968" spans="1:11" ht="30" customHeight="1" x14ac:dyDescent="0.25">
      <c r="A968" s="78"/>
      <c r="B968" s="79"/>
      <c r="C968" s="27"/>
      <c r="D968" s="74"/>
      <c r="E968" s="79"/>
      <c r="F968" s="79"/>
      <c r="G968" s="28"/>
      <c r="H968" s="74"/>
      <c r="I968" s="74"/>
      <c r="J968" s="80"/>
      <c r="K968" s="74"/>
    </row>
    <row r="969" spans="1:11" ht="30" customHeight="1" x14ac:dyDescent="0.25">
      <c r="A969" s="78"/>
      <c r="B969" s="79"/>
      <c r="C969" s="27"/>
      <c r="D969" s="74"/>
      <c r="E969" s="79"/>
      <c r="F969" s="79"/>
      <c r="G969" s="28"/>
      <c r="H969" s="74"/>
      <c r="I969" s="74"/>
      <c r="J969" s="80"/>
      <c r="K969" s="74"/>
    </row>
    <row r="970" spans="1:11" ht="30" customHeight="1" x14ac:dyDescent="0.25">
      <c r="A970" s="78"/>
      <c r="B970" s="79"/>
      <c r="C970" s="27"/>
      <c r="D970" s="74"/>
      <c r="E970" s="79"/>
      <c r="F970" s="79"/>
      <c r="G970" s="28"/>
      <c r="H970" s="74"/>
      <c r="I970" s="74"/>
      <c r="J970" s="80"/>
      <c r="K970" s="74"/>
    </row>
    <row r="971" spans="1:11" ht="30" customHeight="1" x14ac:dyDescent="0.25">
      <c r="A971" s="78"/>
      <c r="B971" s="79"/>
      <c r="C971" s="27"/>
      <c r="D971" s="74"/>
      <c r="E971" s="79"/>
      <c r="F971" s="79"/>
      <c r="G971" s="28"/>
      <c r="H971" s="74"/>
      <c r="I971" s="74"/>
      <c r="J971" s="80"/>
      <c r="K971" s="74"/>
    </row>
    <row r="972" spans="1:11" ht="30" customHeight="1" x14ac:dyDescent="0.25">
      <c r="A972" s="78"/>
      <c r="B972" s="79"/>
      <c r="C972" s="27"/>
      <c r="D972" s="74"/>
      <c r="E972" s="79"/>
      <c r="F972" s="79"/>
      <c r="G972" s="28"/>
      <c r="H972" s="74"/>
      <c r="I972" s="74"/>
      <c r="J972" s="80"/>
      <c r="K972" s="74"/>
    </row>
    <row r="973" spans="1:11" ht="30" customHeight="1" x14ac:dyDescent="0.25">
      <c r="A973" s="78"/>
      <c r="B973" s="79"/>
      <c r="C973" s="27"/>
      <c r="D973" s="74"/>
      <c r="E973" s="79"/>
      <c r="F973" s="79"/>
      <c r="G973" s="28"/>
      <c r="H973" s="74"/>
      <c r="I973" s="74"/>
      <c r="J973" s="80"/>
      <c r="K973" s="74"/>
    </row>
    <row r="974" spans="1:11" ht="30" customHeight="1" x14ac:dyDescent="0.25">
      <c r="A974" s="78"/>
      <c r="B974" s="79"/>
      <c r="C974" s="27"/>
      <c r="D974" s="74"/>
      <c r="E974" s="79"/>
      <c r="F974" s="79"/>
      <c r="G974" s="28"/>
      <c r="H974" s="74"/>
      <c r="I974" s="74"/>
      <c r="J974" s="80"/>
      <c r="K974" s="74"/>
    </row>
    <row r="975" spans="1:11" ht="30" customHeight="1" x14ac:dyDescent="0.25">
      <c r="A975" s="78"/>
      <c r="B975" s="79"/>
      <c r="C975" s="27"/>
      <c r="D975" s="74"/>
      <c r="E975" s="79"/>
      <c r="F975" s="79"/>
      <c r="G975" s="28"/>
      <c r="H975" s="74"/>
      <c r="I975" s="74"/>
      <c r="J975" s="80"/>
      <c r="K975" s="74"/>
    </row>
    <row r="976" spans="1:11" ht="30" customHeight="1" x14ac:dyDescent="0.25">
      <c r="A976" s="78"/>
      <c r="B976" s="79"/>
      <c r="C976" s="27"/>
      <c r="D976" s="74"/>
      <c r="E976" s="79"/>
      <c r="F976" s="79"/>
      <c r="G976" s="28"/>
      <c r="H976" s="74"/>
      <c r="I976" s="74"/>
      <c r="J976" s="80"/>
      <c r="K976" s="74"/>
    </row>
    <row r="977" spans="1:11" ht="30" customHeight="1" x14ac:dyDescent="0.25">
      <c r="A977" s="78"/>
      <c r="B977" s="79"/>
      <c r="C977" s="27"/>
      <c r="D977" s="74"/>
      <c r="E977" s="79"/>
      <c r="F977" s="79"/>
      <c r="G977" s="28"/>
      <c r="H977" s="74"/>
      <c r="I977" s="74"/>
      <c r="J977" s="80"/>
      <c r="K977" s="74"/>
    </row>
    <row r="978" spans="1:11" ht="30" customHeight="1" x14ac:dyDescent="0.25">
      <c r="A978" s="78"/>
      <c r="B978" s="79"/>
      <c r="C978" s="27"/>
      <c r="D978" s="74"/>
      <c r="E978" s="79"/>
      <c r="F978" s="79"/>
      <c r="G978" s="28"/>
      <c r="H978" s="74"/>
      <c r="I978" s="74"/>
      <c r="J978" s="80"/>
      <c r="K978" s="74"/>
    </row>
    <row r="979" spans="1:11" ht="30" customHeight="1" x14ac:dyDescent="0.25">
      <c r="A979" s="78"/>
      <c r="B979" s="79"/>
      <c r="C979" s="27"/>
      <c r="D979" s="74"/>
      <c r="E979" s="79"/>
      <c r="F979" s="79"/>
      <c r="G979" s="28"/>
      <c r="H979" s="74"/>
      <c r="I979" s="74"/>
      <c r="J979" s="80"/>
      <c r="K979" s="74"/>
    </row>
    <row r="980" spans="1:11" ht="30" customHeight="1" x14ac:dyDescent="0.25">
      <c r="A980" s="78"/>
      <c r="B980" s="79"/>
      <c r="C980" s="27"/>
      <c r="D980" s="74"/>
      <c r="E980" s="79"/>
      <c r="F980" s="79"/>
      <c r="G980" s="28"/>
      <c r="H980" s="74"/>
      <c r="I980" s="74"/>
      <c r="J980" s="80"/>
      <c r="K980" s="74"/>
    </row>
    <row r="981" spans="1:11" ht="30" customHeight="1" x14ac:dyDescent="0.25">
      <c r="A981" s="78"/>
      <c r="B981" s="79"/>
      <c r="C981" s="27"/>
      <c r="D981" s="74"/>
      <c r="E981" s="79"/>
      <c r="F981" s="79"/>
      <c r="G981" s="28"/>
      <c r="H981" s="74"/>
      <c r="I981" s="74"/>
      <c r="J981" s="80"/>
      <c r="K981" s="74"/>
    </row>
    <row r="982" spans="1:11" ht="30" customHeight="1" x14ac:dyDescent="0.25">
      <c r="A982" s="78"/>
      <c r="B982" s="79"/>
      <c r="C982" s="27"/>
      <c r="D982" s="74"/>
      <c r="E982" s="79"/>
      <c r="F982" s="79"/>
      <c r="G982" s="28"/>
      <c r="H982" s="74"/>
      <c r="I982" s="74"/>
      <c r="J982" s="80"/>
      <c r="K982" s="74"/>
    </row>
    <row r="983" spans="1:11" ht="30" customHeight="1" x14ac:dyDescent="0.25">
      <c r="A983" s="78"/>
      <c r="B983" s="79"/>
      <c r="C983" s="27"/>
      <c r="D983" s="74"/>
      <c r="E983" s="79"/>
      <c r="F983" s="79"/>
      <c r="G983" s="28"/>
      <c r="H983" s="74"/>
      <c r="I983" s="74"/>
      <c r="J983" s="80"/>
      <c r="K983" s="74"/>
    </row>
    <row r="984" spans="1:11" ht="30" customHeight="1" x14ac:dyDescent="0.25">
      <c r="A984" s="78"/>
      <c r="B984" s="79"/>
      <c r="C984" s="27"/>
      <c r="D984" s="74"/>
      <c r="E984" s="79"/>
      <c r="F984" s="79"/>
      <c r="G984" s="28"/>
      <c r="H984" s="74"/>
      <c r="I984" s="74"/>
      <c r="J984" s="80"/>
      <c r="K984" s="74"/>
    </row>
    <row r="985" spans="1:11" ht="30" customHeight="1" x14ac:dyDescent="0.25">
      <c r="A985" s="78"/>
      <c r="B985" s="79"/>
      <c r="C985" s="27"/>
      <c r="D985" s="74"/>
      <c r="E985" s="79"/>
      <c r="F985" s="79"/>
      <c r="G985" s="28"/>
      <c r="H985" s="74"/>
      <c r="I985" s="74"/>
      <c r="J985" s="80"/>
      <c r="K985" s="74"/>
    </row>
    <row r="986" spans="1:11" ht="30" customHeight="1" x14ac:dyDescent="0.25">
      <c r="A986" s="78"/>
      <c r="B986" s="79"/>
      <c r="C986" s="27"/>
      <c r="D986" s="74"/>
      <c r="E986" s="79"/>
      <c r="F986" s="79"/>
      <c r="G986" s="28"/>
      <c r="H986" s="74"/>
      <c r="I986" s="74"/>
      <c r="J986" s="80"/>
      <c r="K986" s="74"/>
    </row>
    <row r="987" spans="1:11" ht="30" customHeight="1" x14ac:dyDescent="0.25">
      <c r="A987" s="78"/>
      <c r="B987" s="79"/>
      <c r="C987" s="27"/>
      <c r="D987" s="74"/>
      <c r="E987" s="79"/>
      <c r="F987" s="79"/>
      <c r="G987" s="28"/>
      <c r="H987" s="74"/>
      <c r="I987" s="74"/>
      <c r="J987" s="80"/>
      <c r="K987" s="74"/>
    </row>
    <row r="988" spans="1:11" ht="30" customHeight="1" x14ac:dyDescent="0.25">
      <c r="A988" s="78"/>
      <c r="B988" s="79"/>
      <c r="C988" s="27"/>
      <c r="D988" s="74"/>
      <c r="E988" s="79"/>
      <c r="F988" s="79"/>
      <c r="G988" s="28"/>
      <c r="H988" s="74"/>
      <c r="I988" s="74"/>
      <c r="J988" s="80"/>
      <c r="K988" s="74"/>
    </row>
    <row r="989" spans="1:11" ht="30" customHeight="1" x14ac:dyDescent="0.25">
      <c r="A989" s="78"/>
      <c r="B989" s="79"/>
      <c r="C989" s="27"/>
      <c r="D989" s="74"/>
      <c r="E989" s="79"/>
      <c r="F989" s="79"/>
      <c r="G989" s="28"/>
      <c r="H989" s="74"/>
      <c r="I989" s="74"/>
      <c r="J989" s="80"/>
      <c r="K989" s="74"/>
    </row>
    <row r="990" spans="1:11" ht="30" customHeight="1" x14ac:dyDescent="0.25">
      <c r="A990" s="78"/>
      <c r="B990" s="79"/>
      <c r="C990" s="27"/>
      <c r="D990" s="74"/>
      <c r="E990" s="79"/>
      <c r="F990" s="79"/>
      <c r="G990" s="28"/>
      <c r="H990" s="74"/>
      <c r="I990" s="74"/>
      <c r="J990" s="80"/>
      <c r="K990" s="74"/>
    </row>
    <row r="991" spans="1:11" ht="30" customHeight="1" x14ac:dyDescent="0.25">
      <c r="A991" s="78"/>
      <c r="B991" s="79"/>
      <c r="C991" s="27"/>
      <c r="D991" s="74"/>
      <c r="E991" s="79"/>
      <c r="F991" s="79"/>
      <c r="G991" s="28"/>
      <c r="H991" s="74"/>
      <c r="I991" s="74"/>
      <c r="J991" s="80"/>
      <c r="K991" s="74"/>
    </row>
    <row r="992" spans="1:11" ht="30" customHeight="1" x14ac:dyDescent="0.25">
      <c r="A992" s="78"/>
      <c r="B992" s="79"/>
      <c r="C992" s="27"/>
      <c r="D992" s="74"/>
      <c r="E992" s="79"/>
      <c r="F992" s="79"/>
      <c r="G992" s="28"/>
      <c r="H992" s="74"/>
      <c r="I992" s="74"/>
      <c r="J992" s="80"/>
      <c r="K992" s="74"/>
    </row>
    <row r="993" spans="1:11" ht="30" customHeight="1" x14ac:dyDescent="0.25">
      <c r="A993" s="78"/>
      <c r="B993" s="79"/>
      <c r="C993" s="27"/>
      <c r="D993" s="74"/>
      <c r="E993" s="79"/>
      <c r="F993" s="79"/>
      <c r="G993" s="28"/>
      <c r="H993" s="74"/>
      <c r="I993" s="74"/>
      <c r="J993" s="80"/>
      <c r="K993" s="74"/>
    </row>
    <row r="994" spans="1:11" ht="30" customHeight="1" x14ac:dyDescent="0.25">
      <c r="A994" s="78"/>
      <c r="B994" s="79"/>
      <c r="C994" s="27"/>
      <c r="D994" s="74"/>
      <c r="E994" s="79"/>
      <c r="F994" s="79"/>
      <c r="G994" s="28"/>
      <c r="H994" s="74"/>
      <c r="I994" s="74"/>
      <c r="J994" s="80"/>
      <c r="K994" s="74"/>
    </row>
    <row r="995" spans="1:11" ht="30" customHeight="1" x14ac:dyDescent="0.25">
      <c r="A995" s="78"/>
      <c r="B995" s="79"/>
      <c r="C995" s="27"/>
      <c r="D995" s="74"/>
      <c r="E995" s="79"/>
      <c r="F995" s="79"/>
      <c r="G995" s="28"/>
      <c r="H995" s="74"/>
      <c r="I995" s="74"/>
      <c r="J995" s="80"/>
      <c r="K995" s="74"/>
    </row>
    <row r="996" spans="1:11" ht="30" customHeight="1" x14ac:dyDescent="0.25">
      <c r="A996" s="78"/>
      <c r="B996" s="79"/>
      <c r="C996" s="27"/>
      <c r="D996" s="74"/>
      <c r="E996" s="79"/>
      <c r="F996" s="79"/>
      <c r="G996" s="28"/>
      <c r="H996" s="74"/>
      <c r="I996" s="74"/>
      <c r="J996" s="80"/>
      <c r="K996" s="74"/>
    </row>
    <row r="997" spans="1:11" ht="30" customHeight="1" x14ac:dyDescent="0.25">
      <c r="A997" s="78"/>
      <c r="B997" s="79"/>
      <c r="C997" s="27"/>
      <c r="D997" s="74"/>
      <c r="E997" s="79"/>
      <c r="F997" s="79"/>
      <c r="G997" s="28"/>
      <c r="H997" s="74"/>
      <c r="I997" s="74"/>
      <c r="J997" s="80"/>
      <c r="K997" s="74"/>
    </row>
    <row r="998" spans="1:11" ht="30" customHeight="1" x14ac:dyDescent="0.25">
      <c r="A998" s="78"/>
      <c r="B998" s="79"/>
      <c r="C998" s="27"/>
      <c r="D998" s="74"/>
      <c r="E998" s="79"/>
      <c r="F998" s="79"/>
      <c r="G998" s="28"/>
      <c r="H998" s="74"/>
      <c r="I998" s="74"/>
      <c r="J998" s="80"/>
      <c r="K998" s="74"/>
    </row>
    <row r="999" spans="1:11" ht="30" customHeight="1" x14ac:dyDescent="0.25">
      <c r="A999" s="78"/>
      <c r="B999" s="79"/>
      <c r="C999" s="27"/>
      <c r="D999" s="74"/>
      <c r="E999" s="79"/>
      <c r="F999" s="79"/>
      <c r="G999" s="28"/>
      <c r="H999" s="74"/>
      <c r="I999" s="74"/>
      <c r="J999" s="80"/>
      <c r="K999" s="74"/>
    </row>
    <row r="1000" spans="1:11" ht="30" customHeight="1" x14ac:dyDescent="0.25">
      <c r="A1000" s="78"/>
      <c r="B1000" s="79"/>
      <c r="C1000" s="27"/>
      <c r="D1000" s="74"/>
      <c r="E1000" s="79"/>
      <c r="F1000" s="79"/>
      <c r="G1000" s="28"/>
      <c r="H1000" s="74"/>
      <c r="I1000" s="74"/>
      <c r="J1000" s="80"/>
      <c r="K1000" s="74"/>
    </row>
    <row r="1001" spans="1:11" ht="30" customHeight="1" x14ac:dyDescent="0.25">
      <c r="A1001" s="78"/>
      <c r="B1001" s="79"/>
      <c r="C1001" s="27"/>
      <c r="D1001" s="74"/>
      <c r="E1001" s="79"/>
      <c r="F1001" s="79"/>
      <c r="G1001" s="28"/>
      <c r="H1001" s="74"/>
      <c r="I1001" s="74"/>
      <c r="J1001" s="80"/>
      <c r="K1001" s="74"/>
    </row>
    <row r="1002" spans="1:11" ht="30" customHeight="1" x14ac:dyDescent="0.25">
      <c r="A1002" s="78"/>
      <c r="B1002" s="79"/>
      <c r="C1002" s="27"/>
      <c r="D1002" s="74"/>
      <c r="E1002" s="79"/>
      <c r="F1002" s="79"/>
      <c r="G1002" s="28"/>
      <c r="H1002" s="74"/>
      <c r="I1002" s="74"/>
      <c r="J1002" s="80"/>
      <c r="K1002" s="74"/>
    </row>
    <row r="1003" spans="1:11" ht="30" customHeight="1" x14ac:dyDescent="0.25">
      <c r="A1003" s="78"/>
      <c r="B1003" s="79"/>
      <c r="C1003" s="27"/>
      <c r="D1003" s="74"/>
      <c r="E1003" s="79"/>
      <c r="F1003" s="79"/>
      <c r="G1003" s="28"/>
      <c r="H1003" s="74"/>
      <c r="I1003" s="74"/>
      <c r="J1003" s="80"/>
      <c r="K1003" s="74"/>
    </row>
    <row r="1004" spans="1:11" ht="30" customHeight="1" x14ac:dyDescent="0.25">
      <c r="A1004" s="78"/>
      <c r="B1004" s="79"/>
      <c r="C1004" s="27"/>
      <c r="D1004" s="74"/>
      <c r="E1004" s="79"/>
      <c r="F1004" s="79"/>
      <c r="G1004" s="28"/>
      <c r="H1004" s="74"/>
      <c r="I1004" s="74"/>
      <c r="J1004" s="80"/>
      <c r="K1004" s="74"/>
    </row>
    <row r="1005" spans="1:11" ht="30" customHeight="1" x14ac:dyDescent="0.25">
      <c r="A1005" s="78"/>
      <c r="B1005" s="79"/>
      <c r="C1005" s="27"/>
      <c r="D1005" s="74"/>
      <c r="E1005" s="79"/>
      <c r="F1005" s="79"/>
      <c r="G1005" s="28"/>
      <c r="H1005" s="74"/>
      <c r="I1005" s="74"/>
      <c r="J1005" s="80"/>
      <c r="K1005" s="74"/>
    </row>
    <row r="1006" spans="1:11" ht="30" customHeight="1" x14ac:dyDescent="0.25">
      <c r="A1006" s="78"/>
      <c r="B1006" s="79"/>
      <c r="C1006" s="27"/>
      <c r="D1006" s="74"/>
      <c r="E1006" s="79"/>
      <c r="F1006" s="79"/>
      <c r="G1006" s="28"/>
      <c r="H1006" s="74"/>
      <c r="I1006" s="74"/>
      <c r="J1006" s="80"/>
      <c r="K1006" s="74"/>
    </row>
    <row r="1007" spans="1:11" ht="30" customHeight="1" x14ac:dyDescent="0.25">
      <c r="A1007" s="78"/>
      <c r="B1007" s="79"/>
      <c r="C1007" s="27"/>
      <c r="D1007" s="74"/>
      <c r="E1007" s="79"/>
      <c r="F1007" s="79"/>
      <c r="G1007" s="28"/>
      <c r="H1007" s="74"/>
      <c r="I1007" s="74"/>
      <c r="J1007" s="80"/>
      <c r="K1007" s="74"/>
    </row>
    <row r="1008" spans="1:11" ht="30" customHeight="1" x14ac:dyDescent="0.25">
      <c r="A1008" s="78"/>
      <c r="B1008" s="79"/>
      <c r="C1008" s="27"/>
      <c r="D1008" s="74"/>
      <c r="E1008" s="79"/>
      <c r="F1008" s="79"/>
      <c r="G1008" s="28"/>
      <c r="H1008" s="74"/>
      <c r="I1008" s="74"/>
      <c r="J1008" s="80"/>
      <c r="K1008" s="74"/>
    </row>
    <row r="1009" spans="1:11" ht="30" customHeight="1" x14ac:dyDescent="0.25">
      <c r="A1009" s="78"/>
      <c r="B1009" s="79"/>
      <c r="C1009" s="27"/>
      <c r="D1009" s="74"/>
      <c r="E1009" s="79"/>
      <c r="F1009" s="79"/>
      <c r="G1009" s="28"/>
      <c r="H1009" s="74"/>
      <c r="I1009" s="74"/>
      <c r="J1009" s="80"/>
      <c r="K1009" s="74"/>
    </row>
    <row r="1010" spans="1:11" ht="30" customHeight="1" x14ac:dyDescent="0.25">
      <c r="A1010" s="78"/>
      <c r="B1010" s="79"/>
      <c r="C1010" s="27"/>
      <c r="D1010" s="74"/>
      <c r="E1010" s="79"/>
      <c r="F1010" s="79"/>
      <c r="G1010" s="28"/>
      <c r="H1010" s="74"/>
      <c r="I1010" s="74"/>
      <c r="J1010" s="80"/>
      <c r="K1010" s="74"/>
    </row>
    <row r="1011" spans="1:11" ht="30" customHeight="1" x14ac:dyDescent="0.25">
      <c r="A1011" s="78"/>
      <c r="B1011" s="79"/>
      <c r="C1011" s="27"/>
      <c r="D1011" s="74"/>
      <c r="E1011" s="79"/>
      <c r="F1011" s="79"/>
      <c r="G1011" s="28"/>
      <c r="H1011" s="74"/>
      <c r="I1011" s="74"/>
      <c r="J1011" s="80"/>
      <c r="K1011" s="74"/>
    </row>
    <row r="1012" spans="1:11" ht="30" customHeight="1" x14ac:dyDescent="0.25">
      <c r="A1012" s="78"/>
      <c r="B1012" s="79"/>
      <c r="C1012" s="27"/>
      <c r="D1012" s="74"/>
      <c r="E1012" s="79"/>
      <c r="F1012" s="79"/>
      <c r="G1012" s="28"/>
      <c r="H1012" s="74"/>
      <c r="I1012" s="74"/>
      <c r="J1012" s="80"/>
      <c r="K1012" s="74"/>
    </row>
    <row r="1013" spans="1:11" ht="30" customHeight="1" x14ac:dyDescent="0.25">
      <c r="A1013" s="78"/>
      <c r="B1013" s="79"/>
      <c r="C1013" s="27"/>
      <c r="D1013" s="74"/>
      <c r="E1013" s="79"/>
      <c r="F1013" s="79"/>
      <c r="G1013" s="28"/>
      <c r="H1013" s="74"/>
      <c r="I1013" s="74"/>
      <c r="J1013" s="80"/>
      <c r="K1013" s="74"/>
    </row>
    <row r="1014" spans="1:11" ht="30" customHeight="1" x14ac:dyDescent="0.25">
      <c r="A1014" s="78"/>
      <c r="B1014" s="79"/>
      <c r="C1014" s="27"/>
      <c r="D1014" s="74"/>
      <c r="E1014" s="79"/>
      <c r="F1014" s="79"/>
      <c r="G1014" s="28"/>
      <c r="H1014" s="74"/>
      <c r="I1014" s="74"/>
      <c r="J1014" s="80"/>
      <c r="K1014" s="74"/>
    </row>
    <row r="1015" spans="1:11" ht="30" customHeight="1" x14ac:dyDescent="0.25">
      <c r="A1015" s="78"/>
      <c r="B1015" s="79"/>
      <c r="C1015" s="27"/>
      <c r="D1015" s="74"/>
      <c r="E1015" s="79"/>
      <c r="F1015" s="79"/>
      <c r="G1015" s="28"/>
      <c r="H1015" s="74"/>
      <c r="I1015" s="74"/>
      <c r="J1015" s="80"/>
      <c r="K1015" s="74"/>
    </row>
    <row r="1016" spans="1:11" ht="30" customHeight="1" x14ac:dyDescent="0.25">
      <c r="A1016" s="78"/>
      <c r="B1016" s="79"/>
      <c r="C1016" s="27"/>
      <c r="D1016" s="74"/>
      <c r="E1016" s="79"/>
      <c r="F1016" s="79"/>
      <c r="G1016" s="28"/>
      <c r="H1016" s="74"/>
      <c r="I1016" s="74"/>
      <c r="J1016" s="80"/>
      <c r="K1016" s="74"/>
    </row>
    <row r="1017" spans="1:11" ht="30" customHeight="1" x14ac:dyDescent="0.25">
      <c r="A1017" s="78"/>
      <c r="B1017" s="79"/>
      <c r="C1017" s="27"/>
      <c r="D1017" s="74"/>
      <c r="E1017" s="79"/>
      <c r="F1017" s="79"/>
      <c r="G1017" s="28"/>
      <c r="H1017" s="74"/>
      <c r="I1017" s="74"/>
      <c r="J1017" s="80"/>
      <c r="K1017" s="74"/>
    </row>
    <row r="1018" spans="1:11" ht="30" customHeight="1" x14ac:dyDescent="0.25">
      <c r="A1018" s="78"/>
      <c r="B1018" s="79"/>
      <c r="C1018" s="27"/>
      <c r="D1018" s="74"/>
      <c r="E1018" s="79"/>
      <c r="F1018" s="79"/>
      <c r="G1018" s="28"/>
      <c r="H1018" s="74"/>
      <c r="I1018" s="74"/>
      <c r="J1018" s="80"/>
      <c r="K1018" s="74"/>
    </row>
    <row r="1019" spans="1:11" ht="30" customHeight="1" x14ac:dyDescent="0.25">
      <c r="A1019" s="78"/>
      <c r="B1019" s="79"/>
      <c r="C1019" s="27"/>
      <c r="D1019" s="74"/>
      <c r="E1019" s="79"/>
      <c r="F1019" s="79"/>
      <c r="G1019" s="28"/>
      <c r="H1019" s="74"/>
      <c r="I1019" s="74"/>
      <c r="J1019" s="80"/>
      <c r="K1019" s="74"/>
    </row>
    <row r="1020" spans="1:11" ht="30" customHeight="1" x14ac:dyDescent="0.25">
      <c r="A1020" s="78"/>
      <c r="B1020" s="79"/>
      <c r="C1020" s="27"/>
      <c r="D1020" s="74"/>
      <c r="E1020" s="79"/>
      <c r="F1020" s="79"/>
      <c r="G1020" s="28"/>
      <c r="H1020" s="74"/>
      <c r="I1020" s="74"/>
      <c r="J1020" s="80"/>
      <c r="K1020" s="74"/>
    </row>
    <row r="1021" spans="1:11" ht="30" customHeight="1" x14ac:dyDescent="0.25">
      <c r="A1021" s="78"/>
      <c r="B1021" s="79"/>
      <c r="C1021" s="27"/>
      <c r="D1021" s="74"/>
      <c r="E1021" s="79"/>
      <c r="F1021" s="79"/>
      <c r="G1021" s="28"/>
      <c r="H1021" s="74"/>
      <c r="I1021" s="74"/>
      <c r="J1021" s="80"/>
      <c r="K1021" s="74"/>
    </row>
    <row r="1022" spans="1:11" ht="30" customHeight="1" x14ac:dyDescent="0.25">
      <c r="A1022" s="78"/>
      <c r="B1022" s="79"/>
      <c r="C1022" s="27"/>
      <c r="D1022" s="74"/>
      <c r="E1022" s="79"/>
      <c r="F1022" s="79"/>
      <c r="G1022" s="28"/>
      <c r="H1022" s="74"/>
      <c r="I1022" s="74"/>
      <c r="J1022" s="80"/>
      <c r="K1022" s="74"/>
    </row>
    <row r="1023" spans="1:11" ht="30" customHeight="1" x14ac:dyDescent="0.25">
      <c r="A1023" s="78"/>
      <c r="B1023" s="79"/>
      <c r="C1023" s="27"/>
      <c r="D1023" s="74"/>
      <c r="E1023" s="79"/>
      <c r="F1023" s="79"/>
      <c r="G1023" s="28"/>
      <c r="H1023" s="74"/>
      <c r="I1023" s="74"/>
      <c r="J1023" s="80"/>
      <c r="K1023" s="74"/>
    </row>
    <row r="1024" spans="1:11" ht="30" customHeight="1" x14ac:dyDescent="0.25">
      <c r="A1024" s="78"/>
      <c r="B1024" s="79"/>
      <c r="C1024" s="27"/>
      <c r="D1024" s="74"/>
      <c r="E1024" s="79"/>
      <c r="F1024" s="79"/>
      <c r="G1024" s="28"/>
      <c r="H1024" s="74"/>
      <c r="I1024" s="74"/>
      <c r="J1024" s="80"/>
      <c r="K1024" s="74"/>
    </row>
    <row r="1025" spans="1:11" ht="30" customHeight="1" x14ac:dyDescent="0.25">
      <c r="A1025" s="78"/>
      <c r="B1025" s="79"/>
      <c r="C1025" s="27"/>
      <c r="D1025" s="74"/>
      <c r="E1025" s="79"/>
      <c r="F1025" s="79"/>
      <c r="G1025" s="28"/>
      <c r="H1025" s="74"/>
      <c r="I1025" s="74"/>
      <c r="J1025" s="80"/>
      <c r="K1025" s="74"/>
    </row>
    <row r="1026" spans="1:11" ht="30" customHeight="1" x14ac:dyDescent="0.25">
      <c r="A1026" s="78"/>
      <c r="B1026" s="79"/>
      <c r="C1026" s="27"/>
      <c r="D1026" s="74"/>
      <c r="E1026" s="79"/>
      <c r="F1026" s="79"/>
      <c r="G1026" s="28"/>
      <c r="H1026" s="74"/>
      <c r="I1026" s="74"/>
      <c r="J1026" s="80"/>
      <c r="K1026" s="74"/>
    </row>
    <row r="1027" spans="1:11" ht="30" customHeight="1" x14ac:dyDescent="0.25">
      <c r="A1027" s="78"/>
      <c r="B1027" s="79"/>
      <c r="C1027" s="27"/>
      <c r="D1027" s="74"/>
      <c r="E1027" s="79"/>
      <c r="F1027" s="79"/>
      <c r="G1027" s="28"/>
      <c r="H1027" s="74"/>
      <c r="I1027" s="74"/>
      <c r="J1027" s="80"/>
      <c r="K1027" s="74"/>
    </row>
    <row r="1028" spans="1:11" ht="30" customHeight="1" x14ac:dyDescent="0.25">
      <c r="A1028" s="78"/>
      <c r="B1028" s="79"/>
      <c r="C1028" s="27"/>
      <c r="D1028" s="74"/>
      <c r="E1028" s="79"/>
      <c r="F1028" s="79"/>
      <c r="G1028" s="28"/>
      <c r="H1028" s="74"/>
      <c r="I1028" s="74"/>
      <c r="J1028" s="80"/>
      <c r="K1028" s="74"/>
    </row>
    <row r="1029" spans="1:11" ht="30" customHeight="1" x14ac:dyDescent="0.25">
      <c r="A1029" s="78"/>
      <c r="B1029" s="79"/>
      <c r="C1029" s="27"/>
      <c r="D1029" s="74"/>
      <c r="E1029" s="79"/>
      <c r="F1029" s="79"/>
      <c r="G1029" s="28"/>
      <c r="H1029" s="74"/>
      <c r="I1029" s="74"/>
      <c r="J1029" s="80"/>
      <c r="K1029" s="74"/>
    </row>
    <row r="1030" spans="1:11" ht="30" customHeight="1" x14ac:dyDescent="0.25">
      <c r="A1030" s="78"/>
      <c r="B1030" s="79"/>
      <c r="C1030" s="27"/>
      <c r="D1030" s="74"/>
      <c r="E1030" s="79"/>
      <c r="F1030" s="79"/>
      <c r="G1030" s="28"/>
      <c r="H1030" s="74"/>
      <c r="I1030" s="74"/>
      <c r="J1030" s="80"/>
      <c r="K1030" s="74"/>
    </row>
    <row r="1031" spans="1:11" ht="30" customHeight="1" x14ac:dyDescent="0.25">
      <c r="A1031" s="78"/>
      <c r="B1031" s="79"/>
      <c r="C1031" s="27"/>
      <c r="D1031" s="74"/>
      <c r="E1031" s="79"/>
      <c r="F1031" s="79"/>
      <c r="G1031" s="28"/>
      <c r="H1031" s="74"/>
      <c r="I1031" s="74"/>
      <c r="J1031" s="80"/>
      <c r="K1031" s="74"/>
    </row>
    <row r="1032" spans="1:11" ht="30" customHeight="1" x14ac:dyDescent="0.25">
      <c r="A1032" s="78"/>
      <c r="B1032" s="79"/>
      <c r="C1032" s="27"/>
      <c r="D1032" s="74"/>
      <c r="E1032" s="79"/>
      <c r="F1032" s="79"/>
      <c r="G1032" s="28"/>
      <c r="H1032" s="74"/>
      <c r="I1032" s="74"/>
      <c r="J1032" s="80"/>
      <c r="K1032" s="74"/>
    </row>
    <row r="1033" spans="1:11" ht="30" customHeight="1" x14ac:dyDescent="0.25">
      <c r="A1033" s="78"/>
      <c r="B1033" s="79"/>
      <c r="C1033" s="27"/>
      <c r="D1033" s="74"/>
      <c r="E1033" s="79"/>
      <c r="F1033" s="79"/>
      <c r="G1033" s="28"/>
      <c r="H1033" s="74"/>
      <c r="I1033" s="74"/>
      <c r="J1033" s="80"/>
      <c r="K1033" s="74"/>
    </row>
  </sheetData>
  <sheetProtection sheet="1" objects="1" scenarios="1" selectLockedCells="1" autoFilter="0" pivotTables="0" selectUnlockedCells="1"/>
  <dataConsolidate/>
  <mergeCells count="3">
    <mergeCell ref="A2:C2"/>
    <mergeCell ref="E2:G2"/>
    <mergeCell ref="A1:G1"/>
  </mergeCells>
  <pageMargins left="0.7" right="0.7" top="0.78740157499999996" bottom="0.78740157499999996" header="0.3" footer="0.3"/>
  <pageSetup paperSize="9" scale="33" orientation="portrait" horizontalDpi="200" verticalDpi="200" r:id="rId1"/>
  <rowBreaks count="1" manualBreakCount="1">
    <brk id="30"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95881-3479-4A0E-A4AD-78C114999077}">
  <sheetPr codeName="Tabelle5"/>
  <dimension ref="A1:AB11"/>
  <sheetViews>
    <sheetView showRowColHeaders="0" workbookViewId="0">
      <pane ySplit="4" topLeftCell="A5" activePane="bottomLeft" state="frozen"/>
      <selection pane="bottomLeft" activeCell="A5" sqref="A5"/>
    </sheetView>
  </sheetViews>
  <sheetFormatPr baseColWidth="10" defaultRowHeight="20.100000000000001" customHeight="1" x14ac:dyDescent="0.25"/>
  <cols>
    <col min="1" max="1" width="20.28515625" style="38" customWidth="1"/>
    <col min="2" max="2" width="11.42578125" style="41"/>
    <col min="3" max="3" width="11.42578125" style="39"/>
    <col min="4" max="4" width="11.42578125" style="44"/>
    <col min="5" max="5" width="11.42578125" style="41"/>
    <col min="6" max="6" width="11.42578125" style="39"/>
    <col min="7" max="7" width="11.42578125" style="44"/>
    <col min="8" max="8" width="11.42578125" style="41"/>
    <col min="9" max="9" width="11.42578125" style="39" customWidth="1"/>
    <col min="10" max="10" width="11.42578125" style="44" customWidth="1"/>
    <col min="11" max="11" width="11.42578125" style="41" customWidth="1"/>
    <col min="12" max="12" width="11.42578125" style="39"/>
    <col min="13" max="13" width="11.42578125" style="44"/>
    <col min="14" max="14" width="11.42578125" style="41"/>
    <col min="15" max="15" width="11.42578125" style="39"/>
    <col min="16" max="16" width="11.42578125" style="44"/>
    <col min="17" max="17" width="11.42578125" style="41"/>
    <col min="18" max="18" width="11.42578125" style="39"/>
    <col min="19" max="19" width="11.42578125" style="44"/>
    <col min="20" max="20" width="11.42578125" style="41"/>
    <col min="21" max="21" width="11.42578125" style="39"/>
    <col min="22" max="22" width="11.42578125" style="44"/>
    <col min="23" max="16384" width="11.42578125" style="37"/>
  </cols>
  <sheetData>
    <row r="1" spans="1:28" ht="59.25" customHeight="1" x14ac:dyDescent="0.25">
      <c r="B1" s="40"/>
      <c r="C1" s="37"/>
      <c r="D1" s="43"/>
      <c r="E1" s="40"/>
      <c r="F1" s="37"/>
      <c r="G1" s="43"/>
      <c r="H1" s="40"/>
      <c r="I1" s="37"/>
      <c r="J1" s="43"/>
      <c r="K1" s="40"/>
      <c r="L1" s="37"/>
      <c r="M1" s="43"/>
      <c r="N1" s="40"/>
      <c r="O1" s="37"/>
      <c r="P1" s="43"/>
      <c r="Q1" s="40"/>
      <c r="R1" s="37"/>
      <c r="S1" s="43"/>
      <c r="T1" s="40"/>
      <c r="U1" s="37"/>
      <c r="V1" s="43"/>
    </row>
    <row r="2" spans="1:28" ht="15" x14ac:dyDescent="0.25">
      <c r="B2" s="40"/>
      <c r="C2" s="37"/>
      <c r="D2" s="43"/>
      <c r="E2" s="40"/>
      <c r="F2" s="37"/>
      <c r="G2" s="43"/>
      <c r="H2" s="40"/>
      <c r="I2" s="37"/>
      <c r="J2" s="43"/>
      <c r="K2" s="40"/>
      <c r="L2" s="37"/>
      <c r="M2" s="43"/>
      <c r="N2" s="40"/>
      <c r="O2" s="37"/>
      <c r="P2" s="43"/>
      <c r="Q2" s="40"/>
      <c r="R2" s="37"/>
      <c r="S2" s="43"/>
      <c r="T2" s="40"/>
      <c r="U2" s="37"/>
      <c r="V2" s="43"/>
    </row>
    <row r="3" spans="1:28" s="47" customFormat="1" ht="18.75" x14ac:dyDescent="0.25">
      <c r="A3" s="45"/>
      <c r="B3" s="46"/>
      <c r="D3" s="48"/>
      <c r="E3" s="46"/>
      <c r="G3" s="48"/>
      <c r="H3" s="46"/>
      <c r="J3" s="48"/>
      <c r="K3" s="46"/>
      <c r="M3" s="48"/>
      <c r="N3" s="46"/>
      <c r="P3" s="48"/>
      <c r="Q3" s="46"/>
      <c r="R3" s="47">
        <v>2016</v>
      </c>
      <c r="S3" s="48"/>
      <c r="T3" s="46"/>
      <c r="U3" s="47">
        <v>2017</v>
      </c>
      <c r="V3" s="48"/>
      <c r="X3" s="47">
        <v>2017</v>
      </c>
      <c r="AA3" s="47">
        <v>2018</v>
      </c>
    </row>
    <row r="4" spans="1:28" ht="15" x14ac:dyDescent="0.25">
      <c r="B4" s="40"/>
      <c r="C4" s="37"/>
      <c r="D4" s="43"/>
      <c r="E4" s="40"/>
      <c r="F4" s="37"/>
      <c r="G4" s="43"/>
      <c r="H4" s="40"/>
      <c r="I4" s="37"/>
      <c r="J4" s="43"/>
      <c r="K4" s="40"/>
      <c r="L4" s="37"/>
      <c r="M4" s="43"/>
      <c r="N4" s="40"/>
      <c r="O4" s="37"/>
      <c r="P4" s="43" t="s">
        <v>14</v>
      </c>
      <c r="Q4" s="40" t="s">
        <v>15</v>
      </c>
      <c r="R4" s="37" t="s">
        <v>94</v>
      </c>
      <c r="S4" s="43" t="s">
        <v>14</v>
      </c>
      <c r="T4" s="40" t="s">
        <v>15</v>
      </c>
      <c r="U4" s="37" t="s">
        <v>94</v>
      </c>
      <c r="V4" s="43" t="s">
        <v>14</v>
      </c>
      <c r="W4" s="37" t="s">
        <v>15</v>
      </c>
      <c r="X4" s="37" t="s">
        <v>94</v>
      </c>
      <c r="Y4" s="37" t="s">
        <v>14</v>
      </c>
      <c r="Z4" s="37" t="s">
        <v>15</v>
      </c>
      <c r="AA4" s="37" t="s">
        <v>94</v>
      </c>
      <c r="AB4" s="37" t="s">
        <v>14</v>
      </c>
    </row>
    <row r="5" spans="1:28" ht="20.100000000000001" customHeight="1" x14ac:dyDescent="0.25">
      <c r="P5" s="44">
        <v>73.75</v>
      </c>
      <c r="Q5" s="41">
        <v>890</v>
      </c>
      <c r="R5" s="39">
        <v>222.5</v>
      </c>
      <c r="S5" s="44">
        <v>74.166666666666671</v>
      </c>
      <c r="T5" s="41">
        <v>900</v>
      </c>
      <c r="U5" s="39">
        <v>225</v>
      </c>
      <c r="V5" s="44">
        <v>75</v>
      </c>
      <c r="W5" s="37">
        <v>885</v>
      </c>
      <c r="X5" s="37">
        <v>221.25</v>
      </c>
      <c r="Y5" s="37">
        <v>73.75</v>
      </c>
      <c r="Z5" s="37">
        <v>890</v>
      </c>
      <c r="AA5" s="37">
        <v>222.5</v>
      </c>
      <c r="AB5" s="37">
        <v>74.166666666666671</v>
      </c>
    </row>
    <row r="6" spans="1:28" ht="20.100000000000001" customHeight="1" x14ac:dyDescent="0.25">
      <c r="H6" s="42"/>
      <c r="P6" s="44">
        <v>6666.666666666667</v>
      </c>
      <c r="Q6" s="41">
        <v>81000</v>
      </c>
      <c r="R6" s="39">
        <v>20250</v>
      </c>
      <c r="S6" s="44">
        <v>6750</v>
      </c>
      <c r="T6" s="41">
        <v>80000</v>
      </c>
      <c r="U6" s="39">
        <v>20000</v>
      </c>
      <c r="V6" s="44">
        <v>6666.666666666667</v>
      </c>
      <c r="W6" s="37">
        <v>80000</v>
      </c>
      <c r="X6" s="37">
        <v>20000</v>
      </c>
      <c r="Y6" s="37">
        <v>6666.666666666667</v>
      </c>
      <c r="Z6" s="37">
        <v>80000</v>
      </c>
      <c r="AA6" s="37">
        <v>20000</v>
      </c>
      <c r="AB6" s="37">
        <v>6666.666666666667</v>
      </c>
    </row>
    <row r="7" spans="1:28" ht="20.100000000000001" customHeight="1" x14ac:dyDescent="0.25">
      <c r="P7" s="44">
        <v>1212.0833333333333</v>
      </c>
      <c r="Q7" s="41">
        <v>14835</v>
      </c>
      <c r="R7" s="39">
        <v>3708.75</v>
      </c>
      <c r="S7" s="44">
        <v>1236.25</v>
      </c>
      <c r="T7" s="41">
        <v>14545</v>
      </c>
      <c r="U7" s="39">
        <v>3636.25</v>
      </c>
      <c r="V7" s="44">
        <v>1212.0833333333333</v>
      </c>
      <c r="W7" s="37">
        <v>14895</v>
      </c>
      <c r="X7" s="37">
        <v>3723.75</v>
      </c>
      <c r="Y7" s="37">
        <v>1241.25</v>
      </c>
      <c r="Z7" s="37">
        <v>14825</v>
      </c>
      <c r="AA7" s="37">
        <v>3706.25</v>
      </c>
      <c r="AB7" s="37">
        <v>1235.4166666666667</v>
      </c>
    </row>
    <row r="8" spans="1:28" ht="20.100000000000001" customHeight="1" x14ac:dyDescent="0.25">
      <c r="P8" s="44">
        <v>277.5</v>
      </c>
      <c r="Q8" s="41">
        <v>3300</v>
      </c>
      <c r="R8" s="39">
        <v>825</v>
      </c>
      <c r="S8" s="44">
        <v>275</v>
      </c>
      <c r="T8" s="41">
        <v>3260</v>
      </c>
      <c r="U8" s="39">
        <v>815</v>
      </c>
      <c r="V8" s="44">
        <v>271.66666666666669</v>
      </c>
      <c r="W8" s="37">
        <v>3305</v>
      </c>
      <c r="X8" s="37">
        <v>826.25</v>
      </c>
      <c r="Y8" s="37">
        <v>275.41666666666669</v>
      </c>
      <c r="Z8" s="37">
        <v>3330</v>
      </c>
      <c r="AA8" s="37">
        <v>832.5</v>
      </c>
      <c r="AB8" s="37">
        <v>277.5</v>
      </c>
    </row>
    <row r="9" spans="1:28" ht="20.100000000000001" customHeight="1" x14ac:dyDescent="0.25">
      <c r="P9" s="44">
        <v>590</v>
      </c>
      <c r="Q9" s="41">
        <v>7120</v>
      </c>
      <c r="R9" s="39">
        <v>1780</v>
      </c>
      <c r="S9" s="44">
        <v>593.33333333333337</v>
      </c>
      <c r="T9" s="41">
        <v>7080</v>
      </c>
      <c r="U9" s="39">
        <v>1770</v>
      </c>
      <c r="V9" s="44">
        <v>590</v>
      </c>
      <c r="W9" s="37">
        <v>7200</v>
      </c>
      <c r="X9" s="37">
        <v>1800</v>
      </c>
      <c r="Y9" s="37">
        <v>600</v>
      </c>
      <c r="Z9" s="37">
        <v>7120</v>
      </c>
      <c r="AA9" s="37">
        <v>1780</v>
      </c>
      <c r="AB9" s="37">
        <v>593.33333333333337</v>
      </c>
    </row>
    <row r="10" spans="1:28" ht="20.100000000000001" customHeight="1" x14ac:dyDescent="0.25">
      <c r="P10" s="44">
        <v>2153.3333333333335</v>
      </c>
      <c r="Q10" s="41">
        <v>26145</v>
      </c>
      <c r="R10" s="39">
        <v>6536.25</v>
      </c>
      <c r="S10" s="44">
        <v>2178.75</v>
      </c>
      <c r="T10" s="41">
        <v>25785</v>
      </c>
      <c r="U10" s="39">
        <v>6446.25</v>
      </c>
      <c r="V10" s="44">
        <v>2148.75</v>
      </c>
      <c r="W10" s="37">
        <v>26285</v>
      </c>
      <c r="X10" s="37">
        <v>6571.25</v>
      </c>
      <c r="Y10" s="37">
        <v>2190.4166666666665</v>
      </c>
      <c r="Z10" s="37">
        <v>26165</v>
      </c>
      <c r="AA10" s="37">
        <v>6541.25</v>
      </c>
      <c r="AB10" s="37">
        <v>2180.4166666666665</v>
      </c>
    </row>
    <row r="11" spans="1:28" ht="20.100000000000001" customHeight="1" x14ac:dyDescent="0.25">
      <c r="P11" s="44">
        <v>6666.666666666667</v>
      </c>
      <c r="Q11" s="41">
        <v>81000</v>
      </c>
      <c r="R11" s="39">
        <v>20250</v>
      </c>
      <c r="S11" s="44">
        <v>6750</v>
      </c>
      <c r="T11" s="41">
        <v>80000</v>
      </c>
      <c r="U11" s="39">
        <v>20000</v>
      </c>
      <c r="V11" s="44">
        <v>6666.666666666667</v>
      </c>
      <c r="W11" s="37">
        <v>80000</v>
      </c>
      <c r="X11" s="37">
        <v>20000</v>
      </c>
      <c r="Y11" s="37">
        <v>6666.666666666667</v>
      </c>
      <c r="Z11" s="37">
        <v>80000</v>
      </c>
      <c r="AA11" s="37">
        <v>20000</v>
      </c>
      <c r="AB11" s="37">
        <v>6666.666666666667</v>
      </c>
    </row>
  </sheetData>
  <sheetProtection selectLockedCells="1" autoFilter="0" pivotTables="0" selectUnlockedCells="1"/>
  <dataConsolidate/>
  <pageMargins left="0.7" right="0.7" top="0.78740157499999996" bottom="0.78740157499999996" header="0.3" footer="0.3"/>
  <pageSetup paperSize="9"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35195-572D-4657-B2F1-865682885985}">
  <sheetPr codeName="Tabelle7"/>
  <dimension ref="A1:B4"/>
  <sheetViews>
    <sheetView showRowColHeaders="0" workbookViewId="0">
      <selection activeCell="B7" sqref="B7"/>
    </sheetView>
  </sheetViews>
  <sheetFormatPr baseColWidth="10" defaultRowHeight="15" x14ac:dyDescent="0.25"/>
  <cols>
    <col min="1" max="1" width="16.85546875" style="50" customWidth="1"/>
    <col min="2" max="2" width="121" style="50" customWidth="1"/>
    <col min="3" max="16384" width="11.42578125" style="50"/>
  </cols>
  <sheetData>
    <row r="1" spans="1:2" x14ac:dyDescent="0.25">
      <c r="A1" s="50" t="s">
        <v>40</v>
      </c>
      <c r="B1" s="50" t="s">
        <v>41</v>
      </c>
    </row>
    <row r="2" spans="1:2" x14ac:dyDescent="0.25">
      <c r="A2" s="50" t="s">
        <v>42</v>
      </c>
      <c r="B2" s="51" t="s">
        <v>71</v>
      </c>
    </row>
    <row r="3" spans="1:2" x14ac:dyDescent="0.25">
      <c r="A3" s="50" t="s">
        <v>43</v>
      </c>
      <c r="B3" s="51" t="s">
        <v>72</v>
      </c>
    </row>
    <row r="4" spans="1:2" x14ac:dyDescent="0.25">
      <c r="A4" s="50" t="s">
        <v>44</v>
      </c>
      <c r="B4" s="51" t="s">
        <v>73</v>
      </c>
    </row>
  </sheetData>
  <sheetProtection autoFilter="0" pivotTables="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_from_pfad">
                <anchor moveWithCells="1" sizeWithCells="1">
                  <from>
                    <xdr:col>1</xdr:col>
                    <xdr:colOff>1162050</xdr:colOff>
                    <xdr:row>8</xdr:row>
                    <xdr:rowOff>76200</xdr:rowOff>
                  </from>
                  <to>
                    <xdr:col>1</xdr:col>
                    <xdr:colOff>5724525</xdr:colOff>
                    <xdr:row>13</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849C95-7644-4DFF-A5F7-06B874EDE4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Data</vt:lpstr>
      <vt:lpstr>Analyse</vt:lpstr>
      <vt:lpstr>Dashboard</vt:lpstr>
      <vt:lpstr>Anzeige</vt:lpstr>
      <vt:lpstr>Vergleich</vt:lpstr>
      <vt:lpstr>Ver_Anzeige</vt:lpstr>
      <vt:lpstr>Durchschnitt</vt:lpstr>
      <vt:lpstr>Pfade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Lukas Reinert</dc:creator>
  <cp:lastModifiedBy>Lukas Reinert</cp:lastModifiedBy>
  <dcterms:created xsi:type="dcterms:W3CDTF">2023-10-11T20:17:48Z</dcterms:created>
  <dcterms:modified xsi:type="dcterms:W3CDTF">2023-11-28T04:02:14Z</dcterms:modified>
</cp:coreProperties>
</file>