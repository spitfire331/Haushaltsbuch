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drawings/drawing4.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DieseArbeitsmappe" hidePivotFieldList="1" defaultThemeVersion="166925"/>
  <mc:AlternateContent xmlns:mc="http://schemas.openxmlformats.org/markup-compatibility/2006">
    <mc:Choice Requires="x15">
      <x15ac:absPath xmlns:x15ac="http://schemas.microsoft.com/office/spreadsheetml/2010/11/ac" url="G:\Drive\Pythonprojects\Budgettracker_blanco\"/>
    </mc:Choice>
  </mc:AlternateContent>
  <xr:revisionPtr revIDLastSave="0" documentId="13_ncr:1_{0BC8D73F-553E-40B5-ABF3-684A54C461AC}" xr6:coauthVersionLast="47" xr6:coauthVersionMax="47" xr10:uidLastSave="{00000000-0000-0000-0000-000000000000}"/>
  <bookViews>
    <workbookView showHorizontalScroll="0" showVerticalScroll="0" showSheetTabs="0" xWindow="-120" yWindow="-120" windowWidth="29040" windowHeight="15840" activeTab="2" xr2:uid="{82431156-0275-4BCB-A8D7-35315C21DF17}"/>
  </bookViews>
  <sheets>
    <sheet name="Data" sheetId="2" r:id="rId1"/>
    <sheet name="Analyse" sheetId="4" r:id="rId2"/>
    <sheet name="Dashboard" sheetId="5" r:id="rId3"/>
    <sheet name="Anzeige" sheetId="22" r:id="rId4"/>
    <sheet name="Vergleich" sheetId="25" r:id="rId5"/>
    <sheet name="Ver_Anzeige" sheetId="26" r:id="rId6"/>
    <sheet name="Durchschnitt" sheetId="24" r:id="rId7"/>
    <sheet name="Vergleich_custom" sheetId="23" r:id="rId8"/>
    <sheet name="Pfade" sheetId="27" r:id="rId9"/>
  </sheets>
  <functionGroups builtInGroupCount="19"/>
  <definedNames>
    <definedName name="Datenschnitt_Jahr">#N/A</definedName>
    <definedName name="Datenschnitt_Jahr1">#N/A</definedName>
    <definedName name="Datenschnitt_Jahr2">#N/A</definedName>
    <definedName name="Datenschnitt_Monat">#N/A</definedName>
    <definedName name="Datenschnitt_Monat1">#N/A</definedName>
    <definedName name="Datenschnitt_Monat2">#N/A</definedName>
    <definedName name="ExterneDaten_1" localSheetId="0" hidden="1">Data!$A$1:$G$42</definedName>
  </definedNames>
  <calcPr calcId="181029"/>
  <pivotCaches>
    <pivotCache cacheId="6"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 i="2" l="1"/>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B4" i="4"/>
  <c r="B6" i="4"/>
  <c r="B5"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1877D5-D329-4E19-9D58-83CF6AC4B996}" keepAlive="1" name="Abfrage - Data" description="Verbindung mit der Abfrage 'Data' in der Arbeitsmappe." type="5" refreshedVersion="8" background="1" refreshOnLoad="1" saveData="1">
    <dbPr connection="Provider=Microsoft.Mashup.OleDb.1;Data Source=$Workbook$;Location=Data;Extended Properties=&quot;&quot;" command="SELECT * FROM [Data]"/>
  </connection>
</connections>
</file>

<file path=xl/sharedStrings.xml><?xml version="1.0" encoding="utf-8"?>
<sst xmlns="http://schemas.openxmlformats.org/spreadsheetml/2006/main" count="318" uniqueCount="78">
  <si>
    <t>Buchung</t>
  </si>
  <si>
    <t>Auftraggeber/Empfänger</t>
  </si>
  <si>
    <t>Buchungstext</t>
  </si>
  <si>
    <t>Verwendungszweck</t>
  </si>
  <si>
    <t>Betrag</t>
  </si>
  <si>
    <t>Währung</t>
  </si>
  <si>
    <t>Kategorie</t>
  </si>
  <si>
    <t>EUR</t>
  </si>
  <si>
    <t>Abos</t>
  </si>
  <si>
    <t>Einnahmen</t>
  </si>
  <si>
    <t>Lebensmittel</t>
  </si>
  <si>
    <t>KFZ</t>
  </si>
  <si>
    <t>Gesamtergebnis</t>
  </si>
  <si>
    <t>Summe von Betrag</t>
  </si>
  <si>
    <t>Monat</t>
  </si>
  <si>
    <t>Jahr</t>
  </si>
  <si>
    <t>Feb</t>
  </si>
  <si>
    <t>absolut Betrag</t>
  </si>
  <si>
    <t>Summe von absolut Betrag</t>
  </si>
  <si>
    <t>E/A</t>
  </si>
  <si>
    <t>A</t>
  </si>
  <si>
    <t>E</t>
  </si>
  <si>
    <t>Ausgaben</t>
  </si>
  <si>
    <t>Ausgaben Top 5</t>
  </si>
  <si>
    <t>Umsatz</t>
  </si>
  <si>
    <t>Einnahmen_Summe</t>
  </si>
  <si>
    <t>Ausgaben_Summe</t>
  </si>
  <si>
    <t>Hilfsvariabeln</t>
  </si>
  <si>
    <t>Vergleich</t>
  </si>
  <si>
    <t>Zeilenbeschriftungen</t>
  </si>
  <si>
    <t>Vergleich_Pivot1</t>
  </si>
  <si>
    <t>Vergleich_Pivot2</t>
  </si>
  <si>
    <t>Vergleich_Cat</t>
  </si>
  <si>
    <t>Settings</t>
  </si>
  <si>
    <t>ausgewählte Kategor.</t>
  </si>
  <si>
    <t>Anzahl von absolut Betrag</t>
  </si>
  <si>
    <t>Werte</t>
  </si>
  <si>
    <t>Pivot_Durchschnitt</t>
  </si>
  <si>
    <t>Pivot_Durchschnitt_2</t>
  </si>
  <si>
    <t>Spaltenbeschriftungen</t>
  </si>
  <si>
    <t>Vergleich 1</t>
  </si>
  <si>
    <t>Vergleich 2</t>
  </si>
  <si>
    <t>Durchschnitt</t>
  </si>
  <si>
    <t>gespeicherte Fixkosten</t>
  </si>
  <si>
    <t>Fixkosten_Summe</t>
  </si>
  <si>
    <t>Datei</t>
  </si>
  <si>
    <t>Pfad</t>
  </si>
  <si>
    <t>python.exe</t>
  </si>
  <si>
    <t>python Skripte</t>
  </si>
  <si>
    <t>Data.xlsx</t>
  </si>
  <si>
    <t>2022 Ergebnis</t>
  </si>
  <si>
    <t>Arbeitgeber</t>
  </si>
  <si>
    <t>Gutschrift</t>
  </si>
  <si>
    <t>Lohn</t>
  </si>
  <si>
    <t>Netflix</t>
  </si>
  <si>
    <t>Abonnement</t>
  </si>
  <si>
    <t>Streaming-Dienst</t>
  </si>
  <si>
    <t>Autohändler</t>
  </si>
  <si>
    <t>KFZ-Zahlung</t>
  </si>
  <si>
    <t>Auto-Rate</t>
  </si>
  <si>
    <t>Versicherungsgesellschaft</t>
  </si>
  <si>
    <t>Versicherungsprämie</t>
  </si>
  <si>
    <t>Kfz-Versicherung</t>
  </si>
  <si>
    <t>Versicherung</t>
  </si>
  <si>
    <t>Supermarkt</t>
  </si>
  <si>
    <t>Lebensmittel-Einkauf</t>
  </si>
  <si>
    <t>Wochenendeinkauf</t>
  </si>
  <si>
    <t>Spotify</t>
  </si>
  <si>
    <t>Music-Streaming</t>
  </si>
  <si>
    <t>Tankstelle</t>
  </si>
  <si>
    <t>Kraftstoff</t>
  </si>
  <si>
    <t>Auto-Tankfüllung</t>
  </si>
  <si>
    <t>Haftpflichtversicherung</t>
  </si>
  <si>
    <t>Bäckerei</t>
  </si>
  <si>
    <t>Brot und Gebäck</t>
  </si>
  <si>
    <t>G:\Drive\Pythonprojects\Budgettracker_blanco\env\Scripts\python.exe</t>
  </si>
  <si>
    <t>G:\Drive\Pythonprojects\Budgettracker_blanco\Programme\</t>
  </si>
  <si>
    <t>G:\Drive\Pythonprojects\Budgettracker_blanco\Daten\Data - template.xlsx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</si>
</sst>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7" formatCode="#,##0.00\ &quot;€&quot;;\-#,##0.00\ &quot;€&quot;"/>
    <numFmt numFmtId="44" formatCode="_-* #,##0.00\ &quot;€&quot;_-;\-* #,##0.00\ &quot;€&quot;_-;_-* &quot;-&quot;??\ &quot;€&quot;_-;_-@_-"/>
    <numFmt numFmtId="164" formatCode="#,##0\ &quot;€&quot;"/>
    <numFmt numFmtId="165" formatCode="_-* #,##0\ &quot;€&quot;_-;\-* #,##0\ &quot;€&quot;_-;_-* &quot;-&quot;??\ &quot;€&quot;_-;_-@_-"/>
    <numFmt numFmtId="166" formatCode="_-* #,##0\ \€_-;\-* #,##0\ \€_-;_-* &quot;-&quot;??\ \€_-;_-@_-"/>
  </numFmts>
  <fonts count="18" x14ac:knownFonts="1">
    <font>
      <sz val="11"/>
      <color theme="1"/>
      <name val="Calibri"/>
      <family val="2"/>
      <scheme val="minor"/>
    </font>
    <font>
      <sz val="8"/>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2"/>
      <name val="Calibri"/>
      <family val="2"/>
      <scheme val="minor"/>
    </font>
    <font>
      <b/>
      <sz val="28"/>
      <color theme="2"/>
      <name val="Calibri"/>
      <family val="2"/>
      <scheme val="minor"/>
    </font>
    <font>
      <sz val="11"/>
      <name val="Calibri"/>
      <family val="2"/>
      <scheme val="minor"/>
    </font>
    <font>
      <b/>
      <sz val="20"/>
      <name val="Calibri"/>
      <family val="2"/>
      <scheme val="minor"/>
    </font>
    <font>
      <b/>
      <sz val="11"/>
      <color theme="2"/>
      <name val="Calibri"/>
      <family val="2"/>
      <scheme val="minor"/>
    </font>
    <font>
      <b/>
      <sz val="16"/>
      <color theme="5" tint="0.59999389629810485"/>
      <name val="Calibri"/>
      <family val="2"/>
      <scheme val="minor"/>
    </font>
    <font>
      <b/>
      <sz val="26"/>
      <color theme="2"/>
      <name val="Calibri"/>
      <family val="2"/>
      <scheme val="minor"/>
    </font>
    <font>
      <sz val="11"/>
      <color theme="5"/>
      <name val="Calibri"/>
      <family val="2"/>
      <scheme val="minor"/>
    </font>
    <font>
      <sz val="11"/>
      <color theme="4"/>
      <name val="Calibri"/>
      <family val="2"/>
      <scheme val="minor"/>
    </font>
    <font>
      <b/>
      <sz val="14"/>
      <color theme="2"/>
      <name val="Calibri"/>
      <family val="2"/>
      <scheme val="minor"/>
    </font>
    <font>
      <b/>
      <sz val="14"/>
      <color theme="5"/>
      <name val="Calibri"/>
      <family val="2"/>
      <scheme val="minor"/>
    </font>
    <font>
      <b/>
      <sz val="14"/>
      <color theme="4"/>
      <name val="Calibri"/>
      <family val="2"/>
      <scheme val="minor"/>
    </font>
    <font>
      <sz val="11"/>
      <color rgb="FF000000"/>
      <name val="Calibri"/>
      <family val="2"/>
    </font>
  </fonts>
  <fills count="7">
    <fill>
      <patternFill patternType="none"/>
    </fill>
    <fill>
      <patternFill patternType="gray125"/>
    </fill>
    <fill>
      <patternFill patternType="solid">
        <fgColor theme="1" tint="0.14999847407452621"/>
        <bgColor indexed="64"/>
      </patternFill>
    </fill>
    <fill>
      <patternFill patternType="solid">
        <fgColor theme="1" tint="0.14996795556505021"/>
        <bgColor indexed="64"/>
      </patternFill>
    </fill>
    <fill>
      <patternFill patternType="solid">
        <fgColor theme="5"/>
        <bgColor indexed="64"/>
      </patternFill>
    </fill>
    <fill>
      <patternFill patternType="solid">
        <fgColor theme="4"/>
        <bgColor indexed="64"/>
      </patternFill>
    </fill>
    <fill>
      <patternFill patternType="solid">
        <fgColor theme="1" tint="0.249977111117893"/>
        <bgColor indexed="64"/>
      </patternFill>
    </fill>
  </fills>
  <borders count="5">
    <border>
      <left/>
      <right/>
      <top/>
      <bottom/>
      <diagonal/>
    </border>
    <border>
      <left/>
      <right/>
      <top/>
      <bottom style="medium">
        <color theme="0"/>
      </bottom>
      <diagonal/>
    </border>
    <border>
      <left/>
      <right/>
      <top/>
      <bottom style="double">
        <color theme="0"/>
      </bottom>
      <diagonal/>
    </border>
    <border>
      <left/>
      <right/>
      <top style="double">
        <color theme="0"/>
      </top>
      <bottom/>
      <diagonal/>
    </border>
    <border>
      <left/>
      <right/>
      <top/>
      <bottom style="double">
        <color indexed="64"/>
      </bottom>
      <diagonal/>
    </border>
  </borders>
  <cellStyleXfs count="3">
    <xf numFmtId="0" fontId="0" fillId="0" borderId="0"/>
    <xf numFmtId="44" fontId="2" fillId="0" borderId="0" applyFont="0" applyFill="0" applyBorder="0" applyAlignment="0" applyProtection="0"/>
    <xf numFmtId="44" fontId="2" fillId="0" borderId="0" applyFont="0" applyFill="0" applyBorder="0" applyAlignment="0" applyProtection="0"/>
  </cellStyleXfs>
  <cellXfs count="70">
    <xf numFmtId="0" fontId="0" fillId="0" borderId="0" xfId="0"/>
    <xf numFmtId="14" fontId="0" fillId="0" borderId="0" xfId="0" applyNumberFormat="1"/>
    <xf numFmtId="44" fontId="0" fillId="0" borderId="0" xfId="1" applyFont="1"/>
    <xf numFmtId="0" fontId="0" fillId="2" borderId="0" xfId="0" applyFill="1"/>
    <xf numFmtId="7" fontId="4" fillId="3" borderId="0" xfId="1" applyNumberFormat="1" applyFont="1" applyFill="1"/>
    <xf numFmtId="7" fontId="0" fillId="3" borderId="0" xfId="0" applyNumberFormat="1" applyFill="1"/>
    <xf numFmtId="0" fontId="7" fillId="0" borderId="0" xfId="0" applyFont="1"/>
    <xf numFmtId="165" fontId="7" fillId="0" borderId="0" xfId="1" applyNumberFormat="1" applyFont="1" applyFill="1"/>
    <xf numFmtId="165" fontId="7" fillId="0" borderId="0" xfId="0" applyNumberFormat="1" applyFont="1"/>
    <xf numFmtId="0" fontId="7" fillId="0" borderId="2" xfId="0" applyFont="1" applyBorder="1"/>
    <xf numFmtId="0" fontId="7" fillId="0" borderId="4" xfId="0" applyFont="1" applyBorder="1"/>
    <xf numFmtId="0" fontId="0" fillId="0" borderId="4" xfId="0" applyBorder="1"/>
    <xf numFmtId="0" fontId="0" fillId="3" borderId="0" xfId="0" applyFill="1"/>
    <xf numFmtId="14" fontId="4" fillId="3" borderId="0" xfId="0" applyNumberFormat="1" applyFont="1" applyFill="1"/>
    <xf numFmtId="0" fontId="4" fillId="3" borderId="0" xfId="0" applyFont="1" applyFill="1"/>
    <xf numFmtId="14" fontId="0" fillId="3" borderId="0" xfId="0" applyNumberFormat="1" applyFill="1"/>
    <xf numFmtId="0" fontId="6" fillId="3" borderId="0" xfId="0" applyFont="1" applyFill="1" applyAlignment="1">
      <alignment horizontal="center" vertical="center"/>
    </xf>
    <xf numFmtId="165" fontId="5" fillId="3" borderId="0" xfId="1" applyNumberFormat="1" applyFont="1" applyFill="1" applyBorder="1" applyAlignment="1">
      <alignment horizontal="right"/>
    </xf>
    <xf numFmtId="0" fontId="5" fillId="3" borderId="0" xfId="0" applyFont="1" applyFill="1"/>
    <xf numFmtId="0" fontId="5" fillId="3" borderId="0" xfId="0" applyFont="1" applyFill="1" applyAlignment="1">
      <alignment vertical="center"/>
    </xf>
    <xf numFmtId="7" fontId="5" fillId="3" borderId="0" xfId="0" applyNumberFormat="1" applyFont="1" applyFill="1" applyAlignment="1">
      <alignment horizontal="right"/>
    </xf>
    <xf numFmtId="0" fontId="0" fillId="0" borderId="0" xfId="0" pivotButton="1"/>
    <xf numFmtId="0" fontId="0" fillId="0" borderId="0" xfId="0" applyAlignment="1">
      <alignment horizontal="left"/>
    </xf>
    <xf numFmtId="44" fontId="9" fillId="3" borderId="0" xfId="1" applyFont="1" applyFill="1" applyBorder="1"/>
    <xf numFmtId="0" fontId="5" fillId="3" borderId="0" xfId="0" applyFont="1" applyFill="1" applyAlignment="1">
      <alignment vertical="center" wrapText="1"/>
    </xf>
    <xf numFmtId="44" fontId="5" fillId="3" borderId="0" xfId="1" applyFont="1" applyFill="1" applyAlignment="1">
      <alignment horizontal="right" vertical="center"/>
    </xf>
    <xf numFmtId="44" fontId="9" fillId="3" borderId="0" xfId="1" applyFont="1" applyFill="1" applyBorder="1" applyAlignment="1">
      <alignment horizontal="right" vertical="center"/>
    </xf>
    <xf numFmtId="44" fontId="5" fillId="3" borderId="0" xfId="1" applyFont="1" applyFill="1" applyAlignment="1">
      <alignment vertical="center"/>
    </xf>
    <xf numFmtId="44" fontId="5" fillId="3" borderId="0" xfId="1" applyFont="1" applyFill="1" applyBorder="1" applyAlignment="1">
      <alignment horizontal="right" vertical="center"/>
    </xf>
    <xf numFmtId="44" fontId="5" fillId="3" borderId="0" xfId="1" applyFont="1" applyFill="1" applyBorder="1" applyAlignment="1">
      <alignment vertical="center"/>
    </xf>
    <xf numFmtId="7" fontId="5" fillId="3" borderId="0" xfId="1" applyNumberFormat="1" applyFont="1" applyFill="1" applyBorder="1" applyAlignment="1">
      <alignment horizontal="right" vertical="center"/>
    </xf>
    <xf numFmtId="7" fontId="5" fillId="3" borderId="0" xfId="1" applyNumberFormat="1" applyFont="1" applyFill="1" applyBorder="1" applyAlignment="1">
      <alignment vertical="center"/>
    </xf>
    <xf numFmtId="7" fontId="5" fillId="3" borderId="0" xfId="1" applyNumberFormat="1" applyFont="1" applyFill="1" applyBorder="1"/>
    <xf numFmtId="164" fontId="0" fillId="0" borderId="0" xfId="0" applyNumberFormat="1"/>
    <xf numFmtId="165" fontId="5" fillId="3" borderId="0" xfId="1" applyNumberFormat="1" applyFont="1" applyFill="1"/>
    <xf numFmtId="22" fontId="4" fillId="3" borderId="0" xfId="0" applyNumberFormat="1" applyFont="1" applyFill="1"/>
    <xf numFmtId="0" fontId="3" fillId="3" borderId="1" xfId="0" applyFont="1" applyFill="1" applyBorder="1"/>
    <xf numFmtId="0" fontId="3" fillId="3" borderId="1" xfId="0" applyFont="1" applyFill="1" applyBorder="1" applyAlignment="1">
      <alignment horizontal="left"/>
    </xf>
    <xf numFmtId="0" fontId="5" fillId="4" borderId="0" xfId="0" applyFont="1" applyFill="1" applyAlignment="1">
      <alignment vertical="center"/>
    </xf>
    <xf numFmtId="0" fontId="5" fillId="5" borderId="0" xfId="0" applyFont="1" applyFill="1" applyAlignment="1">
      <alignment vertical="center"/>
    </xf>
    <xf numFmtId="0" fontId="5" fillId="3" borderId="0" xfId="0" applyFont="1" applyFill="1" applyAlignment="1">
      <alignment horizontal="center" vertical="center"/>
    </xf>
    <xf numFmtId="0" fontId="5" fillId="3" borderId="0" xfId="0" applyFont="1" applyFill="1" applyAlignment="1">
      <alignment horizontal="right" vertical="center"/>
    </xf>
    <xf numFmtId="166" fontId="5" fillId="3" borderId="0" xfId="1" applyNumberFormat="1" applyFont="1" applyFill="1" applyAlignment="1">
      <alignment horizontal="center" vertical="center"/>
    </xf>
    <xf numFmtId="0" fontId="12" fillId="3" borderId="0" xfId="0" applyFont="1" applyFill="1" applyAlignment="1">
      <alignment horizontal="center" vertical="center"/>
    </xf>
    <xf numFmtId="166" fontId="12" fillId="3" borderId="0" xfId="1" applyNumberFormat="1" applyFont="1" applyFill="1" applyAlignment="1">
      <alignment horizontal="center" vertical="center"/>
    </xf>
    <xf numFmtId="165" fontId="12" fillId="3" borderId="0" xfId="1" applyNumberFormat="1" applyFont="1" applyFill="1" applyAlignment="1">
      <alignment horizontal="center" vertical="center"/>
    </xf>
    <xf numFmtId="0" fontId="13" fillId="3" borderId="0" xfId="0" applyFont="1" applyFill="1" applyAlignment="1">
      <alignment horizontal="center" vertical="center"/>
    </xf>
    <xf numFmtId="166" fontId="13" fillId="3" borderId="0" xfId="1" applyNumberFormat="1" applyFont="1" applyFill="1" applyAlignment="1">
      <alignment horizontal="center" vertical="center"/>
    </xf>
    <xf numFmtId="0" fontId="14" fillId="3" borderId="0" xfId="0" applyFont="1" applyFill="1" applyAlignment="1">
      <alignment horizontal="right" vertical="center"/>
    </xf>
    <xf numFmtId="0" fontId="15" fillId="3" borderId="0" xfId="0" applyFont="1" applyFill="1" applyAlignment="1">
      <alignment horizontal="center" vertical="center"/>
    </xf>
    <xf numFmtId="0" fontId="14" fillId="3" borderId="0" xfId="0" applyFont="1" applyFill="1" applyAlignment="1">
      <alignment horizontal="center" vertical="center"/>
    </xf>
    <xf numFmtId="0" fontId="16" fillId="3" borderId="0" xfId="0" applyFont="1" applyFill="1" applyAlignment="1">
      <alignment horizontal="center" vertical="center"/>
    </xf>
    <xf numFmtId="165" fontId="7" fillId="0" borderId="0" xfId="1" applyNumberFormat="1" applyFont="1"/>
    <xf numFmtId="0" fontId="5" fillId="6" borderId="0" xfId="0" applyFont="1" applyFill="1"/>
    <xf numFmtId="0" fontId="7" fillId="4" borderId="0" xfId="0" applyFont="1" applyFill="1"/>
    <xf numFmtId="0" fontId="9" fillId="3" borderId="0" xfId="0" applyFont="1" applyFill="1" applyAlignment="1">
      <alignment vertical="center" wrapText="1"/>
    </xf>
    <xf numFmtId="0" fontId="9" fillId="3" borderId="0" xfId="0" applyFont="1" applyFill="1"/>
    <xf numFmtId="14" fontId="5" fillId="3" borderId="0" xfId="0" applyNumberFormat="1" applyFont="1" applyFill="1" applyAlignment="1">
      <alignment vertical="center" wrapText="1"/>
    </xf>
    <xf numFmtId="7" fontId="5" fillId="3" borderId="0" xfId="0" applyNumberFormat="1" applyFont="1" applyFill="1"/>
    <xf numFmtId="22" fontId="5" fillId="3" borderId="0" xfId="0" applyNumberFormat="1" applyFont="1" applyFill="1" applyAlignment="1">
      <alignment vertical="center" wrapText="1"/>
    </xf>
    <xf numFmtId="0" fontId="8" fillId="0" borderId="3" xfId="0" applyFont="1" applyBorder="1" applyAlignment="1">
      <alignment horizontal="center" vertical="center"/>
    </xf>
    <xf numFmtId="0" fontId="8" fillId="0" borderId="0" xfId="0" applyFont="1" applyAlignment="1">
      <alignment horizontal="center" vertical="center"/>
    </xf>
    <xf numFmtId="0" fontId="7" fillId="0" borderId="0" xfId="0" applyFont="1" applyAlignment="1">
      <alignment horizontal="center"/>
    </xf>
    <xf numFmtId="0" fontId="10" fillId="3" borderId="0" xfId="0" applyFont="1" applyFill="1" applyAlignment="1">
      <alignment horizontal="center" vertical="center"/>
    </xf>
    <xf numFmtId="0" fontId="11" fillId="3" borderId="0" xfId="0" applyFont="1" applyFill="1" applyAlignment="1">
      <alignment horizontal="center" vertical="center" wrapText="1"/>
    </xf>
    <xf numFmtId="0" fontId="7" fillId="0" borderId="0" xfId="0" applyFont="1" applyFill="1"/>
    <xf numFmtId="164" fontId="7" fillId="0" borderId="0" xfId="0" applyNumberFormat="1" applyFont="1" applyFill="1"/>
    <xf numFmtId="0" fontId="0" fillId="0" borderId="0" xfId="0" applyNumberFormat="1"/>
    <xf numFmtId="0" fontId="7" fillId="0" borderId="0" xfId="0" applyFont="1" applyFill="1" applyAlignment="1">
      <alignment horizontal="left"/>
    </xf>
    <xf numFmtId="44" fontId="3" fillId="3" borderId="1" xfId="1" applyNumberFormat="1" applyFont="1" applyFill="1" applyBorder="1"/>
  </cellXfs>
  <cellStyles count="3">
    <cellStyle name="Standard" xfId="0" builtinId="0"/>
    <cellStyle name="Währung" xfId="1" builtinId="4"/>
    <cellStyle name="Währung 2" xfId="2" xr:uid="{C519CEBE-E275-4123-84B3-88909C0BAAC9}"/>
  </cellStyles>
  <dxfs count="176">
    <dxf>
      <font>
        <b val="0"/>
        <i val="0"/>
        <strike val="0"/>
        <condense val="0"/>
        <extend val="0"/>
        <outline val="0"/>
        <shadow val="0"/>
        <u val="none"/>
        <vertAlign val="baseline"/>
        <sz val="11"/>
        <color theme="1"/>
        <name val="Calibri"/>
        <family val="2"/>
        <scheme val="minor"/>
      </font>
    </dxf>
    <dxf>
      <numFmt numFmtId="0" formatCode="General"/>
      <alignment horizontal="left" vertical="bottom" textRotation="0" wrapText="0" indent="0" justifyLastLine="0" shrinkToFit="0" readingOrder="0"/>
    </dxf>
    <dxf>
      <numFmt numFmtId="19" formatCode="dd/mm/yyyy"/>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2"/>
      </font>
    </dxf>
    <dxf>
      <font>
        <color theme="2"/>
      </font>
    </dxf>
    <dxf>
      <font>
        <color theme="2"/>
      </font>
    </dxf>
    <dxf>
      <font>
        <color theme="2"/>
      </font>
    </dxf>
    <dxf>
      <font>
        <color theme="2"/>
      </font>
    </dxf>
    <dxf>
      <font>
        <color theme="2"/>
      </font>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2"/>
      </font>
    </dxf>
    <dxf>
      <font>
        <color theme="2"/>
      </font>
    </dxf>
    <dxf>
      <font>
        <color theme="2"/>
      </font>
    </dxf>
    <dxf>
      <font>
        <color theme="2"/>
      </font>
    </dxf>
    <dxf>
      <font>
        <color theme="2"/>
      </font>
    </dxf>
    <dxf>
      <font>
        <color theme="2"/>
      </font>
    </dxf>
    <dxf>
      <font>
        <color theme="2"/>
      </font>
    </dxf>
    <dxf>
      <font>
        <color theme="2"/>
      </font>
    </dxf>
    <dxf>
      <font>
        <color theme="2"/>
      </font>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2"/>
      </font>
    </dxf>
    <dxf>
      <font>
        <color theme="2"/>
      </font>
    </dxf>
    <dxf>
      <font>
        <color theme="2"/>
      </font>
    </dxf>
    <dxf>
      <font>
        <color theme="2"/>
      </font>
    </dxf>
    <dxf>
      <font>
        <color theme="2"/>
      </font>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2"/>
      </font>
    </dxf>
    <dxf>
      <font>
        <color theme="2"/>
      </font>
    </dxf>
    <dxf>
      <font>
        <color theme="2"/>
      </font>
    </dxf>
    <dxf>
      <font>
        <color theme="2"/>
      </font>
    </dxf>
    <dxf>
      <font>
        <color theme="2"/>
      </font>
    </dxf>
    <dxf>
      <font>
        <color theme="2"/>
      </font>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2"/>
      </font>
    </dxf>
    <dxf>
      <font>
        <color theme="2"/>
      </font>
    </dxf>
    <dxf>
      <font>
        <color theme="2"/>
      </font>
    </dxf>
    <dxf>
      <font>
        <color theme="2"/>
      </font>
    </dxf>
    <dxf>
      <font>
        <color theme="2"/>
      </font>
    </dxf>
    <dxf>
      <font>
        <color theme="2"/>
      </font>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fill>
        <patternFill patternType="solid">
          <bgColor theme="1" tint="0.14999847407452621"/>
        </patternFill>
      </fill>
    </dxf>
    <dxf>
      <numFmt numFmtId="164" formatCode="#,##0\ &quot;€&quo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 &quot;€&quo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color theme="2"/>
      </font>
      <fill>
        <patternFill>
          <fgColor theme="1" tint="0.14993743705557422"/>
          <bgColor theme="1" tint="0.24994659260841701"/>
        </patternFill>
      </fill>
    </dxf>
    <dxf>
      <font>
        <color theme="2"/>
      </font>
      <fill>
        <patternFill patternType="solid">
          <fgColor theme="1" tint="0.14993743705557422"/>
          <bgColor theme="1" tint="0.14996795556505021"/>
        </patternFill>
      </fill>
    </dxf>
    <dxf>
      <font>
        <color theme="2"/>
      </font>
      <fill>
        <patternFill patternType="solid">
          <bgColor theme="1" tint="0.14996795556505021"/>
        </patternFill>
      </fill>
    </dxf>
    <dxf>
      <font>
        <color theme="2"/>
      </font>
      <fill>
        <patternFill>
          <fgColor theme="1" tint="0.14993743705557422"/>
          <bgColor theme="1" tint="0.14996795556505021"/>
        </patternFill>
      </fill>
    </dxf>
    <dxf>
      <font>
        <color theme="2"/>
      </font>
      <fill>
        <patternFill>
          <fgColor theme="1" tint="0.14993743705557422"/>
          <bgColor theme="1" tint="0.14996795556505021"/>
        </patternFill>
      </fill>
    </dxf>
    <dxf>
      <font>
        <color theme="2"/>
      </font>
      <fill>
        <patternFill>
          <fgColor theme="1" tint="0.14993743705557422"/>
          <bgColor theme="1" tint="0.14996795556505021"/>
        </patternFill>
      </fill>
    </dxf>
    <dxf>
      <font>
        <color theme="2"/>
      </font>
      <fill>
        <patternFill>
          <fgColor theme="1" tint="0.14993743705557422"/>
          <bgColor theme="1" tint="0.14996795556505021"/>
        </patternFill>
      </fill>
    </dxf>
    <dxf>
      <font>
        <color theme="2"/>
      </font>
      <fill>
        <patternFill patternType="solid">
          <fgColor theme="1" tint="0.14993743705557422"/>
          <bgColor theme="1" tint="0.14996795556505021"/>
        </patternFill>
      </fill>
    </dxf>
    <dxf>
      <font>
        <color theme="2"/>
      </font>
      <fill>
        <patternFill>
          <fgColor theme="1" tint="0.14993743705557422"/>
          <bgColor theme="1" tint="0.14996795556505021"/>
        </patternFill>
      </fill>
    </dxf>
    <dxf>
      <font>
        <color theme="2"/>
      </font>
      <fill>
        <patternFill patternType="solid">
          <fgColor theme="1" tint="0.14993743705557422"/>
          <bgColor theme="1" tint="0.14996795556505021"/>
        </patternFill>
      </fill>
    </dxf>
    <dxf>
      <font>
        <color theme="2"/>
      </font>
      <fill>
        <patternFill>
          <fgColor theme="1" tint="0.14993743705557422"/>
          <bgColor theme="1" tint="0.14996795556505021"/>
        </patternFill>
      </fill>
    </dxf>
    <dxf>
      <font>
        <color theme="2"/>
      </font>
      <fill>
        <patternFill patternType="solid">
          <fgColor theme="1" tint="0.14993743705557422"/>
          <bgColor theme="1" tint="0.14996795556505021"/>
        </patternFill>
      </fill>
    </dxf>
    <dxf>
      <font>
        <color theme="2"/>
      </font>
      <fill>
        <patternFill>
          <bgColor theme="1" tint="0.14996795556505021"/>
        </patternFill>
      </fill>
      <border>
        <top style="medium">
          <color theme="0"/>
        </top>
      </border>
    </dxf>
    <dxf>
      <font>
        <color theme="2"/>
      </font>
      <fill>
        <patternFill patternType="solid">
          <fgColor theme="1" tint="0.14993743705557422"/>
          <bgColor theme="1" tint="0.14996795556505021"/>
        </patternFill>
      </fill>
      <border>
        <bottom style="medium">
          <color theme="0"/>
        </bottom>
      </border>
    </dxf>
    <dxf>
      <font>
        <color theme="2"/>
      </font>
      <fill>
        <patternFill patternType="solid">
          <fgColor theme="1" tint="0.14993743705557422"/>
          <bgColor theme="1" tint="0.14996795556505021"/>
        </patternFill>
      </fill>
      <border>
        <vertical style="thin">
          <color theme="0"/>
        </vertical>
      </border>
    </dxf>
    <dxf>
      <font>
        <b/>
        <i val="0"/>
        <sz val="26"/>
        <color theme="2"/>
        <name val="Calibri"/>
        <family val="2"/>
        <scheme val="minor"/>
      </font>
      <border diagonalUp="0" diagonalDown="0">
        <left/>
        <right/>
        <top/>
        <bottom/>
        <vertical/>
        <horizontal/>
      </border>
    </dxf>
    <dxf>
      <font>
        <sz val="20"/>
        <color theme="2"/>
      </font>
      <fill>
        <patternFill>
          <bgColor theme="1" tint="0.14996795556505021"/>
        </patternFill>
      </fill>
      <border diagonalUp="0" diagonalDown="0">
        <left/>
        <right/>
        <top/>
        <bottom/>
        <vertical/>
        <horizontal/>
      </border>
    </dxf>
  </dxfs>
  <tableStyles count="2" defaultTableStyle="TableStyleMedium2" defaultPivotStyle="PivotStyleLight16">
    <tableStyle name="Dashboard" pivot="0" table="0" count="10" xr9:uid="{CE11452D-D0BD-4026-A311-492D555F3907}">
      <tableStyleElement type="wholeTable" dxfId="175"/>
      <tableStyleElement type="headerRow" dxfId="174"/>
    </tableStyle>
    <tableStyle name="PivotStyleDark22 2" table="0" count="15" xr9:uid="{8666DEB5-1174-4787-9C05-28CB80A9195C}">
      <tableStyleElement type="wholeTable" dxfId="173"/>
      <tableStyleElement type="headerRow" dxfId="172"/>
      <tableStyleElement type="totalRow" dxfId="171"/>
      <tableStyleElement type="firstColumn" dxfId="170"/>
      <tableStyleElement type="firstRowStripe" dxfId="169"/>
      <tableStyleElement type="secondRowStripe" dxfId="168"/>
      <tableStyleElement type="firstColumnStripe" dxfId="167"/>
      <tableStyleElement type="secondColumnStripe" dxfId="166"/>
      <tableStyleElement type="firstHeaderCell" dxfId="165"/>
      <tableStyleElement type="firstSubtotalRow" dxfId="164"/>
      <tableStyleElement type="secondSubtotalRow" dxfId="163"/>
      <tableStyleElement type="firstRowSubheading" dxfId="162"/>
      <tableStyleElement type="secondRowSubheading" dxfId="161"/>
      <tableStyleElement type="pageFieldLabels" dxfId="160"/>
      <tableStyleElement type="pageFieldValues" dxfId="159"/>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2" tint="-0.24994659260841701"/>
          </font>
          <fill>
            <patternFill>
              <bgColor theme="1" tint="0.14996795556505021"/>
            </patternFill>
          </fill>
          <border diagonalUp="0" diagonalDown="0">
            <left/>
            <right/>
            <top/>
            <bottom/>
            <vertical/>
            <horizontal/>
          </border>
        </dxf>
        <dxf>
          <font>
            <color theme="2"/>
          </font>
          <fill>
            <patternFill patternType="solid">
              <fgColor theme="4" tint="0.59996337778862885"/>
              <bgColor theme="4" tint="-0.24994659260841701"/>
            </patternFill>
          </fill>
          <border diagonalUp="0" diagonalDown="0">
            <left/>
            <right/>
            <top/>
            <bottom/>
            <vertical/>
            <horizontal/>
          </border>
        </dxf>
        <dxf>
          <font>
            <color theme="2" tint="-0.24994659260841701"/>
          </font>
          <fill>
            <patternFill patternType="solid">
              <fgColor rgb="FFFFFFFF"/>
              <bgColor theme="1" tint="0.14996795556505021"/>
            </patternFill>
          </fill>
          <border diagonalUp="0" diagonalDown="0">
            <left/>
            <right/>
            <top/>
            <bottom/>
            <vertical/>
            <horizontal/>
          </border>
        </dxf>
        <dxf>
          <font>
            <color auto="1"/>
          </font>
          <fill>
            <patternFill patternType="solid">
              <fgColor rgb="FFFFFFFF"/>
              <bgColor theme="4" tint="0.59996337778862885"/>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23" Type="http://schemas.microsoft.com/office/2006/relationships/vbaProject" Target="vbaProject.bin"/><Relationship Id="rId10" Type="http://schemas.openxmlformats.org/officeDocument/2006/relationships/pivotCacheDefinition" Target="pivotCache/pivotCacheDefinition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[Haushaltsbuch.xlsm]Analyse!Pivot_Umsatz</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Analyse!$F$4</c:f>
              <c:strCache>
                <c:ptCount val="1"/>
                <c:pt idx="0">
                  <c:v>Ergebnis</c:v>
                </c:pt>
              </c:strCache>
            </c:strRef>
          </c:tx>
          <c:spPr>
            <a:solidFill>
              <a:srgbClr val="00B050"/>
            </a:solidFill>
            <a:ln>
              <a:noFill/>
            </a:ln>
            <a:effectLst/>
          </c:spPr>
          <c:invertIfNegative val="1"/>
          <c:cat>
            <c:multiLvlStrRef>
              <c:f>Analyse!$D$5:$E$7</c:f>
              <c:multiLvlStrCache>
                <c:ptCount val="1"/>
                <c:lvl>
                  <c:pt idx="0">
                    <c:v>Feb</c:v>
                  </c:pt>
                </c:lvl>
                <c:lvl>
                  <c:pt idx="0">
                    <c:v>2022</c:v>
                  </c:pt>
                </c:lvl>
              </c:multiLvlStrCache>
            </c:multiLvlStrRef>
          </c:cat>
          <c:val>
            <c:numRef>
              <c:f>Analyse!$F$5:$F$7</c:f>
              <c:numCache>
                <c:formatCode>#,##0\ "€"</c:formatCode>
                <c:ptCount val="1"/>
                <c:pt idx="0">
                  <c:v>6075</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37B5-40EA-BC63-241C2F014AB2}"/>
            </c:ext>
          </c:extLst>
        </c:ser>
        <c:dLbls>
          <c:showLegendKey val="0"/>
          <c:showVal val="0"/>
          <c:showCatName val="0"/>
          <c:showSerName val="0"/>
          <c:showPercent val="0"/>
          <c:showBubbleSize val="0"/>
        </c:dLbls>
        <c:gapWidth val="182"/>
        <c:axId val="932847352"/>
        <c:axId val="932845912"/>
      </c:barChart>
      <c:catAx>
        <c:axId val="932847352"/>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de-DE"/>
          </a:p>
        </c:txPr>
        <c:crossAx val="932845912"/>
        <c:crosses val="autoZero"/>
        <c:auto val="1"/>
        <c:lblAlgn val="ctr"/>
        <c:lblOffset val="100"/>
        <c:noMultiLvlLbl val="0"/>
      </c:catAx>
      <c:valAx>
        <c:axId val="932845912"/>
        <c:scaling>
          <c:orientation val="minMax"/>
        </c:scaling>
        <c:delete val="0"/>
        <c:axPos val="b"/>
        <c:numFmt formatCode="#,##0\ &quot;€&quot;"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de-DE"/>
          </a:p>
        </c:txPr>
        <c:crossAx val="932847352"/>
        <c:crosses val="autoZero"/>
        <c:crossBetween val="between"/>
        <c:majorUnit val="1000"/>
        <c:minorUnit val="1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[Haushaltsbuch.xlsm]Analyse!Pivot_Einnahmen</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s>
    <c:plotArea>
      <c:layout/>
      <c:doughnutChart>
        <c:varyColors val="1"/>
        <c:ser>
          <c:idx val="0"/>
          <c:order val="0"/>
          <c:tx>
            <c:strRef>
              <c:f>Analyse!$L$4</c:f>
              <c:strCache>
                <c:ptCount val="1"/>
                <c:pt idx="0">
                  <c:v>Ergebnis</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CFBD-4E6F-AC28-12657D892ADD}"/>
              </c:ext>
            </c:extLst>
          </c:dPt>
          <c:dPt>
            <c:idx val="1"/>
            <c:bubble3D val="0"/>
            <c:spPr>
              <a:solidFill>
                <a:schemeClr val="accent2"/>
              </a:solidFill>
              <a:ln w="19050">
                <a:noFill/>
              </a:ln>
              <a:effectLst/>
            </c:spPr>
            <c:extLst>
              <c:ext xmlns:c16="http://schemas.microsoft.com/office/drawing/2014/chart" uri="{C3380CC4-5D6E-409C-BE32-E72D297353CC}">
                <c16:uniqueId val="{00000003-CFBD-4E6F-AC28-12657D892ADD}"/>
              </c:ext>
            </c:extLst>
          </c:dPt>
          <c:cat>
            <c:strRef>
              <c:f>Analyse!$K$5:$K$6</c:f>
              <c:strCache>
                <c:ptCount val="1"/>
                <c:pt idx="0">
                  <c:v>Einnahmen</c:v>
                </c:pt>
              </c:strCache>
            </c:strRef>
          </c:cat>
          <c:val>
            <c:numRef>
              <c:f>Analyse!$L$5:$L$6</c:f>
              <c:numCache>
                <c:formatCode>#,##0\ "€"</c:formatCode>
                <c:ptCount val="1"/>
                <c:pt idx="0">
                  <c:v>9000</c:v>
                </c:pt>
              </c:numCache>
            </c:numRef>
          </c:val>
          <c:extLst>
            <c:ext xmlns:c16="http://schemas.microsoft.com/office/drawing/2014/chart" uri="{C3380CC4-5D6E-409C-BE32-E72D297353CC}">
              <c16:uniqueId val="{00000004-CFBD-4E6F-AC28-12657D892AD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30894947506561671"/>
          <c:y val="0.39957531350247888"/>
          <c:w val="0.18271719160104988"/>
          <c:h val="0.17307159521726451"/>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[Haushaltsbuch.xlsm]Analyse!Pivot_Ausgaben_Top5</c:name>
    <c:fmtId val="3"/>
  </c:pivotSource>
  <c:chart>
    <c:title>
      <c:tx>
        <c:rich>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r>
              <a:rPr lang="en-US" sz="1600" b="1">
                <a:solidFill>
                  <a:schemeClr val="bg1"/>
                </a:solidFill>
              </a:rPr>
              <a:t>Top 5</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endParaRPr lang="de-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Analyse!$R$4</c:f>
              <c:strCache>
                <c:ptCount val="1"/>
                <c:pt idx="0">
                  <c:v>Ergebnis</c:v>
                </c:pt>
              </c:strCache>
            </c:strRef>
          </c:tx>
          <c:spPr>
            <a:solidFill>
              <a:srgbClr val="C00000"/>
            </a:solidFill>
            <a:ln>
              <a:noFill/>
            </a:ln>
            <a:effectLst/>
          </c:spPr>
          <c:invertIfNegative val="0"/>
          <c:dLbls>
            <c:numFmt formatCode="#,##0\ &quot;€&quot;" sourceLinked="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Analyse!$Q$5:$Q$9</c:f>
              <c:strCache>
                <c:ptCount val="4"/>
                <c:pt idx="0">
                  <c:v>Abos</c:v>
                </c:pt>
                <c:pt idx="1">
                  <c:v>Lebensmittel</c:v>
                </c:pt>
                <c:pt idx="2">
                  <c:v>Versicherung</c:v>
                </c:pt>
                <c:pt idx="3">
                  <c:v>KFZ</c:v>
                </c:pt>
              </c:strCache>
            </c:strRef>
          </c:cat>
          <c:val>
            <c:numRef>
              <c:f>Analyse!$R$5:$R$9</c:f>
              <c:numCache>
                <c:formatCode>#,##0\ "€"</c:formatCode>
                <c:ptCount val="4"/>
                <c:pt idx="0">
                  <c:v>100</c:v>
                </c:pt>
                <c:pt idx="1">
                  <c:v>370</c:v>
                </c:pt>
                <c:pt idx="2">
                  <c:v>800</c:v>
                </c:pt>
                <c:pt idx="3">
                  <c:v>1655</c:v>
                </c:pt>
              </c:numCache>
            </c:numRef>
          </c:val>
          <c:extLst>
            <c:ext xmlns:c16="http://schemas.microsoft.com/office/drawing/2014/chart" uri="{C3380CC4-5D6E-409C-BE32-E72D297353CC}">
              <c16:uniqueId val="{00000000-C97C-418F-89B5-0CF6663E2CD4}"/>
            </c:ext>
          </c:extLst>
        </c:ser>
        <c:dLbls>
          <c:dLblPos val="outEnd"/>
          <c:showLegendKey val="0"/>
          <c:showVal val="1"/>
          <c:showCatName val="0"/>
          <c:showSerName val="0"/>
          <c:showPercent val="0"/>
          <c:showBubbleSize val="0"/>
        </c:dLbls>
        <c:gapWidth val="182"/>
        <c:axId val="1043769480"/>
        <c:axId val="1043777760"/>
      </c:barChart>
      <c:catAx>
        <c:axId val="1043769480"/>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de-DE"/>
          </a:p>
        </c:txPr>
        <c:crossAx val="1043777760"/>
        <c:crosses val="autoZero"/>
        <c:auto val="1"/>
        <c:lblAlgn val="ctr"/>
        <c:lblOffset val="100"/>
        <c:noMultiLvlLbl val="0"/>
      </c:catAx>
      <c:valAx>
        <c:axId val="1043777760"/>
        <c:scaling>
          <c:orientation val="minMax"/>
        </c:scaling>
        <c:delete val="1"/>
        <c:axPos val="b"/>
        <c:numFmt formatCode="#,##0\ &quot;€&quot;" sourceLinked="1"/>
        <c:majorTickMark val="out"/>
        <c:minorTickMark val="none"/>
        <c:tickLblPos val="nextTo"/>
        <c:crossAx val="1043769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cat>
            <c:numRef>
              <c:f>Vergleich!$B$11:$B$28</c:f>
              <c:numCache>
                <c:formatCode>General</c:formatCode>
                <c:ptCount val="18"/>
              </c:numCache>
            </c:numRef>
          </c:cat>
          <c:val>
            <c:numRef>
              <c:f>Vergleich!$C$11:$C$28</c:f>
              <c:numCache>
                <c:formatCode>_-* #.##0\ "$"_-;\-* #.##0\ "$"_-;_-* "-"??\ "$"_-;_-@_-</c:formatCode>
                <c:ptCount val="18"/>
              </c:numCache>
            </c:numRef>
          </c:val>
          <c:extLst>
            <c:ext xmlns:c16="http://schemas.microsoft.com/office/drawing/2014/chart" uri="{C3380CC4-5D6E-409C-BE32-E72D297353CC}">
              <c16:uniqueId val="{00000000-BF7F-458B-8493-7E0A00B954B0}"/>
            </c:ext>
          </c:extLst>
        </c:ser>
        <c:ser>
          <c:idx val="1"/>
          <c:order val="1"/>
          <c:spPr>
            <a:solidFill>
              <a:schemeClr val="accent2"/>
            </a:solidFill>
            <a:ln>
              <a:noFill/>
            </a:ln>
            <a:effectLst/>
          </c:spPr>
          <c:invertIfNegative val="0"/>
          <c:cat>
            <c:numRef>
              <c:f>Vergleich!$B$11:$B$28</c:f>
              <c:numCache>
                <c:formatCode>General</c:formatCode>
                <c:ptCount val="18"/>
              </c:numCache>
            </c:numRef>
          </c:cat>
          <c:val>
            <c:numRef>
              <c:f>Vergleich!$E$11:$E$28</c:f>
              <c:numCache>
                <c:formatCode>_-* #.##0\ "$"_-;\-* #.##0\ "$"_-;_-* "-"??\ "$"_-;_-@_-</c:formatCode>
                <c:ptCount val="18"/>
              </c:numCache>
            </c:numRef>
          </c:val>
          <c:extLst>
            <c:ext xmlns:c16="http://schemas.microsoft.com/office/drawing/2014/chart" uri="{C3380CC4-5D6E-409C-BE32-E72D297353CC}">
              <c16:uniqueId val="{00000001-BF7F-458B-8493-7E0A00B954B0}"/>
            </c:ext>
          </c:extLst>
        </c:ser>
        <c:dLbls>
          <c:showLegendKey val="0"/>
          <c:showVal val="0"/>
          <c:showCatName val="0"/>
          <c:showSerName val="0"/>
          <c:showPercent val="0"/>
          <c:showBubbleSize val="0"/>
        </c:dLbls>
        <c:gapWidth val="219"/>
        <c:overlap val="-27"/>
        <c:axId val="967367328"/>
        <c:axId val="967367688"/>
      </c:barChart>
      <c:catAx>
        <c:axId val="967367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de-DE"/>
          </a:p>
        </c:txPr>
        <c:crossAx val="967367688"/>
        <c:crosses val="autoZero"/>
        <c:auto val="1"/>
        <c:lblAlgn val="ctr"/>
        <c:lblOffset val="200"/>
        <c:noMultiLvlLbl val="0"/>
      </c:catAx>
      <c:valAx>
        <c:axId val="967367688"/>
        <c:scaling>
          <c:orientation val="minMax"/>
        </c:scaling>
        <c:delete val="0"/>
        <c:axPos val="l"/>
        <c:numFmt formatCode="#,##0\ &quot;€&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de-DE"/>
          </a:p>
        </c:txPr>
        <c:crossAx val="967367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chart" Target="../charts/chart3.xml"/><Relationship Id="rId7" Type="http://schemas.openxmlformats.org/officeDocument/2006/relationships/image" Target="../media/image4.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4.xml"/><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19049</xdr:colOff>
      <xdr:row>0</xdr:row>
      <xdr:rowOff>1</xdr:rowOff>
    </xdr:from>
    <xdr:to>
      <xdr:col>5</xdr:col>
      <xdr:colOff>104774</xdr:colOff>
      <xdr:row>1</xdr:row>
      <xdr:rowOff>150460</xdr:rowOff>
    </xdr:to>
    <mc:AlternateContent xmlns:mc="http://schemas.openxmlformats.org/markup-compatibility/2006" xmlns:a14="http://schemas.microsoft.com/office/drawing/2010/main">
      <mc:Choice Requires="a14">
        <xdr:graphicFrame macro="">
          <xdr:nvGraphicFramePr>
            <xdr:cNvPr id="2" name="Jahr">
              <a:extLst>
                <a:ext uri="{FF2B5EF4-FFF2-40B4-BE49-F238E27FC236}">
                  <a16:creationId xmlns:a16="http://schemas.microsoft.com/office/drawing/2014/main" id="{00000000-0008-0000-0200-00000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Jahr"/>
            </a:graphicData>
          </a:graphic>
        </xdr:graphicFrame>
      </mc:Choice>
      <mc:Fallback xmlns="">
        <xdr:sp macro="" textlink="">
          <xdr:nvSpPr>
            <xdr:cNvPr id="0" name=""/>
            <xdr:cNvSpPr>
              <a:spLocks noTextEdit="1"/>
            </xdr:cNvSpPr>
          </xdr:nvSpPr>
          <xdr:spPr>
            <a:xfrm>
              <a:off x="19049" y="1"/>
              <a:ext cx="3895725" cy="111248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oneCell">
    <xdr:from>
      <xdr:col>5</xdr:col>
      <xdr:colOff>57150</xdr:colOff>
      <xdr:row>0</xdr:row>
      <xdr:rowOff>1</xdr:rowOff>
    </xdr:from>
    <xdr:to>
      <xdr:col>23</xdr:col>
      <xdr:colOff>19050</xdr:colOff>
      <xdr:row>1</xdr:row>
      <xdr:rowOff>171450</xdr:rowOff>
    </xdr:to>
    <mc:AlternateContent xmlns:mc="http://schemas.openxmlformats.org/markup-compatibility/2006" xmlns:a14="http://schemas.microsoft.com/office/drawing/2010/main">
      <mc:Choice Requires="a14">
        <xdr:graphicFrame macro="">
          <xdr:nvGraphicFramePr>
            <xdr:cNvPr id="3" name="Monat">
              <a:extLst>
                <a:ext uri="{FF2B5EF4-FFF2-40B4-BE49-F238E27FC236}">
                  <a16:creationId xmlns:a16="http://schemas.microsoft.com/office/drawing/2014/main" id="{00000000-0008-0000-02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at"/>
            </a:graphicData>
          </a:graphic>
        </xdr:graphicFrame>
      </mc:Choice>
      <mc:Fallback xmlns="">
        <xdr:sp macro="" textlink="">
          <xdr:nvSpPr>
            <xdr:cNvPr id="0" name=""/>
            <xdr:cNvSpPr>
              <a:spLocks noTextEdit="1"/>
            </xdr:cNvSpPr>
          </xdr:nvSpPr>
          <xdr:spPr>
            <a:xfrm>
              <a:off x="3867150" y="1"/>
              <a:ext cx="13677900" cy="113347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xdr:from>
      <xdr:col>1</xdr:col>
      <xdr:colOff>414338</xdr:colOff>
      <xdr:row>3</xdr:row>
      <xdr:rowOff>161925</xdr:rowOff>
    </xdr:from>
    <xdr:to>
      <xdr:col>4</xdr:col>
      <xdr:colOff>671513</xdr:colOff>
      <xdr:row>8</xdr:row>
      <xdr:rowOff>57150</xdr:rowOff>
    </xdr:to>
    <xdr:grpSp>
      <xdr:nvGrpSpPr>
        <xdr:cNvPr id="9" name="Gruppieren 8">
          <a:extLst>
            <a:ext uri="{FF2B5EF4-FFF2-40B4-BE49-F238E27FC236}">
              <a16:creationId xmlns:a16="http://schemas.microsoft.com/office/drawing/2014/main" id="{00000000-0008-0000-0200-000009000000}"/>
            </a:ext>
          </a:extLst>
        </xdr:cNvPr>
        <xdr:cNvGrpSpPr/>
      </xdr:nvGrpSpPr>
      <xdr:grpSpPr>
        <a:xfrm>
          <a:off x="1176338" y="1504950"/>
          <a:ext cx="2543175" cy="847725"/>
          <a:chOff x="762000" y="1533525"/>
          <a:chExt cx="2543175" cy="847725"/>
        </a:xfrm>
      </xdr:grpSpPr>
      <xdr:sp macro="" textlink="">
        <xdr:nvSpPr>
          <xdr:cNvPr id="5" name="Rechteck: abgerundete Ecken 4">
            <a:extLst>
              <a:ext uri="{FF2B5EF4-FFF2-40B4-BE49-F238E27FC236}">
                <a16:creationId xmlns:a16="http://schemas.microsoft.com/office/drawing/2014/main" id="{00000000-0008-0000-0200-000005000000}"/>
              </a:ext>
            </a:extLst>
          </xdr:cNvPr>
          <xdr:cNvSpPr/>
        </xdr:nvSpPr>
        <xdr:spPr>
          <a:xfrm>
            <a:off x="762000" y="1533525"/>
            <a:ext cx="2543175" cy="84772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i="0" u="none" strike="noStrike">
                <a:solidFill>
                  <a:schemeClr val="bg1"/>
                </a:solidFill>
                <a:latin typeface="Calibri"/>
                <a:ea typeface="+mn-ea"/>
                <a:cs typeface="Calibri"/>
              </a:rPr>
              <a:t>Umsatz</a:t>
            </a:r>
            <a:endParaRPr lang="en-US" sz="1800" b="1" i="0" u="none" strike="noStrike">
              <a:solidFill>
                <a:schemeClr val="bg1"/>
              </a:solidFill>
              <a:latin typeface="Calibri"/>
              <a:ea typeface="+mn-ea"/>
              <a:cs typeface="Calibri"/>
            </a:endParaRPr>
          </a:p>
          <a:p>
            <a:pPr algn="l"/>
            <a:endParaRPr lang="en-US" sz="1100"/>
          </a:p>
        </xdr:txBody>
      </xdr:sp>
      <xdr:sp macro="" textlink="Analyse!B6">
        <xdr:nvSpPr>
          <xdr:cNvPr id="6" name="Textfeld 5">
            <a:extLst>
              <a:ext uri="{FF2B5EF4-FFF2-40B4-BE49-F238E27FC236}">
                <a16:creationId xmlns:a16="http://schemas.microsoft.com/office/drawing/2014/main" id="{00000000-0008-0000-0200-000006000000}"/>
              </a:ext>
            </a:extLst>
          </xdr:cNvPr>
          <xdr:cNvSpPr txBox="1"/>
        </xdr:nvSpPr>
        <xdr:spPr>
          <a:xfrm>
            <a:off x="1447800" y="1913192"/>
            <a:ext cx="1171574" cy="374141"/>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9AA825C-5BE2-4D98-B4EA-7965449D4E62}" type="TxLink">
              <a:rPr lang="en-US" sz="1800" b="1" i="0" u="none" strike="noStrike">
                <a:solidFill>
                  <a:schemeClr val="bg1"/>
                </a:solidFill>
                <a:latin typeface="Calibri"/>
                <a:ea typeface="+mn-ea"/>
                <a:cs typeface="Calibri"/>
              </a:rPr>
              <a:pPr marL="0" indent="0" algn="ctr"/>
              <a:t> 6.075 € </a:t>
            </a:fld>
            <a:endParaRPr lang="en-US" sz="3200" b="1" i="0" u="none" strike="noStrike">
              <a:solidFill>
                <a:schemeClr val="bg1"/>
              </a:solidFill>
              <a:latin typeface="Calibri"/>
              <a:ea typeface="+mn-ea"/>
              <a:cs typeface="Calibri"/>
            </a:endParaRPr>
          </a:p>
        </xdr:txBody>
      </xdr:sp>
    </xdr:grpSp>
    <xdr:clientData/>
  </xdr:twoCellAnchor>
  <xdr:twoCellAnchor>
    <xdr:from>
      <xdr:col>15</xdr:col>
      <xdr:colOff>757238</xdr:colOff>
      <xdr:row>4</xdr:row>
      <xdr:rowOff>5678</xdr:rowOff>
    </xdr:from>
    <xdr:to>
      <xdr:col>19</xdr:col>
      <xdr:colOff>252413</xdr:colOff>
      <xdr:row>8</xdr:row>
      <xdr:rowOff>93278</xdr:rowOff>
    </xdr:to>
    <xdr:grpSp>
      <xdr:nvGrpSpPr>
        <xdr:cNvPr id="1043" name="Gruppieren 1042">
          <a:extLst>
            <a:ext uri="{FF2B5EF4-FFF2-40B4-BE49-F238E27FC236}">
              <a16:creationId xmlns:a16="http://schemas.microsoft.com/office/drawing/2014/main" id="{00000000-0008-0000-0200-000013040000}"/>
            </a:ext>
          </a:extLst>
        </xdr:cNvPr>
        <xdr:cNvGrpSpPr/>
      </xdr:nvGrpSpPr>
      <xdr:grpSpPr>
        <a:xfrm>
          <a:off x="12187238" y="1539203"/>
          <a:ext cx="2543175" cy="849600"/>
          <a:chOff x="12187238" y="1539203"/>
          <a:chExt cx="2543175" cy="849600"/>
        </a:xfrm>
      </xdr:grpSpPr>
      <xdr:sp macro="[0]!Button_Ausgaben" textlink="">
        <xdr:nvSpPr>
          <xdr:cNvPr id="14" name="Rechteck: abgerundete Ecken 13">
            <a:extLst>
              <a:ext uri="{FF2B5EF4-FFF2-40B4-BE49-F238E27FC236}">
                <a16:creationId xmlns:a16="http://schemas.microsoft.com/office/drawing/2014/main" id="{00000000-0008-0000-0200-00000E000000}"/>
              </a:ext>
            </a:extLst>
          </xdr:cNvPr>
          <xdr:cNvSpPr/>
        </xdr:nvSpPr>
        <xdr:spPr>
          <a:xfrm>
            <a:off x="12187238" y="1539203"/>
            <a:ext cx="2543175" cy="849600"/>
          </a:xfrm>
          <a:prstGeom prst="round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US" sz="2400" b="1" i="0" u="none" strike="noStrike">
                <a:solidFill>
                  <a:schemeClr val="bg1"/>
                </a:solidFill>
                <a:latin typeface="Calibri"/>
                <a:ea typeface="+mn-ea"/>
                <a:cs typeface="Calibri"/>
              </a:rPr>
              <a:t>Ausgaben</a:t>
            </a:r>
            <a:endParaRPr lang="en-US" sz="1800" b="1" i="0" u="none" strike="noStrike">
              <a:solidFill>
                <a:schemeClr val="bg1"/>
              </a:solidFill>
              <a:latin typeface="Calibri"/>
              <a:ea typeface="+mn-ea"/>
              <a:cs typeface="Calibri"/>
            </a:endParaRPr>
          </a:p>
          <a:p>
            <a:pPr marL="0" indent="0" algn="ctr"/>
            <a:endParaRPr lang="en-US" sz="1800" b="1" i="0" u="none" strike="noStrike">
              <a:solidFill>
                <a:schemeClr val="bg1"/>
              </a:solidFill>
              <a:latin typeface="Calibri"/>
              <a:ea typeface="+mn-ea"/>
              <a:cs typeface="Calibri"/>
            </a:endParaRPr>
          </a:p>
        </xdr:txBody>
      </xdr:sp>
      <xdr:sp macro="[0]!Button_Ausgaben" textlink="Analyse!B5">
        <xdr:nvSpPr>
          <xdr:cNvPr id="15" name="Textfeld 14">
            <a:extLst>
              <a:ext uri="{FF2B5EF4-FFF2-40B4-BE49-F238E27FC236}">
                <a16:creationId xmlns:a16="http://schemas.microsoft.com/office/drawing/2014/main" id="{00000000-0008-0000-0200-00000F000000}"/>
              </a:ext>
            </a:extLst>
          </xdr:cNvPr>
          <xdr:cNvSpPr txBox="1"/>
        </xdr:nvSpPr>
        <xdr:spPr>
          <a:xfrm>
            <a:off x="12825413" y="2085975"/>
            <a:ext cx="1171574" cy="194122"/>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8AD3B20-3FE2-459D-83AB-DBBC6B8F5C2D}" type="TxLink">
              <a:rPr lang="en-US" sz="1800" b="1" i="0" u="none" strike="noStrike">
                <a:solidFill>
                  <a:schemeClr val="bg1"/>
                </a:solidFill>
                <a:latin typeface="Calibri"/>
                <a:ea typeface="+mn-ea"/>
                <a:cs typeface="Calibri"/>
              </a:rPr>
              <a:pPr marL="0" indent="0" algn="ctr"/>
              <a:t> 2.925 € </a:t>
            </a:fld>
            <a:endParaRPr lang="en-US" sz="1800" b="1" i="0" u="none" strike="noStrike">
              <a:solidFill>
                <a:schemeClr val="bg1"/>
              </a:solidFill>
              <a:latin typeface="Calibri"/>
              <a:ea typeface="+mn-ea"/>
              <a:cs typeface="Calibri"/>
            </a:endParaRPr>
          </a:p>
        </xdr:txBody>
      </xdr:sp>
    </xdr:grpSp>
    <xdr:clientData/>
  </xdr:twoCellAnchor>
  <xdr:twoCellAnchor>
    <xdr:from>
      <xdr:col>0</xdr:col>
      <xdr:colOff>295275</xdr:colOff>
      <xdr:row>9</xdr:row>
      <xdr:rowOff>95249</xdr:rowOff>
    </xdr:from>
    <xdr:to>
      <xdr:col>6</xdr:col>
      <xdr:colOff>28575</xdr:colOff>
      <xdr:row>33</xdr:row>
      <xdr:rowOff>28574</xdr:rowOff>
    </xdr:to>
    <xdr:graphicFrame macro="">
      <xdr:nvGraphicFramePr>
        <xdr:cNvPr id="16" name="Diagramm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352425</xdr:colOff>
      <xdr:row>3</xdr:row>
      <xdr:rowOff>161925</xdr:rowOff>
    </xdr:from>
    <xdr:to>
      <xdr:col>12</xdr:col>
      <xdr:colOff>609600</xdr:colOff>
      <xdr:row>8</xdr:row>
      <xdr:rowOff>57150</xdr:rowOff>
    </xdr:to>
    <xdr:grpSp>
      <xdr:nvGrpSpPr>
        <xdr:cNvPr id="10" name="Gruppieren 9">
          <a:extLst>
            <a:ext uri="{FF2B5EF4-FFF2-40B4-BE49-F238E27FC236}">
              <a16:creationId xmlns:a16="http://schemas.microsoft.com/office/drawing/2014/main" id="{00000000-0008-0000-0200-00000A000000}"/>
            </a:ext>
          </a:extLst>
        </xdr:cNvPr>
        <xdr:cNvGrpSpPr/>
      </xdr:nvGrpSpPr>
      <xdr:grpSpPr>
        <a:xfrm>
          <a:off x="7210425" y="1504950"/>
          <a:ext cx="2543175" cy="847725"/>
          <a:chOff x="762000" y="1533525"/>
          <a:chExt cx="2543175" cy="847725"/>
        </a:xfrm>
      </xdr:grpSpPr>
      <xdr:sp macro="[0]!Button_Einnahmen_all" textlink="">
        <xdr:nvSpPr>
          <xdr:cNvPr id="11" name="Rechteck: abgerundete Ecken 10">
            <a:extLst>
              <a:ext uri="{FF2B5EF4-FFF2-40B4-BE49-F238E27FC236}">
                <a16:creationId xmlns:a16="http://schemas.microsoft.com/office/drawing/2014/main" id="{00000000-0008-0000-0200-00000B000000}"/>
              </a:ext>
            </a:extLst>
          </xdr:cNvPr>
          <xdr:cNvSpPr/>
        </xdr:nvSpPr>
        <xdr:spPr>
          <a:xfrm>
            <a:off x="762000" y="1533525"/>
            <a:ext cx="2543175" cy="847725"/>
          </a:xfrm>
          <a:prstGeom prst="round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2400" b="1" i="0" u="none" strike="noStrike">
                <a:solidFill>
                  <a:schemeClr val="bg1"/>
                </a:solidFill>
                <a:latin typeface="Calibri"/>
                <a:ea typeface="+mn-ea"/>
                <a:cs typeface="Calibri"/>
              </a:rPr>
              <a:t>Einnahmen</a:t>
            </a:r>
            <a:endParaRPr lang="en-US" sz="1800" b="1" i="0" u="none" strike="noStrike">
              <a:solidFill>
                <a:schemeClr val="bg1"/>
              </a:solidFill>
              <a:latin typeface="Calibri"/>
              <a:ea typeface="+mn-ea"/>
              <a:cs typeface="Calibri"/>
            </a:endParaRPr>
          </a:p>
          <a:p>
            <a:pPr marL="0" indent="0" algn="ctr"/>
            <a:endParaRPr lang="en-US" sz="1800" b="1" i="0" u="none" strike="noStrike">
              <a:solidFill>
                <a:schemeClr val="bg1"/>
              </a:solidFill>
              <a:latin typeface="Calibri"/>
              <a:ea typeface="+mn-ea"/>
              <a:cs typeface="Calibri"/>
            </a:endParaRPr>
          </a:p>
        </xdr:txBody>
      </xdr:sp>
      <xdr:sp macro="[0]!Button_Einnahmen_all" textlink="Analyse!B4">
        <xdr:nvSpPr>
          <xdr:cNvPr id="12" name="Textfeld 11">
            <a:extLst>
              <a:ext uri="{FF2B5EF4-FFF2-40B4-BE49-F238E27FC236}">
                <a16:creationId xmlns:a16="http://schemas.microsoft.com/office/drawing/2014/main" id="{00000000-0008-0000-0200-00000C000000}"/>
              </a:ext>
            </a:extLst>
          </xdr:cNvPr>
          <xdr:cNvSpPr txBox="1"/>
        </xdr:nvSpPr>
        <xdr:spPr>
          <a:xfrm>
            <a:off x="1447800" y="1913192"/>
            <a:ext cx="1171574" cy="374141"/>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03058926-80FE-452B-99A1-A59E965EADD0}" type="TxLink">
              <a:rPr lang="en-US" sz="1800" b="1" i="0" u="none" strike="noStrike">
                <a:solidFill>
                  <a:schemeClr val="bg1"/>
                </a:solidFill>
                <a:latin typeface="Calibri"/>
                <a:ea typeface="+mn-ea"/>
                <a:cs typeface="Calibri"/>
              </a:rPr>
              <a:pPr marL="0" indent="0" algn="ctr"/>
              <a:t> 9.000 € </a:t>
            </a:fld>
            <a:endParaRPr lang="en-US" sz="1800" b="1" i="0" u="none" strike="noStrike">
              <a:solidFill>
                <a:schemeClr val="bg1"/>
              </a:solidFill>
              <a:latin typeface="Calibri"/>
              <a:ea typeface="+mn-ea"/>
              <a:cs typeface="Calibri"/>
            </a:endParaRPr>
          </a:p>
        </xdr:txBody>
      </xdr:sp>
    </xdr:grpSp>
    <xdr:clientData/>
  </xdr:twoCellAnchor>
  <xdr:twoCellAnchor>
    <xdr:from>
      <xdr:col>8</xdr:col>
      <xdr:colOff>704850</xdr:colOff>
      <xdr:row>9</xdr:row>
      <xdr:rowOff>123825</xdr:rowOff>
    </xdr:from>
    <xdr:to>
      <xdr:col>14</xdr:col>
      <xdr:colOff>504825</xdr:colOff>
      <xdr:row>24</xdr:row>
      <xdr:rowOff>9525</xdr:rowOff>
    </xdr:to>
    <xdr:graphicFrame macro="">
      <xdr:nvGraphicFramePr>
        <xdr:cNvPr id="17" name="Diagramm 16">
          <a:extLst>
            <a:ext uri="{FF2B5EF4-FFF2-40B4-BE49-F238E27FC236}">
              <a16:creationId xmlns:a16="http://schemas.microsoft.com/office/drawing/2014/main" id="{00000000-0008-0000-0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628650</xdr:colOff>
      <xdr:row>9</xdr:row>
      <xdr:rowOff>123825</xdr:rowOff>
    </xdr:from>
    <xdr:to>
      <xdr:col>23</xdr:col>
      <xdr:colOff>0</xdr:colOff>
      <xdr:row>35</xdr:row>
      <xdr:rowOff>0</xdr:rowOff>
    </xdr:to>
    <xdr:graphicFrame macro="">
      <xdr:nvGraphicFramePr>
        <xdr:cNvPr id="18" name="Dia_Ausgaben">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119062</xdr:colOff>
      <xdr:row>26</xdr:row>
      <xdr:rowOff>57150</xdr:rowOff>
    </xdr:from>
    <xdr:to>
      <xdr:col>12</xdr:col>
      <xdr:colOff>80962</xdr:colOff>
      <xdr:row>28</xdr:row>
      <xdr:rowOff>114299</xdr:rowOff>
    </xdr:to>
    <xdr:sp macro="[0]!Vergleich_Button" textlink="">
      <xdr:nvSpPr>
        <xdr:cNvPr id="22" name="Rechteck: abgerundete Ecken 21">
          <a:extLst>
            <a:ext uri="{FF2B5EF4-FFF2-40B4-BE49-F238E27FC236}">
              <a16:creationId xmlns:a16="http://schemas.microsoft.com/office/drawing/2014/main" id="{00000000-0008-0000-0200-000016000000}"/>
            </a:ext>
          </a:extLst>
        </xdr:cNvPr>
        <xdr:cNvSpPr/>
      </xdr:nvSpPr>
      <xdr:spPr>
        <a:xfrm>
          <a:off x="7739062" y="5781675"/>
          <a:ext cx="1485900" cy="438149"/>
        </a:xfrm>
        <a:prstGeom prst="round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2400" b="1" i="0" u="none" strike="noStrike">
              <a:solidFill>
                <a:schemeClr val="bg1"/>
              </a:solidFill>
              <a:latin typeface="Calibri"/>
              <a:ea typeface="+mn-ea"/>
              <a:cs typeface="Calibri"/>
            </a:rPr>
            <a:t>Vergleich</a:t>
          </a:r>
          <a:endParaRPr lang="en-US" sz="1800" b="1" i="0" u="none" strike="noStrike">
            <a:solidFill>
              <a:schemeClr val="bg1"/>
            </a:solidFill>
            <a:latin typeface="Calibri"/>
            <a:ea typeface="+mn-ea"/>
            <a:cs typeface="Calibri"/>
          </a:endParaRPr>
        </a:p>
        <a:p>
          <a:pPr marL="0" indent="0" algn="ctr"/>
          <a:endParaRPr lang="en-US" sz="1800" b="1" i="0" u="none" strike="noStrike">
            <a:solidFill>
              <a:schemeClr val="bg1"/>
            </a:solidFill>
            <a:latin typeface="Calibri"/>
            <a:ea typeface="+mn-ea"/>
            <a:cs typeface="Calibri"/>
          </a:endParaRPr>
        </a:p>
      </xdr:txBody>
    </xdr:sp>
    <xdr:clientData/>
  </xdr:twoCellAnchor>
  <xdr:twoCellAnchor editAs="oneCell">
    <xdr:from>
      <xdr:col>19</xdr:col>
      <xdr:colOff>419099</xdr:colOff>
      <xdr:row>0</xdr:row>
      <xdr:rowOff>130241</xdr:rowOff>
    </xdr:from>
    <xdr:to>
      <xdr:col>20</xdr:col>
      <xdr:colOff>17099</xdr:colOff>
      <xdr:row>0</xdr:row>
      <xdr:rowOff>490241</xdr:rowOff>
    </xdr:to>
    <xdr:pic macro="[0]!refresh_all_ws">
      <xdr:nvPicPr>
        <xdr:cNvPr id="29" name="Grafik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897099" y="130241"/>
          <a:ext cx="360000" cy="360000"/>
        </a:xfrm>
        <a:prstGeom prst="rect">
          <a:avLst/>
        </a:prstGeom>
      </xdr:spPr>
    </xdr:pic>
    <xdr:clientData/>
  </xdr:twoCellAnchor>
  <xdr:twoCellAnchor editAs="oneCell">
    <xdr:from>
      <xdr:col>21</xdr:col>
      <xdr:colOff>447675</xdr:colOff>
      <xdr:row>0</xdr:row>
      <xdr:rowOff>133350</xdr:rowOff>
    </xdr:from>
    <xdr:to>
      <xdr:col>22</xdr:col>
      <xdr:colOff>45675</xdr:colOff>
      <xdr:row>0</xdr:row>
      <xdr:rowOff>493350</xdr:rowOff>
    </xdr:to>
    <xdr:pic macro="[0]!Button_Menu">
      <xdr:nvPicPr>
        <xdr:cNvPr id="31" name="Grafik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449675" y="133350"/>
          <a:ext cx="360000" cy="360000"/>
        </a:xfrm>
        <a:prstGeom prst="rect">
          <a:avLst/>
        </a:prstGeom>
      </xdr:spPr>
    </xdr:pic>
    <xdr:clientData/>
  </xdr:twoCellAnchor>
  <xdr:twoCellAnchor>
    <xdr:from>
      <xdr:col>10</xdr:col>
      <xdr:colOff>119062</xdr:colOff>
      <xdr:row>29</xdr:row>
      <xdr:rowOff>38100</xdr:rowOff>
    </xdr:from>
    <xdr:to>
      <xdr:col>12</xdr:col>
      <xdr:colOff>80962</xdr:colOff>
      <xdr:row>31</xdr:row>
      <xdr:rowOff>95249</xdr:rowOff>
    </xdr:to>
    <xdr:sp macro="[0]!Durchschnitt_Button" textlink="">
      <xdr:nvSpPr>
        <xdr:cNvPr id="28" name="Rechteck: abgerundete Ecken 27">
          <a:extLst>
            <a:ext uri="{FF2B5EF4-FFF2-40B4-BE49-F238E27FC236}">
              <a16:creationId xmlns:a16="http://schemas.microsoft.com/office/drawing/2014/main" id="{00000000-0008-0000-0200-00001C000000}"/>
            </a:ext>
          </a:extLst>
        </xdr:cNvPr>
        <xdr:cNvSpPr/>
      </xdr:nvSpPr>
      <xdr:spPr>
        <a:xfrm>
          <a:off x="7739062" y="6334125"/>
          <a:ext cx="1485900" cy="438149"/>
        </a:xfrm>
        <a:prstGeom prst="round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800" b="1" i="0" u="none" strike="noStrike">
              <a:solidFill>
                <a:schemeClr val="bg1"/>
              </a:solidFill>
              <a:latin typeface="Calibri"/>
              <a:ea typeface="+mn-ea"/>
              <a:cs typeface="Calibri"/>
            </a:rPr>
            <a:t>Durchschnitt</a:t>
          </a:r>
        </a:p>
        <a:p>
          <a:pPr marL="0" indent="0" algn="ctr"/>
          <a:endParaRPr lang="en-US" sz="1800" b="1" i="0" u="none" strike="noStrike">
            <a:solidFill>
              <a:schemeClr val="bg1"/>
            </a:solidFill>
            <a:latin typeface="Calibri"/>
            <a:ea typeface="+mn-ea"/>
            <a:cs typeface="Calibri"/>
          </a:endParaRPr>
        </a:p>
      </xdr:txBody>
    </xdr:sp>
    <xdr:clientData/>
  </xdr:twoCellAnchor>
  <xdr:twoCellAnchor>
    <xdr:from>
      <xdr:col>19</xdr:col>
      <xdr:colOff>433388</xdr:colOff>
      <xdr:row>4</xdr:row>
      <xdr:rowOff>5678</xdr:rowOff>
    </xdr:from>
    <xdr:to>
      <xdr:col>21</xdr:col>
      <xdr:colOff>714375</xdr:colOff>
      <xdr:row>8</xdr:row>
      <xdr:rowOff>93278</xdr:rowOff>
    </xdr:to>
    <xdr:grpSp>
      <xdr:nvGrpSpPr>
        <xdr:cNvPr id="1042" name="Gruppieren 1041">
          <a:extLst>
            <a:ext uri="{FF2B5EF4-FFF2-40B4-BE49-F238E27FC236}">
              <a16:creationId xmlns:a16="http://schemas.microsoft.com/office/drawing/2014/main" id="{00000000-0008-0000-0200-000012040000}"/>
            </a:ext>
          </a:extLst>
        </xdr:cNvPr>
        <xdr:cNvGrpSpPr/>
      </xdr:nvGrpSpPr>
      <xdr:grpSpPr>
        <a:xfrm>
          <a:off x="14911388" y="1539203"/>
          <a:ext cx="1804987" cy="849600"/>
          <a:chOff x="14911388" y="1539203"/>
          <a:chExt cx="1804987" cy="849600"/>
        </a:xfrm>
      </xdr:grpSpPr>
      <xdr:sp macro="[0]!Button_Fixkosten" textlink="">
        <xdr:nvSpPr>
          <xdr:cNvPr id="1040" name="Rechteck: abgerundete Ecken 1039">
            <a:extLst>
              <a:ext uri="{FF2B5EF4-FFF2-40B4-BE49-F238E27FC236}">
                <a16:creationId xmlns:a16="http://schemas.microsoft.com/office/drawing/2014/main" id="{00000000-0008-0000-0200-000010040000}"/>
              </a:ext>
            </a:extLst>
          </xdr:cNvPr>
          <xdr:cNvSpPr/>
        </xdr:nvSpPr>
        <xdr:spPr>
          <a:xfrm>
            <a:off x="14911388" y="1539203"/>
            <a:ext cx="1804987" cy="849600"/>
          </a:xfrm>
          <a:prstGeom prst="round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r>
              <a:rPr lang="en-US" sz="2400" b="1" i="0" u="none" strike="noStrike">
                <a:solidFill>
                  <a:schemeClr val="bg1"/>
                </a:solidFill>
                <a:latin typeface="Calibri"/>
                <a:ea typeface="+mn-ea"/>
                <a:cs typeface="Calibri"/>
              </a:rPr>
              <a:t>Fixkosten</a:t>
            </a:r>
          </a:p>
          <a:p>
            <a:pPr marL="0" indent="0" algn="ctr"/>
            <a:endParaRPr lang="en-US" sz="1800" b="1" i="0" u="none" strike="noStrike">
              <a:solidFill>
                <a:schemeClr val="bg1"/>
              </a:solidFill>
              <a:latin typeface="Calibri"/>
              <a:ea typeface="+mn-ea"/>
              <a:cs typeface="Calibri"/>
            </a:endParaRPr>
          </a:p>
        </xdr:txBody>
      </xdr:sp>
      <xdr:sp macro="[0]!Button_Fixkosten" textlink="Analyse!B7">
        <xdr:nvSpPr>
          <xdr:cNvPr id="1041" name="Textfeld 1040">
            <a:extLst>
              <a:ext uri="{FF2B5EF4-FFF2-40B4-BE49-F238E27FC236}">
                <a16:creationId xmlns:a16="http://schemas.microsoft.com/office/drawing/2014/main" id="{00000000-0008-0000-0200-000011040000}"/>
              </a:ext>
            </a:extLst>
          </xdr:cNvPr>
          <xdr:cNvSpPr txBox="1"/>
        </xdr:nvSpPr>
        <xdr:spPr>
          <a:xfrm>
            <a:off x="15364325" y="2085975"/>
            <a:ext cx="831510" cy="194122"/>
          </a:xfrm>
          <a:prstGeom prst="rect">
            <a:avLst/>
          </a:prstGeom>
          <a:solidFill>
            <a:schemeClr val="accent2"/>
          </a:solidFill>
          <a:ln>
            <a:solidFill>
              <a:schemeClr val="accent2"/>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B2E1422-C6BB-408B-A147-7BAAFADFF0C2}" type="TxLink">
              <a:rPr lang="en-US" sz="1800" b="1" i="0" u="none" strike="noStrike">
                <a:solidFill>
                  <a:schemeClr val="bg1"/>
                </a:solidFill>
                <a:latin typeface="Calibri"/>
                <a:ea typeface="+mn-ea"/>
                <a:cs typeface="Calibri"/>
              </a:rPr>
              <a:pPr marL="0" indent="0" algn="ctr"/>
              <a:t> -   € </a:t>
            </a:fld>
            <a:endParaRPr lang="en-US" sz="1800" b="1" i="0" u="none" strike="noStrike">
              <a:solidFill>
                <a:schemeClr val="bg1"/>
              </a:solidFill>
              <a:latin typeface="Calibri"/>
              <a:ea typeface="+mn-ea"/>
              <a:cs typeface="Calibri"/>
            </a:endParaRPr>
          </a:p>
        </xdr:txBody>
      </xdr:sp>
    </xdr:grpSp>
    <xdr:clientData/>
  </xdr:twoCellAnchor>
  <xdr:twoCellAnchor editAs="oneCell">
    <xdr:from>
      <xdr:col>20</xdr:col>
      <xdr:colOff>752475</xdr:colOff>
      <xdr:row>0</xdr:row>
      <xdr:rowOff>130241</xdr:rowOff>
    </xdr:from>
    <xdr:to>
      <xdr:col>21</xdr:col>
      <xdr:colOff>350475</xdr:colOff>
      <xdr:row>0</xdr:row>
      <xdr:rowOff>490241</xdr:rowOff>
    </xdr:to>
    <xdr:pic macro="[0]!python_get_cat">
      <xdr:nvPicPr>
        <xdr:cNvPr id="27" name="Grafik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V="1">
          <a:off x="15992475" y="130241"/>
          <a:ext cx="360000" cy="360000"/>
        </a:xfrm>
        <a:prstGeom prst="rect">
          <a:avLst/>
        </a:prstGeom>
      </xdr:spPr>
    </xdr:pic>
    <xdr:clientData/>
  </xdr:twoCellAnchor>
  <xdr:twoCellAnchor editAs="oneCell">
    <xdr:from>
      <xdr:col>20</xdr:col>
      <xdr:colOff>204787</xdr:colOff>
      <xdr:row>0</xdr:row>
      <xdr:rowOff>111191</xdr:rowOff>
    </xdr:from>
    <xdr:to>
      <xdr:col>20</xdr:col>
      <xdr:colOff>564787</xdr:colOff>
      <xdr:row>0</xdr:row>
      <xdr:rowOff>471191</xdr:rowOff>
    </xdr:to>
    <xdr:pic macro="[0]!open_data_sheet">
      <xdr:nvPicPr>
        <xdr:cNvPr id="1026" name="Grafik 1025">
          <a:extLst>
            <a:ext uri="{FF2B5EF4-FFF2-40B4-BE49-F238E27FC236}">
              <a16:creationId xmlns:a16="http://schemas.microsoft.com/office/drawing/2014/main" id="{00000000-0008-0000-0200-00000204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flipH="1">
          <a:off x="15444787" y="111191"/>
          <a:ext cx="360000" cy="360000"/>
        </a:xfrm>
        <a:prstGeom prst="rect">
          <a:avLst/>
        </a:prstGeom>
      </xdr:spPr>
    </xdr:pic>
    <xdr:clientData/>
  </xdr:twoCellAnchor>
  <xdr:twoCellAnchor>
    <xdr:from>
      <xdr:col>5</xdr:col>
      <xdr:colOff>85725</xdr:colOff>
      <xdr:row>4</xdr:row>
      <xdr:rowOff>161925</xdr:rowOff>
    </xdr:from>
    <xdr:to>
      <xdr:col>17</xdr:col>
      <xdr:colOff>381000</xdr:colOff>
      <xdr:row>28</xdr:row>
      <xdr:rowOff>85725</xdr:rowOff>
    </xdr:to>
    <xdr:grpSp>
      <xdr:nvGrpSpPr>
        <xdr:cNvPr id="4" name="Menu" hidden="1">
          <a:extLst>
            <a:ext uri="{FF2B5EF4-FFF2-40B4-BE49-F238E27FC236}">
              <a16:creationId xmlns:a16="http://schemas.microsoft.com/office/drawing/2014/main" id="{00000000-0008-0000-0200-000004000000}"/>
            </a:ext>
          </a:extLst>
        </xdr:cNvPr>
        <xdr:cNvGrpSpPr/>
      </xdr:nvGrpSpPr>
      <xdr:grpSpPr>
        <a:xfrm>
          <a:off x="3895725" y="1695450"/>
          <a:ext cx="9439275" cy="4495800"/>
          <a:chOff x="3895725" y="1695450"/>
          <a:chExt cx="9439275" cy="4495800"/>
        </a:xfrm>
      </xdr:grpSpPr>
      <xdr:sp macro="" textlink="">
        <xdr:nvSpPr>
          <xdr:cNvPr id="21" name="Rechteck: abgerundete Ecken 20" hidden="1">
            <a:extLst>
              <a:ext uri="{FF2B5EF4-FFF2-40B4-BE49-F238E27FC236}">
                <a16:creationId xmlns:a16="http://schemas.microsoft.com/office/drawing/2014/main" id="{00000000-0008-0000-0200-000015000000}"/>
              </a:ext>
            </a:extLst>
          </xdr:cNvPr>
          <xdr:cNvSpPr/>
        </xdr:nvSpPr>
        <xdr:spPr>
          <a:xfrm>
            <a:off x="3895725" y="1695450"/>
            <a:ext cx="9439275" cy="4495800"/>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sp macro="[0]!EntwicklerModus" textlink="">
        <xdr:nvSpPr>
          <xdr:cNvPr id="1024" name="Rechteck: abgerundete Ecken 1023" hidden="1">
            <a:extLst>
              <a:ext uri="{FF2B5EF4-FFF2-40B4-BE49-F238E27FC236}">
                <a16:creationId xmlns:a16="http://schemas.microsoft.com/office/drawing/2014/main" id="{00000000-0008-0000-0200-000000040000}"/>
              </a:ext>
            </a:extLst>
          </xdr:cNvPr>
          <xdr:cNvSpPr/>
        </xdr:nvSpPr>
        <xdr:spPr>
          <a:xfrm>
            <a:off x="4733925" y="3529013"/>
            <a:ext cx="1905000" cy="8286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t>Entwicklermodus</a:t>
            </a:r>
          </a:p>
        </xdr:txBody>
      </xdr:sp>
      <xdr:sp macro="[0]!BenutzerModus" textlink="">
        <xdr:nvSpPr>
          <xdr:cNvPr id="1025" name="Rechteck: abgerundete Ecken 1024" hidden="1">
            <a:extLst>
              <a:ext uri="{FF2B5EF4-FFF2-40B4-BE49-F238E27FC236}">
                <a16:creationId xmlns:a16="http://schemas.microsoft.com/office/drawing/2014/main" id="{00000000-0008-0000-0200-000001040000}"/>
              </a:ext>
            </a:extLst>
          </xdr:cNvPr>
          <xdr:cNvSpPr/>
        </xdr:nvSpPr>
        <xdr:spPr>
          <a:xfrm>
            <a:off x="7710487" y="3529013"/>
            <a:ext cx="1905000" cy="8286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t>Benutzermodus</a:t>
            </a:r>
          </a:p>
        </xdr:txBody>
      </xdr:sp>
      <xdr:pic macro="[0]!Button_Menu_Close">
        <xdr:nvPicPr>
          <xdr:cNvPr id="1031" name="Grafik 1030" hidden="1">
            <a:extLst>
              <a:ext uri="{FF2B5EF4-FFF2-40B4-BE49-F238E27FC236}">
                <a16:creationId xmlns:a16="http://schemas.microsoft.com/office/drawing/2014/main" id="{00000000-0008-0000-0200-000007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458700" y="1866290"/>
            <a:ext cx="609600" cy="609600"/>
          </a:xfrm>
          <a:prstGeom prst="rect">
            <a:avLst/>
          </a:prstGeom>
        </xdr:spPr>
      </xdr:pic>
      <xdr:sp macro="[0]!dashboard_set_fixcats" textlink="">
        <xdr:nvSpPr>
          <xdr:cNvPr id="1034" name="Rechteck: abgerundete Ecken 1033" hidden="1">
            <a:extLst>
              <a:ext uri="{FF2B5EF4-FFF2-40B4-BE49-F238E27FC236}">
                <a16:creationId xmlns:a16="http://schemas.microsoft.com/office/drawing/2014/main" id="{00000000-0008-0000-0200-00000A040000}"/>
              </a:ext>
            </a:extLst>
          </xdr:cNvPr>
          <xdr:cNvSpPr/>
        </xdr:nvSpPr>
        <xdr:spPr>
          <a:xfrm>
            <a:off x="7710487" y="2166938"/>
            <a:ext cx="1905000" cy="8286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t>Fixkosten</a:t>
            </a:r>
            <a:r>
              <a:rPr lang="de-DE" sz="1100" baseline="0"/>
              <a:t> Kategorien</a:t>
            </a:r>
            <a:endParaRPr lang="de-DE" sz="1100"/>
          </a:p>
        </xdr:txBody>
      </xdr:sp>
      <xdr:sp macro="[0]!python_modeltraining" textlink="">
        <xdr:nvSpPr>
          <xdr:cNvPr id="13" name="Rechteck: abgerundete Ecken 12" hidden="1">
            <a:extLst>
              <a:ext uri="{FF2B5EF4-FFF2-40B4-BE49-F238E27FC236}">
                <a16:creationId xmlns:a16="http://schemas.microsoft.com/office/drawing/2014/main" id="{00000000-0008-0000-0200-00000D000000}"/>
              </a:ext>
            </a:extLst>
          </xdr:cNvPr>
          <xdr:cNvSpPr/>
        </xdr:nvSpPr>
        <xdr:spPr>
          <a:xfrm>
            <a:off x="10531475" y="3529013"/>
            <a:ext cx="1905000" cy="8286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t>ML</a:t>
            </a:r>
            <a:r>
              <a:rPr lang="de-DE" sz="1100" baseline="0"/>
              <a:t> Modell trainieren</a:t>
            </a:r>
            <a:endParaRPr lang="de-DE" sz="1100"/>
          </a:p>
        </xdr:txBody>
      </xdr:sp>
      <xdr:sp macro="[0]!set_path" textlink="">
        <xdr:nvSpPr>
          <xdr:cNvPr id="24" name="Rechteck: abgerundete Ecken 23" hidden="1">
            <a:extLst>
              <a:ext uri="{FF2B5EF4-FFF2-40B4-BE49-F238E27FC236}">
                <a16:creationId xmlns:a16="http://schemas.microsoft.com/office/drawing/2014/main" id="{00000000-0008-0000-0200-000018000000}"/>
              </a:ext>
            </a:extLst>
          </xdr:cNvPr>
          <xdr:cNvSpPr/>
        </xdr:nvSpPr>
        <xdr:spPr>
          <a:xfrm>
            <a:off x="7710487" y="4767263"/>
            <a:ext cx="1905000" cy="8286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a:t>Ersteinrichtung</a:t>
            </a:r>
          </a:p>
        </xdr:txBody>
      </xdr:sp>
    </xdr:grpSp>
    <xdr:clientData/>
  </xdr:twoCellAnchor>
</xdr:wsDr>
</file>

<file path=xl/drawings/drawing2.xml><?xml version="1.0" encoding="utf-8"?>
<c:userShapes xmlns:c="http://schemas.openxmlformats.org/drawingml/2006/chart">
  <cdr:relSizeAnchor xmlns:cdr="http://schemas.openxmlformats.org/drawingml/2006/chartDrawing">
    <cdr:from>
      <cdr:x>0.17552</cdr:x>
      <cdr:y>0.82425</cdr:y>
    </cdr:from>
    <cdr:to>
      <cdr:x>0.21991</cdr:x>
      <cdr:y>0.90112</cdr:y>
    </cdr:to>
    <cdr:sp macro="Button_01" textlink="">
      <cdr:nvSpPr>
        <cdr:cNvPr id="2" name="Abos">
          <a:extLst xmlns:a="http://schemas.openxmlformats.org/drawingml/2006/main">
            <a:ext uri="{FF2B5EF4-FFF2-40B4-BE49-F238E27FC236}">
              <a16:creationId xmlns:a16="http://schemas.microsoft.com/office/drawing/2014/main" id="{5315667A-F58C-8DD9-86A5-D7F2AD3420A7}"/>
            </a:ext>
          </a:extLst>
        </cdr:cNvPr>
        <cdr:cNvSpPr/>
      </cdr:nvSpPr>
      <cdr:spPr>
        <a:xfrm xmlns:a="http://schemas.openxmlformats.org/drawingml/2006/main">
          <a:off x="959636" y="3980431"/>
          <a:ext cx="242667" cy="371227"/>
        </a:xfrm>
        <a:prstGeom xmlns:a="http://schemas.openxmlformats.org/drawingml/2006/main" prst="rect">
          <a:avLst/>
        </a:prstGeom>
        <a:solidFill xmlns:a="http://schemas.openxmlformats.org/drawingml/2006/main">
          <a:srgbClr val="FF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0.17552</cdr:x>
      <cdr:y>0.60747</cdr:y>
    </cdr:from>
    <cdr:to>
      <cdr:x>0.33975</cdr:x>
      <cdr:y>0.68434</cdr:y>
    </cdr:to>
    <cdr:sp macro="Button_02" textlink="">
      <cdr:nvSpPr>
        <cdr:cNvPr id="3" name="Lebensmittel">
          <a:extLst xmlns:a="http://schemas.openxmlformats.org/drawingml/2006/main">
            <a:ext uri="{FF2B5EF4-FFF2-40B4-BE49-F238E27FC236}">
              <a16:creationId xmlns:a16="http://schemas.microsoft.com/office/drawing/2014/main" id="{A83A0019-31EC-D630-0AB2-317E688E63D3}"/>
            </a:ext>
          </a:extLst>
        </cdr:cNvPr>
        <cdr:cNvSpPr/>
      </cdr:nvSpPr>
      <cdr:spPr>
        <a:xfrm xmlns:a="http://schemas.openxmlformats.org/drawingml/2006/main">
          <a:off x="959636" y="2933570"/>
          <a:ext cx="897870" cy="371227"/>
        </a:xfrm>
        <a:prstGeom xmlns:a="http://schemas.openxmlformats.org/drawingml/2006/main" prst="rect">
          <a:avLst/>
        </a:prstGeom>
        <a:solidFill xmlns:a="http://schemas.openxmlformats.org/drawingml/2006/main">
          <a:srgbClr val="FF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0.17552</cdr:x>
      <cdr:y>0.39069</cdr:y>
    </cdr:from>
    <cdr:to>
      <cdr:x>0.5306</cdr:x>
      <cdr:y>0.46756</cdr:y>
    </cdr:to>
    <cdr:sp macro="Button_03" textlink="">
      <cdr:nvSpPr>
        <cdr:cNvPr id="4" name="Versicherung">
          <a:extLst xmlns:a="http://schemas.openxmlformats.org/drawingml/2006/main">
            <a:ext uri="{FF2B5EF4-FFF2-40B4-BE49-F238E27FC236}">
              <a16:creationId xmlns:a16="http://schemas.microsoft.com/office/drawing/2014/main" id="{2AACC7E0-FECC-E378-6079-10B8609E9E4A}"/>
            </a:ext>
          </a:extLst>
        </cdr:cNvPr>
        <cdr:cNvSpPr/>
      </cdr:nvSpPr>
      <cdr:spPr>
        <a:xfrm xmlns:a="http://schemas.openxmlformats.org/drawingml/2006/main">
          <a:off x="959636" y="1886709"/>
          <a:ext cx="1941340" cy="371227"/>
        </a:xfrm>
        <a:prstGeom xmlns:a="http://schemas.openxmlformats.org/drawingml/2006/main" prst="rect">
          <a:avLst/>
        </a:prstGeom>
        <a:solidFill xmlns:a="http://schemas.openxmlformats.org/drawingml/2006/main">
          <a:srgbClr val="FF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dr:relSizeAnchor xmlns:cdr="http://schemas.openxmlformats.org/drawingml/2006/chartDrawing">
    <cdr:from>
      <cdr:x>0.17552</cdr:x>
      <cdr:y>0.17391</cdr:y>
    </cdr:from>
    <cdr:to>
      <cdr:x>0.91009</cdr:x>
      <cdr:y>0.25078</cdr:y>
    </cdr:to>
    <cdr:sp macro="Button_04" textlink="">
      <cdr:nvSpPr>
        <cdr:cNvPr id="5" name="KFZ">
          <a:extLst xmlns:a="http://schemas.openxmlformats.org/drawingml/2006/main">
            <a:ext uri="{FF2B5EF4-FFF2-40B4-BE49-F238E27FC236}">
              <a16:creationId xmlns:a16="http://schemas.microsoft.com/office/drawing/2014/main" id="{639FC47C-9A46-6482-E426-C75F74C7122A}"/>
            </a:ext>
          </a:extLst>
        </cdr:cNvPr>
        <cdr:cNvSpPr/>
      </cdr:nvSpPr>
      <cdr:spPr>
        <a:xfrm xmlns:a="http://schemas.openxmlformats.org/drawingml/2006/main">
          <a:off x="959636" y="839848"/>
          <a:ext cx="4016146" cy="371227"/>
        </a:xfrm>
        <a:prstGeom xmlns:a="http://schemas.openxmlformats.org/drawingml/2006/main" prst="rect">
          <a:avLst/>
        </a:prstGeom>
        <a:solidFill xmlns:a="http://schemas.openxmlformats.org/drawingml/2006/main">
          <a:srgbClr val="FF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15000"/>
                </a:schemeClr>
              </a:solidFill>
              <a:prstDash val="solid"/>
              <a:miter lim="800000"/>
            </a14:hiddenLine>
          </a:ext>
        </a:extLst>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1</xdr:col>
      <xdr:colOff>62775</xdr:colOff>
      <xdr:row>0</xdr:row>
      <xdr:rowOff>786675</xdr:rowOff>
    </xdr:to>
    <xdr:pic macro="[0]!Button_Home">
      <xdr:nvPicPr>
        <xdr:cNvPr id="3" name="Grafik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66675"/>
          <a:ext cx="786675" cy="720000"/>
        </a:xfrm>
        <a:prstGeom prst="rect">
          <a:avLst/>
        </a:prstGeom>
      </xdr:spPr>
    </xdr:pic>
    <xdr:clientData/>
  </xdr:twoCellAnchor>
  <xdr:twoCellAnchor editAs="oneCell">
    <xdr:from>
      <xdr:col>10</xdr:col>
      <xdr:colOff>9525</xdr:colOff>
      <xdr:row>0</xdr:row>
      <xdr:rowOff>66675</xdr:rowOff>
    </xdr:from>
    <xdr:to>
      <xdr:col>11</xdr:col>
      <xdr:colOff>300900</xdr:colOff>
      <xdr:row>0</xdr:row>
      <xdr:rowOff>786675</xdr:rowOff>
    </xdr:to>
    <xdr:pic macro="[0]!Goto_Start">
      <xdr:nvPicPr>
        <xdr:cNvPr id="5" name="Grafik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021175" y="66675"/>
          <a:ext cx="720000" cy="72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219073</xdr:colOff>
      <xdr:row>0</xdr:row>
      <xdr:rowOff>0</xdr:rowOff>
    </xdr:from>
    <xdr:to>
      <xdr:col>17</xdr:col>
      <xdr:colOff>249973</xdr:colOff>
      <xdr:row>2</xdr:row>
      <xdr:rowOff>133350</xdr:rowOff>
    </xdr:to>
    <mc:AlternateContent xmlns:mc="http://schemas.openxmlformats.org/markup-compatibility/2006" xmlns:a14="http://schemas.microsoft.com/office/drawing/2010/main">
      <mc:Choice Requires="a14">
        <xdr:graphicFrame macro="">
          <xdr:nvGraphicFramePr>
            <xdr:cNvPr id="3" name="Monat_Vergleich_01">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Monat_Vergleich_01"/>
            </a:graphicData>
          </a:graphic>
        </xdr:graphicFrame>
      </mc:Choice>
      <mc:Fallback xmlns="">
        <xdr:sp macro="" textlink="">
          <xdr:nvSpPr>
            <xdr:cNvPr id="0" name=""/>
            <xdr:cNvSpPr>
              <a:spLocks noTextEdit="1"/>
            </xdr:cNvSpPr>
          </xdr:nvSpPr>
          <xdr:spPr>
            <a:xfrm>
              <a:off x="2828923" y="0"/>
              <a:ext cx="11880000" cy="12600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oneCell">
    <xdr:from>
      <xdr:col>1</xdr:col>
      <xdr:colOff>295275</xdr:colOff>
      <xdr:row>0</xdr:row>
      <xdr:rowOff>57150</xdr:rowOff>
    </xdr:from>
    <xdr:to>
      <xdr:col>3</xdr:col>
      <xdr:colOff>247425</xdr:colOff>
      <xdr:row>2</xdr:row>
      <xdr:rowOff>164625</xdr:rowOff>
    </xdr:to>
    <mc:AlternateContent xmlns:mc="http://schemas.openxmlformats.org/markup-compatibility/2006" xmlns:a14="http://schemas.microsoft.com/office/drawing/2010/main">
      <mc:Choice Requires="a14">
        <xdr:graphicFrame macro="">
          <xdr:nvGraphicFramePr>
            <xdr:cNvPr id="4" name="Jahr_Vergleich_01">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Jahr_Vergleich_01"/>
            </a:graphicData>
          </a:graphic>
        </xdr:graphicFrame>
      </mc:Choice>
      <mc:Fallback xmlns="">
        <xdr:sp macro="" textlink="">
          <xdr:nvSpPr>
            <xdr:cNvPr id="0" name=""/>
            <xdr:cNvSpPr>
              <a:spLocks noTextEdit="1"/>
            </xdr:cNvSpPr>
          </xdr:nvSpPr>
          <xdr:spPr>
            <a:xfrm>
              <a:off x="1057275" y="57150"/>
              <a:ext cx="1800000" cy="12600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oneCell">
    <xdr:from>
      <xdr:col>3</xdr:col>
      <xdr:colOff>219073</xdr:colOff>
      <xdr:row>2</xdr:row>
      <xdr:rowOff>66673</xdr:rowOff>
    </xdr:from>
    <xdr:to>
      <xdr:col>17</xdr:col>
      <xdr:colOff>249973</xdr:colOff>
      <xdr:row>8</xdr:row>
      <xdr:rowOff>171450</xdr:rowOff>
    </xdr:to>
    <mc:AlternateContent xmlns:mc="http://schemas.openxmlformats.org/markup-compatibility/2006" xmlns:a14="http://schemas.microsoft.com/office/drawing/2010/main">
      <mc:Choice Requires="a14">
        <xdr:graphicFrame macro="">
          <xdr:nvGraphicFramePr>
            <xdr:cNvPr id="5" name="Monat_Vergleich_02">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Monat_Vergleich_02"/>
            </a:graphicData>
          </a:graphic>
        </xdr:graphicFrame>
      </mc:Choice>
      <mc:Fallback xmlns="">
        <xdr:sp macro="" textlink="">
          <xdr:nvSpPr>
            <xdr:cNvPr id="0" name=""/>
            <xdr:cNvSpPr>
              <a:spLocks noTextEdit="1"/>
            </xdr:cNvSpPr>
          </xdr:nvSpPr>
          <xdr:spPr>
            <a:xfrm>
              <a:off x="2828923" y="1219199"/>
              <a:ext cx="11880000" cy="12600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oneCell">
    <xdr:from>
      <xdr:col>1</xdr:col>
      <xdr:colOff>314325</xdr:colOff>
      <xdr:row>2</xdr:row>
      <xdr:rowOff>47626</xdr:rowOff>
    </xdr:from>
    <xdr:to>
      <xdr:col>3</xdr:col>
      <xdr:colOff>266475</xdr:colOff>
      <xdr:row>8</xdr:row>
      <xdr:rowOff>164626</xdr:rowOff>
    </xdr:to>
    <mc:AlternateContent xmlns:mc="http://schemas.openxmlformats.org/markup-compatibility/2006" xmlns:a14="http://schemas.microsoft.com/office/drawing/2010/main">
      <mc:Choice Requires="a14">
        <xdr:graphicFrame macro="">
          <xdr:nvGraphicFramePr>
            <xdr:cNvPr id="6" name="Jahr_Vergleich_02">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Jahr_Vergleich_02"/>
            </a:graphicData>
          </a:graphic>
        </xdr:graphicFrame>
      </mc:Choice>
      <mc:Fallback xmlns="">
        <xdr:sp macro="" textlink="">
          <xdr:nvSpPr>
            <xdr:cNvPr id="0" name=""/>
            <xdr:cNvSpPr>
              <a:spLocks noTextEdit="1"/>
            </xdr:cNvSpPr>
          </xdr:nvSpPr>
          <xdr:spPr>
            <a:xfrm>
              <a:off x="1076325" y="1200151"/>
              <a:ext cx="1800000" cy="12600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fLocksWithSheet="0"/>
  </xdr:twoCellAnchor>
  <xdr:twoCellAnchor editAs="oneCell">
    <xdr:from>
      <xdr:col>0</xdr:col>
      <xdr:colOff>123825</xdr:colOff>
      <xdr:row>0</xdr:row>
      <xdr:rowOff>95250</xdr:rowOff>
    </xdr:from>
    <xdr:to>
      <xdr:col>1</xdr:col>
      <xdr:colOff>81825</xdr:colOff>
      <xdr:row>0</xdr:row>
      <xdr:rowOff>815250</xdr:rowOff>
    </xdr:to>
    <xdr:pic macro="[0]!Button_Home_Vergleich">
      <xdr:nvPicPr>
        <xdr:cNvPr id="10" name="Grafik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720000" cy="720000"/>
        </a:xfrm>
        <a:prstGeom prst="rect">
          <a:avLst/>
        </a:prstGeom>
      </xdr:spPr>
    </xdr:pic>
    <xdr:clientData/>
  </xdr:twoCellAnchor>
  <xdr:twoCellAnchor>
    <xdr:from>
      <xdr:col>100</xdr:col>
      <xdr:colOff>641747</xdr:colOff>
      <xdr:row>23</xdr:row>
      <xdr:rowOff>0</xdr:rowOff>
    </xdr:from>
    <xdr:to>
      <xdr:col>135</xdr:col>
      <xdr:colOff>281980</xdr:colOff>
      <xdr:row>24</xdr:row>
      <xdr:rowOff>0</xdr:rowOff>
    </xdr:to>
    <xdr:sp macro="" textlink="">
      <xdr:nvSpPr>
        <xdr:cNvPr id="79" name="Rechteck 78">
          <a:extLst>
            <a:ext uri="{FF2B5EF4-FFF2-40B4-BE49-F238E27FC236}">
              <a16:creationId xmlns:a16="http://schemas.microsoft.com/office/drawing/2014/main" id="{00000000-0008-0000-0400-00004F000000}"/>
            </a:ext>
          </a:extLst>
        </xdr:cNvPr>
        <xdr:cNvSpPr/>
      </xdr:nvSpPr>
      <xdr:spPr>
        <a:xfrm>
          <a:off x="84814172" y="5153025"/>
          <a:ext cx="26310233" cy="190500"/>
        </a:xfrm>
        <a:prstGeom prst="rect">
          <a:avLst/>
        </a:prstGeom>
        <a:solidFill>
          <a:srgbClr val="00FF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695324</xdr:colOff>
      <xdr:row>9</xdr:row>
      <xdr:rowOff>171449</xdr:rowOff>
    </xdr:from>
    <xdr:to>
      <xdr:col>18</xdr:col>
      <xdr:colOff>371474</xdr:colOff>
      <xdr:row>37</xdr:row>
      <xdr:rowOff>142874</xdr:rowOff>
    </xdr:to>
    <xdr:graphicFrame macro="">
      <xdr:nvGraphicFramePr>
        <xdr:cNvPr id="1266" name="Diagramm 1265">
          <a:extLst>
            <a:ext uri="{FF2B5EF4-FFF2-40B4-BE49-F238E27FC236}">
              <a16:creationId xmlns:a16="http://schemas.microsoft.com/office/drawing/2014/main" id="{00000000-0008-0000-0400-0000F204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171450</xdr:colOff>
      <xdr:row>10</xdr:row>
      <xdr:rowOff>28575</xdr:rowOff>
    </xdr:from>
    <xdr:to>
      <xdr:col>8</xdr:col>
      <xdr:colOff>762000</xdr:colOff>
      <xdr:row>12</xdr:row>
      <xdr:rowOff>85724</xdr:rowOff>
    </xdr:to>
    <xdr:sp macro="[0]!Button_switch_to_details" textlink="">
      <xdr:nvSpPr>
        <xdr:cNvPr id="2" name="Rechteck: abgerundete Ecken 1">
          <a:extLst>
            <a:ext uri="{FF2B5EF4-FFF2-40B4-BE49-F238E27FC236}">
              <a16:creationId xmlns:a16="http://schemas.microsoft.com/office/drawing/2014/main" id="{00000000-0008-0000-0400-000002000000}"/>
            </a:ext>
          </a:extLst>
        </xdr:cNvPr>
        <xdr:cNvSpPr/>
      </xdr:nvSpPr>
      <xdr:spPr>
        <a:xfrm>
          <a:off x="5495925" y="2705100"/>
          <a:ext cx="1485900" cy="438149"/>
        </a:xfrm>
        <a:prstGeom prst="round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800" b="1" i="0" u="none" strike="noStrike">
              <a:solidFill>
                <a:schemeClr val="bg1"/>
              </a:solidFill>
              <a:latin typeface="Calibri"/>
              <a:ea typeface="+mn-ea"/>
              <a:cs typeface="Calibri"/>
            </a:rPr>
            <a:t>Details</a:t>
          </a:r>
        </a:p>
        <a:p>
          <a:pPr marL="0" indent="0" algn="ctr"/>
          <a:endParaRPr lang="en-US" sz="1800" b="1" i="0" u="none" strike="noStrike">
            <a:solidFill>
              <a:schemeClr val="bg1"/>
            </a:solidFill>
            <a:latin typeface="Calibri"/>
            <a:ea typeface="+mn-ea"/>
            <a:cs typeface="Calibri"/>
          </a:endParaRPr>
        </a:p>
      </xdr:txBody>
    </xdr:sp>
    <xdr:clientData/>
  </xdr:twoCellAnchor>
  <xdr:twoCellAnchor editAs="oneCell">
    <xdr:from>
      <xdr:col>1</xdr:col>
      <xdr:colOff>38100</xdr:colOff>
      <xdr:row>8</xdr:row>
      <xdr:rowOff>133350</xdr:rowOff>
    </xdr:from>
    <xdr:to>
      <xdr:col>1</xdr:col>
      <xdr:colOff>266700</xdr:colOff>
      <xdr:row>9</xdr:row>
      <xdr:rowOff>171450</xdr:rowOff>
    </xdr:to>
    <xdr:pic macro="[0]!vergleich_set_categories">
      <xdr:nvPicPr>
        <xdr:cNvPr id="8" name="Grafik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00100" y="2428875"/>
          <a:ext cx="228600" cy="2286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0</xdr:col>
      <xdr:colOff>786675</xdr:colOff>
      <xdr:row>0</xdr:row>
      <xdr:rowOff>786675</xdr:rowOff>
    </xdr:to>
    <xdr:pic macro="[0]!Button_Home_Vergleich_Deteils">
      <xdr:nvPicPr>
        <xdr:cNvPr id="2" name="Grafik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66675" y="66675"/>
          <a:ext cx="720000" cy="720000"/>
        </a:xfrm>
        <a:prstGeom prst="rect">
          <a:avLst/>
        </a:prstGeom>
      </xdr:spPr>
    </xdr:pic>
    <xdr:clientData/>
  </xdr:twoCellAnchor>
  <xdr:twoCellAnchor editAs="oneCell">
    <xdr:from>
      <xdr:col>10</xdr:col>
      <xdr:colOff>9525</xdr:colOff>
      <xdr:row>0</xdr:row>
      <xdr:rowOff>66675</xdr:rowOff>
    </xdr:from>
    <xdr:to>
      <xdr:col>11</xdr:col>
      <xdr:colOff>300900</xdr:colOff>
      <xdr:row>0</xdr:row>
      <xdr:rowOff>786675</xdr:rowOff>
    </xdr:to>
    <xdr:pic macro="[0]!Goto_Start">
      <xdr:nvPicPr>
        <xdr:cNvPr id="3" name="Grafik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021175" y="66675"/>
          <a:ext cx="720000" cy="720000"/>
        </a:xfrm>
        <a:prstGeom prst="rect">
          <a:avLst/>
        </a:prstGeom>
      </xdr:spPr>
    </xdr:pic>
    <xdr:clientData/>
  </xdr:twoCellAnchor>
  <xdr:twoCellAnchor editAs="oneCell">
    <xdr:from>
      <xdr:col>6</xdr:col>
      <xdr:colOff>819150</xdr:colOff>
      <xdr:row>0</xdr:row>
      <xdr:rowOff>76200</xdr:rowOff>
    </xdr:from>
    <xdr:to>
      <xdr:col>7</xdr:col>
      <xdr:colOff>34200</xdr:colOff>
      <xdr:row>0</xdr:row>
      <xdr:rowOff>796200</xdr:rowOff>
    </xdr:to>
    <xdr:pic macro="[0]!Goto_Start">
      <xdr:nvPicPr>
        <xdr:cNvPr id="4" name="Grafik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983075" y="76200"/>
          <a:ext cx="720000" cy="720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152400</xdr:colOff>
      <xdr:row>0</xdr:row>
      <xdr:rowOff>228600</xdr:rowOff>
    </xdr:from>
    <xdr:to>
      <xdr:col>0</xdr:col>
      <xdr:colOff>872400</xdr:colOff>
      <xdr:row>2</xdr:row>
      <xdr:rowOff>5625</xdr:rowOff>
    </xdr:to>
    <xdr:pic macro="[0]!Button_Home">
      <xdr:nvPicPr>
        <xdr:cNvPr id="2" name="Grafik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228600"/>
          <a:ext cx="720000" cy="720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142874</xdr:colOff>
      <xdr:row>4</xdr:row>
      <xdr:rowOff>133350</xdr:rowOff>
    </xdr:from>
    <xdr:to>
      <xdr:col>26</xdr:col>
      <xdr:colOff>695325</xdr:colOff>
      <xdr:row>32</xdr:row>
      <xdr:rowOff>114300</xdr:rowOff>
    </xdr:to>
    <xdr:sp macro="" textlink="">
      <xdr:nvSpPr>
        <xdr:cNvPr id="3" name="Vergleich_Mainframe">
          <a:extLst>
            <a:ext uri="{FF2B5EF4-FFF2-40B4-BE49-F238E27FC236}">
              <a16:creationId xmlns:a16="http://schemas.microsoft.com/office/drawing/2014/main" id="{00000000-0008-0000-0700-000003000000}"/>
            </a:ext>
          </a:extLst>
        </xdr:cNvPr>
        <xdr:cNvSpPr/>
      </xdr:nvSpPr>
      <xdr:spPr>
        <a:xfrm>
          <a:off x="5476874" y="895350"/>
          <a:ext cx="15030451" cy="5314950"/>
        </a:xfrm>
        <a:prstGeom prst="roundRect">
          <a:avLst/>
        </a:prstGeom>
        <a:solidFill>
          <a:schemeClr val="tx1">
            <a:lumMod val="85000"/>
            <a:lumOff val="15000"/>
          </a:schemeClr>
        </a:solidFill>
        <a:ln>
          <a:solidFill>
            <a:schemeClr val="bg1"/>
          </a:solidFill>
        </a:ln>
        <a:effectLst>
          <a:outerShdw blurRad="50800" dist="50800" dir="5400000" algn="ctr" rotWithShape="0">
            <a:schemeClr val="bg1">
              <a:alpha val="1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i="0" u="none" strike="noStrike">
              <a:solidFill>
                <a:schemeClr val="bg1"/>
              </a:solidFill>
              <a:latin typeface="Calibri"/>
              <a:ea typeface="+mn-ea"/>
              <a:cs typeface="Calibri"/>
            </a:rPr>
            <a:t>Vergleichsfilter</a:t>
          </a:r>
          <a:endParaRPr lang="en-US" sz="1800" b="1" i="0" u="none" strike="noStrike">
            <a:solidFill>
              <a:schemeClr val="bg1"/>
            </a:solidFill>
            <a:latin typeface="Calibri"/>
            <a:ea typeface="+mn-ea"/>
            <a:cs typeface="Calibri"/>
          </a:endParaRPr>
        </a:p>
        <a:p>
          <a:pPr algn="l"/>
          <a:endParaRPr lang="en-US" sz="1100"/>
        </a:p>
      </xdr:txBody>
    </xdr:sp>
    <xdr:clientData/>
  </xdr:twoCellAnchor>
  <xdr:twoCellAnchor>
    <xdr:from>
      <xdr:col>7</xdr:col>
      <xdr:colOff>723900</xdr:colOff>
      <xdr:row>10</xdr:row>
      <xdr:rowOff>161925</xdr:rowOff>
    </xdr:from>
    <xdr:to>
      <xdr:col>10</xdr:col>
      <xdr:colOff>152400</xdr:colOff>
      <xdr:row>14</xdr:row>
      <xdr:rowOff>0</xdr:rowOff>
    </xdr:to>
    <xdr:sp macro="" textlink="">
      <xdr:nvSpPr>
        <xdr:cNvPr id="6" name="Filter_2022">
          <a:extLst>
            <a:ext uri="{FF2B5EF4-FFF2-40B4-BE49-F238E27FC236}">
              <a16:creationId xmlns:a16="http://schemas.microsoft.com/office/drawing/2014/main" id="{00000000-0008-0000-0700-000006000000}"/>
            </a:ext>
          </a:extLst>
        </xdr:cNvPr>
        <xdr:cNvSpPr/>
      </xdr:nvSpPr>
      <xdr:spPr>
        <a:xfrm>
          <a:off x="6057900" y="2066925"/>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0" i="0" u="none" strike="noStrike">
              <a:solidFill>
                <a:schemeClr val="bg1"/>
              </a:solidFill>
              <a:latin typeface="Calibri"/>
              <a:ea typeface="+mn-ea"/>
              <a:cs typeface="Calibri"/>
            </a:rPr>
            <a:t>2022</a:t>
          </a:r>
          <a:endParaRPr lang="en-US" sz="1800" b="0" i="0" u="none" strike="noStrike">
            <a:solidFill>
              <a:schemeClr val="bg1"/>
            </a:solidFill>
            <a:latin typeface="Calibri"/>
            <a:ea typeface="+mn-ea"/>
            <a:cs typeface="Calibri"/>
          </a:endParaRPr>
        </a:p>
        <a:p>
          <a:pPr algn="ctr"/>
          <a:endParaRPr lang="en-US" sz="1100"/>
        </a:p>
      </xdr:txBody>
    </xdr:sp>
    <xdr:clientData/>
  </xdr:twoCellAnchor>
  <xdr:twoCellAnchor>
    <xdr:from>
      <xdr:col>11</xdr:col>
      <xdr:colOff>476250</xdr:colOff>
      <xdr:row>10</xdr:row>
      <xdr:rowOff>161925</xdr:rowOff>
    </xdr:from>
    <xdr:to>
      <xdr:col>13</xdr:col>
      <xdr:colOff>666750</xdr:colOff>
      <xdr:row>14</xdr:row>
      <xdr:rowOff>0</xdr:rowOff>
    </xdr:to>
    <xdr:sp macro="" textlink="">
      <xdr:nvSpPr>
        <xdr:cNvPr id="9" name="Filter_2023">
          <a:extLst>
            <a:ext uri="{FF2B5EF4-FFF2-40B4-BE49-F238E27FC236}">
              <a16:creationId xmlns:a16="http://schemas.microsoft.com/office/drawing/2014/main" id="{00000000-0008-0000-0700-000009000000}"/>
            </a:ext>
          </a:extLst>
        </xdr:cNvPr>
        <xdr:cNvSpPr/>
      </xdr:nvSpPr>
      <xdr:spPr>
        <a:xfrm>
          <a:off x="8858250" y="2066925"/>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0" i="0" u="none" strike="noStrike">
              <a:solidFill>
                <a:schemeClr val="bg1"/>
              </a:solidFill>
              <a:latin typeface="Calibri"/>
              <a:ea typeface="+mn-ea"/>
              <a:cs typeface="Calibri"/>
            </a:rPr>
            <a:t>2023</a:t>
          </a:r>
          <a:endParaRPr lang="en-US" sz="1800" b="0" i="0" u="none" strike="noStrike">
            <a:solidFill>
              <a:schemeClr val="bg1"/>
            </a:solidFill>
            <a:latin typeface="Calibri"/>
            <a:ea typeface="+mn-ea"/>
            <a:cs typeface="Calibri"/>
          </a:endParaRPr>
        </a:p>
      </xdr:txBody>
    </xdr:sp>
    <xdr:clientData/>
  </xdr:twoCellAnchor>
  <xdr:twoCellAnchor>
    <xdr:from>
      <xdr:col>7</xdr:col>
      <xdr:colOff>723900</xdr:colOff>
      <xdr:row>17</xdr:row>
      <xdr:rowOff>66675</xdr:rowOff>
    </xdr:from>
    <xdr:to>
      <xdr:col>8</xdr:col>
      <xdr:colOff>645900</xdr:colOff>
      <xdr:row>18</xdr:row>
      <xdr:rowOff>152400</xdr:rowOff>
    </xdr:to>
    <xdr:sp macro="" textlink="">
      <xdr:nvSpPr>
        <xdr:cNvPr id="10" name="Filter_Jan">
          <a:extLst>
            <a:ext uri="{FF2B5EF4-FFF2-40B4-BE49-F238E27FC236}">
              <a16:creationId xmlns:a16="http://schemas.microsoft.com/office/drawing/2014/main" id="{00000000-0008-0000-0700-00000A000000}"/>
            </a:ext>
          </a:extLst>
        </xdr:cNvPr>
        <xdr:cNvSpPr/>
      </xdr:nvSpPr>
      <xdr:spPr>
        <a:xfrm>
          <a:off x="6057900" y="3305175"/>
          <a:ext cx="684000" cy="27622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i="0" u="none" strike="noStrike">
              <a:solidFill>
                <a:schemeClr val="bg1"/>
              </a:solidFill>
              <a:latin typeface="Calibri"/>
              <a:ea typeface="+mn-ea"/>
              <a:cs typeface="Calibri"/>
            </a:rPr>
            <a:t>Jan</a:t>
          </a:r>
        </a:p>
        <a:p>
          <a:pPr algn="ctr"/>
          <a:endParaRPr lang="en-US" sz="1100"/>
        </a:p>
      </xdr:txBody>
    </xdr:sp>
    <xdr:clientData/>
  </xdr:twoCellAnchor>
  <xdr:twoCellAnchor>
    <xdr:from>
      <xdr:col>9</xdr:col>
      <xdr:colOff>476850</xdr:colOff>
      <xdr:row>17</xdr:row>
      <xdr:rowOff>66675</xdr:rowOff>
    </xdr:from>
    <xdr:to>
      <xdr:col>10</xdr:col>
      <xdr:colOff>398850</xdr:colOff>
      <xdr:row>18</xdr:row>
      <xdr:rowOff>152400</xdr:rowOff>
    </xdr:to>
    <xdr:sp macro="" textlink="">
      <xdr:nvSpPr>
        <xdr:cNvPr id="12" name="Filter_Feb">
          <a:extLst>
            <a:ext uri="{FF2B5EF4-FFF2-40B4-BE49-F238E27FC236}">
              <a16:creationId xmlns:a16="http://schemas.microsoft.com/office/drawing/2014/main" id="{00000000-0008-0000-0700-00000C000000}"/>
            </a:ext>
          </a:extLst>
        </xdr:cNvPr>
        <xdr:cNvSpPr/>
      </xdr:nvSpPr>
      <xdr:spPr>
        <a:xfrm>
          <a:off x="7334850" y="3305175"/>
          <a:ext cx="684000" cy="27622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i="0" u="none" strike="noStrike">
              <a:solidFill>
                <a:schemeClr val="bg1"/>
              </a:solidFill>
              <a:latin typeface="Calibri"/>
              <a:ea typeface="+mn-ea"/>
              <a:cs typeface="Calibri"/>
            </a:rPr>
            <a:t>Feb</a:t>
          </a:r>
        </a:p>
      </xdr:txBody>
    </xdr:sp>
    <xdr:clientData/>
  </xdr:twoCellAnchor>
  <xdr:twoCellAnchor>
    <xdr:from>
      <xdr:col>11</xdr:col>
      <xdr:colOff>229800</xdr:colOff>
      <xdr:row>17</xdr:row>
      <xdr:rowOff>66675</xdr:rowOff>
    </xdr:from>
    <xdr:to>
      <xdr:col>12</xdr:col>
      <xdr:colOff>151800</xdr:colOff>
      <xdr:row>18</xdr:row>
      <xdr:rowOff>152400</xdr:rowOff>
    </xdr:to>
    <xdr:sp macro="" textlink="">
      <xdr:nvSpPr>
        <xdr:cNvPr id="13" name="Filter_Mrz">
          <a:extLst>
            <a:ext uri="{FF2B5EF4-FFF2-40B4-BE49-F238E27FC236}">
              <a16:creationId xmlns:a16="http://schemas.microsoft.com/office/drawing/2014/main" id="{00000000-0008-0000-0700-00000D000000}"/>
            </a:ext>
          </a:extLst>
        </xdr:cNvPr>
        <xdr:cNvSpPr/>
      </xdr:nvSpPr>
      <xdr:spPr>
        <a:xfrm>
          <a:off x="8611800" y="3305175"/>
          <a:ext cx="684000" cy="27622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i="0" u="none" strike="noStrike">
              <a:solidFill>
                <a:schemeClr val="bg1"/>
              </a:solidFill>
              <a:latin typeface="Calibri"/>
              <a:ea typeface="+mn-ea"/>
              <a:cs typeface="Calibri"/>
            </a:rPr>
            <a:t>Mrz</a:t>
          </a:r>
          <a:endParaRPr lang="en-US" sz="1200" b="0" i="0" u="none" strike="noStrike">
            <a:solidFill>
              <a:schemeClr val="bg1"/>
            </a:solidFill>
            <a:latin typeface="Calibri"/>
            <a:ea typeface="+mn-ea"/>
            <a:cs typeface="Calibri"/>
          </a:endParaRPr>
        </a:p>
        <a:p>
          <a:pPr algn="ctr"/>
          <a:endParaRPr lang="en-US" sz="1100"/>
        </a:p>
      </xdr:txBody>
    </xdr:sp>
    <xdr:clientData/>
  </xdr:twoCellAnchor>
  <xdr:twoCellAnchor>
    <xdr:from>
      <xdr:col>12</xdr:col>
      <xdr:colOff>744750</xdr:colOff>
      <xdr:row>17</xdr:row>
      <xdr:rowOff>66675</xdr:rowOff>
    </xdr:from>
    <xdr:to>
      <xdr:col>13</xdr:col>
      <xdr:colOff>666750</xdr:colOff>
      <xdr:row>18</xdr:row>
      <xdr:rowOff>152400</xdr:rowOff>
    </xdr:to>
    <xdr:sp macro="" textlink="">
      <xdr:nvSpPr>
        <xdr:cNvPr id="14" name="Filter_Apr">
          <a:extLst>
            <a:ext uri="{FF2B5EF4-FFF2-40B4-BE49-F238E27FC236}">
              <a16:creationId xmlns:a16="http://schemas.microsoft.com/office/drawing/2014/main" id="{00000000-0008-0000-0700-00000E000000}"/>
            </a:ext>
          </a:extLst>
        </xdr:cNvPr>
        <xdr:cNvSpPr/>
      </xdr:nvSpPr>
      <xdr:spPr>
        <a:xfrm>
          <a:off x="9888750" y="3305175"/>
          <a:ext cx="684000" cy="27622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i="0" u="none" strike="noStrike">
              <a:solidFill>
                <a:schemeClr val="bg1"/>
              </a:solidFill>
              <a:latin typeface="Calibri"/>
              <a:ea typeface="+mn-ea"/>
              <a:cs typeface="Calibri"/>
            </a:rPr>
            <a:t>Apr</a:t>
          </a:r>
        </a:p>
        <a:p>
          <a:pPr algn="ctr"/>
          <a:endParaRPr lang="en-US" sz="1100"/>
        </a:p>
      </xdr:txBody>
    </xdr:sp>
    <xdr:clientData/>
  </xdr:twoCellAnchor>
  <xdr:twoCellAnchor>
    <xdr:from>
      <xdr:col>7</xdr:col>
      <xdr:colOff>723900</xdr:colOff>
      <xdr:row>20</xdr:row>
      <xdr:rowOff>127000</xdr:rowOff>
    </xdr:from>
    <xdr:to>
      <xdr:col>8</xdr:col>
      <xdr:colOff>645900</xdr:colOff>
      <xdr:row>22</xdr:row>
      <xdr:rowOff>22225</xdr:rowOff>
    </xdr:to>
    <xdr:sp macro="" textlink="">
      <xdr:nvSpPr>
        <xdr:cNvPr id="27" name="Filter_Mai">
          <a:extLst>
            <a:ext uri="{FF2B5EF4-FFF2-40B4-BE49-F238E27FC236}">
              <a16:creationId xmlns:a16="http://schemas.microsoft.com/office/drawing/2014/main" id="{00000000-0008-0000-0700-00001B000000}"/>
            </a:ext>
          </a:extLst>
        </xdr:cNvPr>
        <xdr:cNvSpPr/>
      </xdr:nvSpPr>
      <xdr:spPr>
        <a:xfrm>
          <a:off x="6057900" y="3937000"/>
          <a:ext cx="684000" cy="27622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i="0" u="none" strike="noStrike">
              <a:solidFill>
                <a:schemeClr val="bg1"/>
              </a:solidFill>
              <a:latin typeface="Calibri"/>
              <a:ea typeface="+mn-ea"/>
              <a:cs typeface="Calibri"/>
            </a:rPr>
            <a:t>Mai</a:t>
          </a:r>
        </a:p>
        <a:p>
          <a:pPr algn="ctr"/>
          <a:endParaRPr lang="en-US" sz="1100"/>
        </a:p>
      </xdr:txBody>
    </xdr:sp>
    <xdr:clientData/>
  </xdr:twoCellAnchor>
  <xdr:twoCellAnchor>
    <xdr:from>
      <xdr:col>9</xdr:col>
      <xdr:colOff>476850</xdr:colOff>
      <xdr:row>20</xdr:row>
      <xdr:rowOff>114300</xdr:rowOff>
    </xdr:from>
    <xdr:to>
      <xdr:col>10</xdr:col>
      <xdr:colOff>398850</xdr:colOff>
      <xdr:row>22</xdr:row>
      <xdr:rowOff>9525</xdr:rowOff>
    </xdr:to>
    <xdr:sp macro="" textlink="">
      <xdr:nvSpPr>
        <xdr:cNvPr id="28" name="Filter_Jun">
          <a:extLst>
            <a:ext uri="{FF2B5EF4-FFF2-40B4-BE49-F238E27FC236}">
              <a16:creationId xmlns:a16="http://schemas.microsoft.com/office/drawing/2014/main" id="{00000000-0008-0000-0700-00001C000000}"/>
            </a:ext>
          </a:extLst>
        </xdr:cNvPr>
        <xdr:cNvSpPr/>
      </xdr:nvSpPr>
      <xdr:spPr>
        <a:xfrm>
          <a:off x="7334850" y="3924300"/>
          <a:ext cx="684000" cy="27622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i="0" u="none" strike="noStrike">
              <a:solidFill>
                <a:schemeClr val="bg1"/>
              </a:solidFill>
              <a:latin typeface="Calibri"/>
              <a:ea typeface="+mn-ea"/>
              <a:cs typeface="Calibri"/>
            </a:rPr>
            <a:t>Jun</a:t>
          </a:r>
        </a:p>
        <a:p>
          <a:pPr algn="ctr"/>
          <a:endParaRPr lang="en-US" sz="1100"/>
        </a:p>
      </xdr:txBody>
    </xdr:sp>
    <xdr:clientData/>
  </xdr:twoCellAnchor>
  <xdr:twoCellAnchor>
    <xdr:from>
      <xdr:col>11</xdr:col>
      <xdr:colOff>229800</xdr:colOff>
      <xdr:row>20</xdr:row>
      <xdr:rowOff>114300</xdr:rowOff>
    </xdr:from>
    <xdr:to>
      <xdr:col>12</xdr:col>
      <xdr:colOff>151800</xdr:colOff>
      <xdr:row>22</xdr:row>
      <xdr:rowOff>9525</xdr:rowOff>
    </xdr:to>
    <xdr:sp macro="" textlink="">
      <xdr:nvSpPr>
        <xdr:cNvPr id="29" name="Filter_Jul">
          <a:extLst>
            <a:ext uri="{FF2B5EF4-FFF2-40B4-BE49-F238E27FC236}">
              <a16:creationId xmlns:a16="http://schemas.microsoft.com/office/drawing/2014/main" id="{00000000-0008-0000-0700-00001D000000}"/>
            </a:ext>
          </a:extLst>
        </xdr:cNvPr>
        <xdr:cNvSpPr/>
      </xdr:nvSpPr>
      <xdr:spPr>
        <a:xfrm>
          <a:off x="8611800" y="3924300"/>
          <a:ext cx="684000" cy="27622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i="0" u="none" strike="noStrike">
              <a:solidFill>
                <a:schemeClr val="bg1"/>
              </a:solidFill>
              <a:latin typeface="Calibri"/>
              <a:ea typeface="+mn-ea"/>
              <a:cs typeface="Calibri"/>
            </a:rPr>
            <a:t>Jul</a:t>
          </a:r>
        </a:p>
        <a:p>
          <a:pPr algn="ctr"/>
          <a:endParaRPr lang="en-US" sz="1100"/>
        </a:p>
      </xdr:txBody>
    </xdr:sp>
    <xdr:clientData/>
  </xdr:twoCellAnchor>
  <xdr:twoCellAnchor>
    <xdr:from>
      <xdr:col>12</xdr:col>
      <xdr:colOff>744750</xdr:colOff>
      <xdr:row>20</xdr:row>
      <xdr:rowOff>114300</xdr:rowOff>
    </xdr:from>
    <xdr:to>
      <xdr:col>13</xdr:col>
      <xdr:colOff>666750</xdr:colOff>
      <xdr:row>22</xdr:row>
      <xdr:rowOff>9525</xdr:rowOff>
    </xdr:to>
    <xdr:sp macro="" textlink="">
      <xdr:nvSpPr>
        <xdr:cNvPr id="30" name="Filter_Aug">
          <a:extLst>
            <a:ext uri="{FF2B5EF4-FFF2-40B4-BE49-F238E27FC236}">
              <a16:creationId xmlns:a16="http://schemas.microsoft.com/office/drawing/2014/main" id="{00000000-0008-0000-0700-00001E000000}"/>
            </a:ext>
          </a:extLst>
        </xdr:cNvPr>
        <xdr:cNvSpPr/>
      </xdr:nvSpPr>
      <xdr:spPr>
        <a:xfrm>
          <a:off x="9888750" y="3924300"/>
          <a:ext cx="684000" cy="27622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i="0" u="none" strike="noStrike">
              <a:solidFill>
                <a:schemeClr val="bg1"/>
              </a:solidFill>
              <a:latin typeface="Calibri"/>
              <a:ea typeface="+mn-ea"/>
              <a:cs typeface="Calibri"/>
            </a:rPr>
            <a:t>Aug</a:t>
          </a:r>
        </a:p>
        <a:p>
          <a:pPr algn="ctr"/>
          <a:endParaRPr lang="en-US" sz="1100"/>
        </a:p>
      </xdr:txBody>
    </xdr:sp>
    <xdr:clientData/>
  </xdr:twoCellAnchor>
  <xdr:twoCellAnchor>
    <xdr:from>
      <xdr:col>7</xdr:col>
      <xdr:colOff>723900</xdr:colOff>
      <xdr:row>23</xdr:row>
      <xdr:rowOff>187325</xdr:rowOff>
    </xdr:from>
    <xdr:to>
      <xdr:col>8</xdr:col>
      <xdr:colOff>645900</xdr:colOff>
      <xdr:row>25</xdr:row>
      <xdr:rowOff>82550</xdr:rowOff>
    </xdr:to>
    <xdr:sp macro="" textlink="">
      <xdr:nvSpPr>
        <xdr:cNvPr id="31" name="Filter_Sep">
          <a:extLst>
            <a:ext uri="{FF2B5EF4-FFF2-40B4-BE49-F238E27FC236}">
              <a16:creationId xmlns:a16="http://schemas.microsoft.com/office/drawing/2014/main" id="{00000000-0008-0000-0700-00001F000000}"/>
            </a:ext>
          </a:extLst>
        </xdr:cNvPr>
        <xdr:cNvSpPr/>
      </xdr:nvSpPr>
      <xdr:spPr>
        <a:xfrm>
          <a:off x="6057900" y="4568825"/>
          <a:ext cx="684000" cy="27622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i="0" u="none" strike="noStrike">
              <a:solidFill>
                <a:schemeClr val="bg1"/>
              </a:solidFill>
              <a:latin typeface="Calibri"/>
              <a:ea typeface="+mn-ea"/>
              <a:cs typeface="Calibri"/>
            </a:rPr>
            <a:t>Sep</a:t>
          </a:r>
        </a:p>
        <a:p>
          <a:pPr algn="ctr"/>
          <a:endParaRPr lang="en-US" sz="1100"/>
        </a:p>
      </xdr:txBody>
    </xdr:sp>
    <xdr:clientData/>
  </xdr:twoCellAnchor>
  <xdr:twoCellAnchor>
    <xdr:from>
      <xdr:col>9</xdr:col>
      <xdr:colOff>476850</xdr:colOff>
      <xdr:row>23</xdr:row>
      <xdr:rowOff>152400</xdr:rowOff>
    </xdr:from>
    <xdr:to>
      <xdr:col>10</xdr:col>
      <xdr:colOff>398850</xdr:colOff>
      <xdr:row>25</xdr:row>
      <xdr:rowOff>47625</xdr:rowOff>
    </xdr:to>
    <xdr:sp macro="" textlink="">
      <xdr:nvSpPr>
        <xdr:cNvPr id="32" name="Filter_Okt">
          <a:extLst>
            <a:ext uri="{FF2B5EF4-FFF2-40B4-BE49-F238E27FC236}">
              <a16:creationId xmlns:a16="http://schemas.microsoft.com/office/drawing/2014/main" id="{00000000-0008-0000-0700-000020000000}"/>
            </a:ext>
          </a:extLst>
        </xdr:cNvPr>
        <xdr:cNvSpPr/>
      </xdr:nvSpPr>
      <xdr:spPr>
        <a:xfrm>
          <a:off x="7334850" y="4533900"/>
          <a:ext cx="684000" cy="27622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i="0" u="none" strike="noStrike">
              <a:solidFill>
                <a:schemeClr val="bg1"/>
              </a:solidFill>
              <a:latin typeface="Calibri"/>
              <a:ea typeface="+mn-ea"/>
              <a:cs typeface="Calibri"/>
            </a:rPr>
            <a:t>Okt</a:t>
          </a:r>
        </a:p>
        <a:p>
          <a:pPr algn="ctr"/>
          <a:endParaRPr lang="en-US" sz="1100"/>
        </a:p>
      </xdr:txBody>
    </xdr:sp>
    <xdr:clientData/>
  </xdr:twoCellAnchor>
  <xdr:twoCellAnchor>
    <xdr:from>
      <xdr:col>11</xdr:col>
      <xdr:colOff>229800</xdr:colOff>
      <xdr:row>23</xdr:row>
      <xdr:rowOff>152400</xdr:rowOff>
    </xdr:from>
    <xdr:to>
      <xdr:col>12</xdr:col>
      <xdr:colOff>151800</xdr:colOff>
      <xdr:row>25</xdr:row>
      <xdr:rowOff>47625</xdr:rowOff>
    </xdr:to>
    <xdr:sp macro="" textlink="">
      <xdr:nvSpPr>
        <xdr:cNvPr id="33" name="Filter_Nov">
          <a:extLst>
            <a:ext uri="{FF2B5EF4-FFF2-40B4-BE49-F238E27FC236}">
              <a16:creationId xmlns:a16="http://schemas.microsoft.com/office/drawing/2014/main" id="{00000000-0008-0000-0700-000021000000}"/>
            </a:ext>
          </a:extLst>
        </xdr:cNvPr>
        <xdr:cNvSpPr/>
      </xdr:nvSpPr>
      <xdr:spPr>
        <a:xfrm>
          <a:off x="8611800" y="4533900"/>
          <a:ext cx="684000" cy="27622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i="0" u="none" strike="noStrike">
              <a:solidFill>
                <a:schemeClr val="bg1"/>
              </a:solidFill>
              <a:latin typeface="Calibri"/>
              <a:ea typeface="+mn-ea"/>
              <a:cs typeface="Calibri"/>
            </a:rPr>
            <a:t>Nov</a:t>
          </a:r>
        </a:p>
        <a:p>
          <a:pPr algn="ctr"/>
          <a:endParaRPr lang="en-US" sz="1100"/>
        </a:p>
      </xdr:txBody>
    </xdr:sp>
    <xdr:clientData/>
  </xdr:twoCellAnchor>
  <xdr:twoCellAnchor>
    <xdr:from>
      <xdr:col>12</xdr:col>
      <xdr:colOff>744750</xdr:colOff>
      <xdr:row>23</xdr:row>
      <xdr:rowOff>152400</xdr:rowOff>
    </xdr:from>
    <xdr:to>
      <xdr:col>13</xdr:col>
      <xdr:colOff>666750</xdr:colOff>
      <xdr:row>25</xdr:row>
      <xdr:rowOff>47625</xdr:rowOff>
    </xdr:to>
    <xdr:sp macro="" textlink="">
      <xdr:nvSpPr>
        <xdr:cNvPr id="34" name="Filter_Dez">
          <a:extLst>
            <a:ext uri="{FF2B5EF4-FFF2-40B4-BE49-F238E27FC236}">
              <a16:creationId xmlns:a16="http://schemas.microsoft.com/office/drawing/2014/main" id="{00000000-0008-0000-0700-000022000000}"/>
            </a:ext>
          </a:extLst>
        </xdr:cNvPr>
        <xdr:cNvSpPr/>
      </xdr:nvSpPr>
      <xdr:spPr>
        <a:xfrm>
          <a:off x="9888750" y="4533900"/>
          <a:ext cx="684000" cy="27622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i="0" u="none" strike="noStrike">
              <a:solidFill>
                <a:schemeClr val="bg1"/>
              </a:solidFill>
              <a:latin typeface="Calibri"/>
              <a:ea typeface="+mn-ea"/>
              <a:cs typeface="Calibri"/>
            </a:rPr>
            <a:t>Dez</a:t>
          </a:r>
        </a:p>
        <a:p>
          <a:pPr algn="ctr"/>
          <a:endParaRPr lang="en-US" sz="1100"/>
        </a:p>
      </xdr:txBody>
    </xdr:sp>
    <xdr:clientData/>
  </xdr:twoCellAnchor>
  <xdr:twoCellAnchor>
    <xdr:from>
      <xdr:col>14</xdr:col>
      <xdr:colOff>619125</xdr:colOff>
      <xdr:row>10</xdr:row>
      <xdr:rowOff>161925</xdr:rowOff>
    </xdr:from>
    <xdr:to>
      <xdr:col>17</xdr:col>
      <xdr:colOff>47625</xdr:colOff>
      <xdr:row>14</xdr:row>
      <xdr:rowOff>0</xdr:rowOff>
    </xdr:to>
    <xdr:sp macro="" textlink="">
      <xdr:nvSpPr>
        <xdr:cNvPr id="39" name="Filter_Cat_01">
          <a:extLst>
            <a:ext uri="{FF2B5EF4-FFF2-40B4-BE49-F238E27FC236}">
              <a16:creationId xmlns:a16="http://schemas.microsoft.com/office/drawing/2014/main" id="{00000000-0008-0000-0700-000027000000}"/>
            </a:ext>
          </a:extLst>
        </xdr:cNvPr>
        <xdr:cNvSpPr/>
      </xdr:nvSpPr>
      <xdr:spPr>
        <a:xfrm>
          <a:off x="11287125" y="2066925"/>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Filter_Cat_01</a:t>
          </a:r>
        </a:p>
      </xdr:txBody>
    </xdr:sp>
    <xdr:clientData/>
  </xdr:twoCellAnchor>
  <xdr:twoCellAnchor>
    <xdr:from>
      <xdr:col>14</xdr:col>
      <xdr:colOff>619125</xdr:colOff>
      <xdr:row>14</xdr:row>
      <xdr:rowOff>154781</xdr:rowOff>
    </xdr:from>
    <xdr:to>
      <xdr:col>17</xdr:col>
      <xdr:colOff>47625</xdr:colOff>
      <xdr:row>17</xdr:row>
      <xdr:rowOff>183356</xdr:rowOff>
    </xdr:to>
    <xdr:sp macro="" textlink="">
      <xdr:nvSpPr>
        <xdr:cNvPr id="40" name="Filter_Cat_05">
          <a:extLst>
            <a:ext uri="{FF2B5EF4-FFF2-40B4-BE49-F238E27FC236}">
              <a16:creationId xmlns:a16="http://schemas.microsoft.com/office/drawing/2014/main" id="{00000000-0008-0000-0700-000028000000}"/>
            </a:ext>
          </a:extLst>
        </xdr:cNvPr>
        <xdr:cNvSpPr/>
      </xdr:nvSpPr>
      <xdr:spPr>
        <a:xfrm>
          <a:off x="11287125" y="2821781"/>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Filter_Cat_05</a:t>
          </a:r>
        </a:p>
      </xdr:txBody>
    </xdr:sp>
    <xdr:clientData/>
  </xdr:twoCellAnchor>
  <xdr:twoCellAnchor>
    <xdr:from>
      <xdr:col>14</xdr:col>
      <xdr:colOff>619125</xdr:colOff>
      <xdr:row>18</xdr:row>
      <xdr:rowOff>147637</xdr:rowOff>
    </xdr:from>
    <xdr:to>
      <xdr:col>17</xdr:col>
      <xdr:colOff>47625</xdr:colOff>
      <xdr:row>21</xdr:row>
      <xdr:rowOff>176212</xdr:rowOff>
    </xdr:to>
    <xdr:sp macro="" textlink="">
      <xdr:nvSpPr>
        <xdr:cNvPr id="41" name="Filter_Cat_09">
          <a:extLst>
            <a:ext uri="{FF2B5EF4-FFF2-40B4-BE49-F238E27FC236}">
              <a16:creationId xmlns:a16="http://schemas.microsoft.com/office/drawing/2014/main" id="{00000000-0008-0000-0700-000029000000}"/>
            </a:ext>
          </a:extLst>
        </xdr:cNvPr>
        <xdr:cNvSpPr/>
      </xdr:nvSpPr>
      <xdr:spPr>
        <a:xfrm>
          <a:off x="11287125" y="3576637"/>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Filter_Cat_09</a:t>
          </a:r>
        </a:p>
      </xdr:txBody>
    </xdr:sp>
    <xdr:clientData/>
  </xdr:twoCellAnchor>
  <xdr:twoCellAnchor>
    <xdr:from>
      <xdr:col>14</xdr:col>
      <xdr:colOff>619125</xdr:colOff>
      <xdr:row>22</xdr:row>
      <xdr:rowOff>140493</xdr:rowOff>
    </xdr:from>
    <xdr:to>
      <xdr:col>17</xdr:col>
      <xdr:colOff>47625</xdr:colOff>
      <xdr:row>25</xdr:row>
      <xdr:rowOff>169068</xdr:rowOff>
    </xdr:to>
    <xdr:sp macro="" textlink="">
      <xdr:nvSpPr>
        <xdr:cNvPr id="42" name="Filter_Cat_13">
          <a:extLst>
            <a:ext uri="{FF2B5EF4-FFF2-40B4-BE49-F238E27FC236}">
              <a16:creationId xmlns:a16="http://schemas.microsoft.com/office/drawing/2014/main" id="{00000000-0008-0000-0700-00002A000000}"/>
            </a:ext>
          </a:extLst>
        </xdr:cNvPr>
        <xdr:cNvSpPr/>
      </xdr:nvSpPr>
      <xdr:spPr>
        <a:xfrm>
          <a:off x="11287125" y="4331493"/>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Filter_Cat_13</a:t>
          </a:r>
        </a:p>
      </xdr:txBody>
    </xdr:sp>
    <xdr:clientData/>
  </xdr:twoCellAnchor>
  <xdr:twoCellAnchor>
    <xdr:from>
      <xdr:col>14</xdr:col>
      <xdr:colOff>619125</xdr:colOff>
      <xdr:row>26</xdr:row>
      <xdr:rowOff>133350</xdr:rowOff>
    </xdr:from>
    <xdr:to>
      <xdr:col>17</xdr:col>
      <xdr:colOff>47625</xdr:colOff>
      <xdr:row>29</xdr:row>
      <xdr:rowOff>161925</xdr:rowOff>
    </xdr:to>
    <xdr:sp macro="" textlink="">
      <xdr:nvSpPr>
        <xdr:cNvPr id="43" name="Filter_Cat_17">
          <a:extLst>
            <a:ext uri="{FF2B5EF4-FFF2-40B4-BE49-F238E27FC236}">
              <a16:creationId xmlns:a16="http://schemas.microsoft.com/office/drawing/2014/main" id="{00000000-0008-0000-0700-00002B000000}"/>
            </a:ext>
          </a:extLst>
        </xdr:cNvPr>
        <xdr:cNvSpPr/>
      </xdr:nvSpPr>
      <xdr:spPr>
        <a:xfrm>
          <a:off x="11287125" y="5086350"/>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Filter_Cat_17</a:t>
          </a:r>
        </a:p>
      </xdr:txBody>
    </xdr:sp>
    <xdr:clientData/>
  </xdr:twoCellAnchor>
  <xdr:twoCellAnchor>
    <xdr:from>
      <xdr:col>17</xdr:col>
      <xdr:colOff>190500</xdr:colOff>
      <xdr:row>10</xdr:row>
      <xdr:rowOff>161925</xdr:rowOff>
    </xdr:from>
    <xdr:to>
      <xdr:col>19</xdr:col>
      <xdr:colOff>381000</xdr:colOff>
      <xdr:row>14</xdr:row>
      <xdr:rowOff>0</xdr:rowOff>
    </xdr:to>
    <xdr:sp macro="" textlink="">
      <xdr:nvSpPr>
        <xdr:cNvPr id="44" name="Filter_Cat_02">
          <a:extLst>
            <a:ext uri="{FF2B5EF4-FFF2-40B4-BE49-F238E27FC236}">
              <a16:creationId xmlns:a16="http://schemas.microsoft.com/office/drawing/2014/main" id="{00000000-0008-0000-0700-00002C000000}"/>
            </a:ext>
          </a:extLst>
        </xdr:cNvPr>
        <xdr:cNvSpPr/>
      </xdr:nvSpPr>
      <xdr:spPr>
        <a:xfrm>
          <a:off x="13144500" y="2066925"/>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Filter_Cat_02</a:t>
          </a:r>
          <a:endParaRPr lang="en-US" sz="1400" b="0" i="0" u="none" strike="noStrike">
            <a:solidFill>
              <a:schemeClr val="bg1"/>
            </a:solidFill>
            <a:latin typeface="Calibri"/>
            <a:ea typeface="+mn-ea"/>
            <a:cs typeface="Calibri"/>
          </a:endParaRPr>
        </a:p>
      </xdr:txBody>
    </xdr:sp>
    <xdr:clientData/>
  </xdr:twoCellAnchor>
  <xdr:twoCellAnchor>
    <xdr:from>
      <xdr:col>17</xdr:col>
      <xdr:colOff>190500</xdr:colOff>
      <xdr:row>14</xdr:row>
      <xdr:rowOff>154781</xdr:rowOff>
    </xdr:from>
    <xdr:to>
      <xdr:col>19</xdr:col>
      <xdr:colOff>381000</xdr:colOff>
      <xdr:row>17</xdr:row>
      <xdr:rowOff>183356</xdr:rowOff>
    </xdr:to>
    <xdr:sp macro="" textlink="">
      <xdr:nvSpPr>
        <xdr:cNvPr id="45" name="Filter_Cat_06">
          <a:extLst>
            <a:ext uri="{FF2B5EF4-FFF2-40B4-BE49-F238E27FC236}">
              <a16:creationId xmlns:a16="http://schemas.microsoft.com/office/drawing/2014/main" id="{00000000-0008-0000-0700-00002D000000}"/>
            </a:ext>
          </a:extLst>
        </xdr:cNvPr>
        <xdr:cNvSpPr/>
      </xdr:nvSpPr>
      <xdr:spPr>
        <a:xfrm>
          <a:off x="13144500" y="2821781"/>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Filter_Cat_06</a:t>
          </a:r>
        </a:p>
      </xdr:txBody>
    </xdr:sp>
    <xdr:clientData/>
  </xdr:twoCellAnchor>
  <xdr:twoCellAnchor>
    <xdr:from>
      <xdr:col>17</xdr:col>
      <xdr:colOff>190500</xdr:colOff>
      <xdr:row>18</xdr:row>
      <xdr:rowOff>147637</xdr:rowOff>
    </xdr:from>
    <xdr:to>
      <xdr:col>19</xdr:col>
      <xdr:colOff>381000</xdr:colOff>
      <xdr:row>21</xdr:row>
      <xdr:rowOff>176212</xdr:rowOff>
    </xdr:to>
    <xdr:sp macro="" textlink="">
      <xdr:nvSpPr>
        <xdr:cNvPr id="46" name="Filter_Cat_10">
          <a:extLst>
            <a:ext uri="{FF2B5EF4-FFF2-40B4-BE49-F238E27FC236}">
              <a16:creationId xmlns:a16="http://schemas.microsoft.com/office/drawing/2014/main" id="{00000000-0008-0000-0700-00002E000000}"/>
            </a:ext>
          </a:extLst>
        </xdr:cNvPr>
        <xdr:cNvSpPr/>
      </xdr:nvSpPr>
      <xdr:spPr>
        <a:xfrm>
          <a:off x="13144500" y="3576637"/>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Filter_Cat_10</a:t>
          </a:r>
        </a:p>
      </xdr:txBody>
    </xdr:sp>
    <xdr:clientData/>
  </xdr:twoCellAnchor>
  <xdr:twoCellAnchor>
    <xdr:from>
      <xdr:col>17</xdr:col>
      <xdr:colOff>190500</xdr:colOff>
      <xdr:row>22</xdr:row>
      <xdr:rowOff>140493</xdr:rowOff>
    </xdr:from>
    <xdr:to>
      <xdr:col>19</xdr:col>
      <xdr:colOff>381000</xdr:colOff>
      <xdr:row>25</xdr:row>
      <xdr:rowOff>169068</xdr:rowOff>
    </xdr:to>
    <xdr:sp macro="" textlink="">
      <xdr:nvSpPr>
        <xdr:cNvPr id="47" name="Filter_Cat_14">
          <a:extLst>
            <a:ext uri="{FF2B5EF4-FFF2-40B4-BE49-F238E27FC236}">
              <a16:creationId xmlns:a16="http://schemas.microsoft.com/office/drawing/2014/main" id="{00000000-0008-0000-0700-00002F000000}"/>
            </a:ext>
          </a:extLst>
        </xdr:cNvPr>
        <xdr:cNvSpPr/>
      </xdr:nvSpPr>
      <xdr:spPr>
        <a:xfrm>
          <a:off x="13144500" y="4331493"/>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0" i="0" u="none" strike="noStrike">
              <a:solidFill>
                <a:schemeClr val="bg1"/>
              </a:solidFill>
              <a:latin typeface="+mn-lt"/>
              <a:ea typeface="+mn-ea"/>
              <a:cs typeface="Calibri"/>
            </a:rPr>
            <a:t>Filter_Cat_14</a:t>
          </a:r>
        </a:p>
      </xdr:txBody>
    </xdr:sp>
    <xdr:clientData/>
  </xdr:twoCellAnchor>
  <xdr:twoCellAnchor>
    <xdr:from>
      <xdr:col>17</xdr:col>
      <xdr:colOff>190500</xdr:colOff>
      <xdr:row>26</xdr:row>
      <xdr:rowOff>133350</xdr:rowOff>
    </xdr:from>
    <xdr:to>
      <xdr:col>19</xdr:col>
      <xdr:colOff>381000</xdr:colOff>
      <xdr:row>29</xdr:row>
      <xdr:rowOff>161925</xdr:rowOff>
    </xdr:to>
    <xdr:sp macro="" textlink="">
      <xdr:nvSpPr>
        <xdr:cNvPr id="48" name="Filter_Cat_18">
          <a:extLst>
            <a:ext uri="{FF2B5EF4-FFF2-40B4-BE49-F238E27FC236}">
              <a16:creationId xmlns:a16="http://schemas.microsoft.com/office/drawing/2014/main" id="{00000000-0008-0000-0700-000030000000}"/>
            </a:ext>
          </a:extLst>
        </xdr:cNvPr>
        <xdr:cNvSpPr/>
      </xdr:nvSpPr>
      <xdr:spPr>
        <a:xfrm>
          <a:off x="13144500" y="5086350"/>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Filter_Cat_18</a:t>
          </a:r>
        </a:p>
      </xdr:txBody>
    </xdr:sp>
    <xdr:clientData/>
  </xdr:twoCellAnchor>
  <xdr:twoCellAnchor>
    <xdr:from>
      <xdr:col>19</xdr:col>
      <xdr:colOff>514350</xdr:colOff>
      <xdr:row>10</xdr:row>
      <xdr:rowOff>161925</xdr:rowOff>
    </xdr:from>
    <xdr:to>
      <xdr:col>21</xdr:col>
      <xdr:colOff>704850</xdr:colOff>
      <xdr:row>14</xdr:row>
      <xdr:rowOff>0</xdr:rowOff>
    </xdr:to>
    <xdr:sp macro="" textlink="">
      <xdr:nvSpPr>
        <xdr:cNvPr id="52" name="Filter_Cat_03">
          <a:extLst>
            <a:ext uri="{FF2B5EF4-FFF2-40B4-BE49-F238E27FC236}">
              <a16:creationId xmlns:a16="http://schemas.microsoft.com/office/drawing/2014/main" id="{00000000-0008-0000-0700-000034000000}"/>
            </a:ext>
          </a:extLst>
        </xdr:cNvPr>
        <xdr:cNvSpPr/>
      </xdr:nvSpPr>
      <xdr:spPr>
        <a:xfrm>
          <a:off x="14992350" y="2066925"/>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Filter_Cat_03</a:t>
          </a:r>
        </a:p>
      </xdr:txBody>
    </xdr:sp>
    <xdr:clientData/>
  </xdr:twoCellAnchor>
  <xdr:twoCellAnchor>
    <xdr:from>
      <xdr:col>19</xdr:col>
      <xdr:colOff>514350</xdr:colOff>
      <xdr:row>14</xdr:row>
      <xdr:rowOff>154781</xdr:rowOff>
    </xdr:from>
    <xdr:to>
      <xdr:col>21</xdr:col>
      <xdr:colOff>704850</xdr:colOff>
      <xdr:row>17</xdr:row>
      <xdr:rowOff>183356</xdr:rowOff>
    </xdr:to>
    <xdr:sp macro="" textlink="">
      <xdr:nvSpPr>
        <xdr:cNvPr id="53" name="Filter_Cat_07">
          <a:extLst>
            <a:ext uri="{FF2B5EF4-FFF2-40B4-BE49-F238E27FC236}">
              <a16:creationId xmlns:a16="http://schemas.microsoft.com/office/drawing/2014/main" id="{00000000-0008-0000-0700-000035000000}"/>
            </a:ext>
          </a:extLst>
        </xdr:cNvPr>
        <xdr:cNvSpPr/>
      </xdr:nvSpPr>
      <xdr:spPr>
        <a:xfrm>
          <a:off x="14992350" y="2821781"/>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Filter_Cat_07</a:t>
          </a:r>
        </a:p>
      </xdr:txBody>
    </xdr:sp>
    <xdr:clientData/>
  </xdr:twoCellAnchor>
  <xdr:twoCellAnchor>
    <xdr:from>
      <xdr:col>19</xdr:col>
      <xdr:colOff>514350</xdr:colOff>
      <xdr:row>18</xdr:row>
      <xdr:rowOff>147637</xdr:rowOff>
    </xdr:from>
    <xdr:to>
      <xdr:col>21</xdr:col>
      <xdr:colOff>704850</xdr:colOff>
      <xdr:row>21</xdr:row>
      <xdr:rowOff>176212</xdr:rowOff>
    </xdr:to>
    <xdr:sp macro="" textlink="">
      <xdr:nvSpPr>
        <xdr:cNvPr id="54" name="Filter_Cat_11">
          <a:extLst>
            <a:ext uri="{FF2B5EF4-FFF2-40B4-BE49-F238E27FC236}">
              <a16:creationId xmlns:a16="http://schemas.microsoft.com/office/drawing/2014/main" id="{00000000-0008-0000-0700-000036000000}"/>
            </a:ext>
          </a:extLst>
        </xdr:cNvPr>
        <xdr:cNvSpPr/>
      </xdr:nvSpPr>
      <xdr:spPr>
        <a:xfrm>
          <a:off x="14992350" y="3576637"/>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Filter_Cat_11</a:t>
          </a:r>
        </a:p>
      </xdr:txBody>
    </xdr:sp>
    <xdr:clientData/>
  </xdr:twoCellAnchor>
  <xdr:twoCellAnchor>
    <xdr:from>
      <xdr:col>19</xdr:col>
      <xdr:colOff>514350</xdr:colOff>
      <xdr:row>22</xdr:row>
      <xdr:rowOff>140493</xdr:rowOff>
    </xdr:from>
    <xdr:to>
      <xdr:col>21</xdr:col>
      <xdr:colOff>704850</xdr:colOff>
      <xdr:row>25</xdr:row>
      <xdr:rowOff>169068</xdr:rowOff>
    </xdr:to>
    <xdr:sp macro="" textlink="">
      <xdr:nvSpPr>
        <xdr:cNvPr id="55" name="Filter_Cat_15">
          <a:extLst>
            <a:ext uri="{FF2B5EF4-FFF2-40B4-BE49-F238E27FC236}">
              <a16:creationId xmlns:a16="http://schemas.microsoft.com/office/drawing/2014/main" id="{00000000-0008-0000-0700-000037000000}"/>
            </a:ext>
          </a:extLst>
        </xdr:cNvPr>
        <xdr:cNvSpPr/>
      </xdr:nvSpPr>
      <xdr:spPr>
        <a:xfrm>
          <a:off x="14992350" y="4331493"/>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Filter_Cat_15</a:t>
          </a:r>
        </a:p>
      </xdr:txBody>
    </xdr:sp>
    <xdr:clientData/>
  </xdr:twoCellAnchor>
  <xdr:twoCellAnchor>
    <xdr:from>
      <xdr:col>19</xdr:col>
      <xdr:colOff>514350</xdr:colOff>
      <xdr:row>26</xdr:row>
      <xdr:rowOff>133350</xdr:rowOff>
    </xdr:from>
    <xdr:to>
      <xdr:col>21</xdr:col>
      <xdr:colOff>704850</xdr:colOff>
      <xdr:row>29</xdr:row>
      <xdr:rowOff>161925</xdr:rowOff>
    </xdr:to>
    <xdr:sp macro="" textlink="">
      <xdr:nvSpPr>
        <xdr:cNvPr id="56" name="Filter_Cat_19">
          <a:extLst>
            <a:ext uri="{FF2B5EF4-FFF2-40B4-BE49-F238E27FC236}">
              <a16:creationId xmlns:a16="http://schemas.microsoft.com/office/drawing/2014/main" id="{00000000-0008-0000-0700-000038000000}"/>
            </a:ext>
          </a:extLst>
        </xdr:cNvPr>
        <xdr:cNvSpPr/>
      </xdr:nvSpPr>
      <xdr:spPr>
        <a:xfrm>
          <a:off x="14992350" y="5086350"/>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Filter_Cat_19</a:t>
          </a:r>
        </a:p>
      </xdr:txBody>
    </xdr:sp>
    <xdr:clientData/>
  </xdr:twoCellAnchor>
  <xdr:twoCellAnchor>
    <xdr:from>
      <xdr:col>22</xdr:col>
      <xdr:colOff>85725</xdr:colOff>
      <xdr:row>10</xdr:row>
      <xdr:rowOff>161925</xdr:rowOff>
    </xdr:from>
    <xdr:to>
      <xdr:col>24</xdr:col>
      <xdr:colOff>276225</xdr:colOff>
      <xdr:row>14</xdr:row>
      <xdr:rowOff>0</xdr:rowOff>
    </xdr:to>
    <xdr:sp macro="" textlink="">
      <xdr:nvSpPr>
        <xdr:cNvPr id="57" name="Filter_Cat_04">
          <a:extLst>
            <a:ext uri="{FF2B5EF4-FFF2-40B4-BE49-F238E27FC236}">
              <a16:creationId xmlns:a16="http://schemas.microsoft.com/office/drawing/2014/main" id="{00000000-0008-0000-0700-000039000000}"/>
            </a:ext>
          </a:extLst>
        </xdr:cNvPr>
        <xdr:cNvSpPr/>
      </xdr:nvSpPr>
      <xdr:spPr>
        <a:xfrm>
          <a:off x="16849725" y="2066925"/>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Filter_Cat_04</a:t>
          </a:r>
        </a:p>
      </xdr:txBody>
    </xdr:sp>
    <xdr:clientData/>
  </xdr:twoCellAnchor>
  <xdr:twoCellAnchor>
    <xdr:from>
      <xdr:col>22</xdr:col>
      <xdr:colOff>85725</xdr:colOff>
      <xdr:row>14</xdr:row>
      <xdr:rowOff>154781</xdr:rowOff>
    </xdr:from>
    <xdr:to>
      <xdr:col>24</xdr:col>
      <xdr:colOff>276225</xdr:colOff>
      <xdr:row>17</xdr:row>
      <xdr:rowOff>183356</xdr:rowOff>
    </xdr:to>
    <xdr:sp macro="" textlink="">
      <xdr:nvSpPr>
        <xdr:cNvPr id="58" name="Filter_Cat_08">
          <a:extLst>
            <a:ext uri="{FF2B5EF4-FFF2-40B4-BE49-F238E27FC236}">
              <a16:creationId xmlns:a16="http://schemas.microsoft.com/office/drawing/2014/main" id="{00000000-0008-0000-0700-00003A000000}"/>
            </a:ext>
          </a:extLst>
        </xdr:cNvPr>
        <xdr:cNvSpPr/>
      </xdr:nvSpPr>
      <xdr:spPr>
        <a:xfrm>
          <a:off x="16849725" y="2821781"/>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Filter_Cat_08</a:t>
          </a:r>
        </a:p>
      </xdr:txBody>
    </xdr:sp>
    <xdr:clientData/>
  </xdr:twoCellAnchor>
  <xdr:twoCellAnchor>
    <xdr:from>
      <xdr:col>22</xdr:col>
      <xdr:colOff>85725</xdr:colOff>
      <xdr:row>18</xdr:row>
      <xdr:rowOff>147637</xdr:rowOff>
    </xdr:from>
    <xdr:to>
      <xdr:col>24</xdr:col>
      <xdr:colOff>276225</xdr:colOff>
      <xdr:row>21</xdr:row>
      <xdr:rowOff>176212</xdr:rowOff>
    </xdr:to>
    <xdr:sp macro="" textlink="">
      <xdr:nvSpPr>
        <xdr:cNvPr id="59" name="Filter_Cat_12">
          <a:extLst>
            <a:ext uri="{FF2B5EF4-FFF2-40B4-BE49-F238E27FC236}">
              <a16:creationId xmlns:a16="http://schemas.microsoft.com/office/drawing/2014/main" id="{00000000-0008-0000-0700-00003B000000}"/>
            </a:ext>
          </a:extLst>
        </xdr:cNvPr>
        <xdr:cNvSpPr/>
      </xdr:nvSpPr>
      <xdr:spPr>
        <a:xfrm>
          <a:off x="16849725" y="3576637"/>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Filter_Cat_12</a:t>
          </a:r>
        </a:p>
      </xdr:txBody>
    </xdr:sp>
    <xdr:clientData/>
  </xdr:twoCellAnchor>
  <xdr:twoCellAnchor>
    <xdr:from>
      <xdr:col>22</xdr:col>
      <xdr:colOff>85725</xdr:colOff>
      <xdr:row>22</xdr:row>
      <xdr:rowOff>140493</xdr:rowOff>
    </xdr:from>
    <xdr:to>
      <xdr:col>24</xdr:col>
      <xdr:colOff>276225</xdr:colOff>
      <xdr:row>25</xdr:row>
      <xdr:rowOff>169068</xdr:rowOff>
    </xdr:to>
    <xdr:sp macro="" textlink="">
      <xdr:nvSpPr>
        <xdr:cNvPr id="60" name="Filter_Cat_16">
          <a:extLst>
            <a:ext uri="{FF2B5EF4-FFF2-40B4-BE49-F238E27FC236}">
              <a16:creationId xmlns:a16="http://schemas.microsoft.com/office/drawing/2014/main" id="{00000000-0008-0000-0700-00003C000000}"/>
            </a:ext>
          </a:extLst>
        </xdr:cNvPr>
        <xdr:cNvSpPr/>
      </xdr:nvSpPr>
      <xdr:spPr>
        <a:xfrm>
          <a:off x="16849725" y="4331493"/>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Filter_Cat_16</a:t>
          </a:r>
        </a:p>
      </xdr:txBody>
    </xdr:sp>
    <xdr:clientData/>
  </xdr:twoCellAnchor>
  <xdr:twoCellAnchor>
    <xdr:from>
      <xdr:col>22</xdr:col>
      <xdr:colOff>85725</xdr:colOff>
      <xdr:row>26</xdr:row>
      <xdr:rowOff>133350</xdr:rowOff>
    </xdr:from>
    <xdr:to>
      <xdr:col>24</xdr:col>
      <xdr:colOff>276225</xdr:colOff>
      <xdr:row>29</xdr:row>
      <xdr:rowOff>161925</xdr:rowOff>
    </xdr:to>
    <xdr:sp macro="" textlink="">
      <xdr:nvSpPr>
        <xdr:cNvPr id="61" name="Filter_Cat_20">
          <a:extLst>
            <a:ext uri="{FF2B5EF4-FFF2-40B4-BE49-F238E27FC236}">
              <a16:creationId xmlns:a16="http://schemas.microsoft.com/office/drawing/2014/main" id="{00000000-0008-0000-0700-00003D000000}"/>
            </a:ext>
          </a:extLst>
        </xdr:cNvPr>
        <xdr:cNvSpPr/>
      </xdr:nvSpPr>
      <xdr:spPr>
        <a:xfrm>
          <a:off x="16849725" y="5086350"/>
          <a:ext cx="1714500" cy="6000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i="0" u="none" strike="noStrike">
              <a:solidFill>
                <a:schemeClr val="bg1"/>
              </a:solidFill>
              <a:latin typeface="+mn-lt"/>
              <a:ea typeface="+mn-ea"/>
              <a:cs typeface="Calibri"/>
            </a:rPr>
            <a:t>Filter_Cat_20</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1162050</xdr:colOff>
          <xdr:row>8</xdr:row>
          <xdr:rowOff>76200</xdr:rowOff>
        </xdr:from>
        <xdr:to>
          <xdr:col>1</xdr:col>
          <xdr:colOff>5724525</xdr:colOff>
          <xdr:row>13</xdr:row>
          <xdr:rowOff>171450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Pfade eingegeben!</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Lukas Reinert" refreshedDate="45253.959856365742" createdVersion="8" refreshedVersion="8" minRefreshableVersion="3" recordCount="41" xr:uid="{CE754497-472F-44AA-A091-83DDACA21AAF}">
  <cacheSource type="worksheet">
    <worksheetSource name="Data"/>
  </cacheSource>
  <cacheFields count="11">
    <cacheField name="Buchung" numFmtId="14">
      <sharedItems containsSemiMixedTypes="0" containsNonDate="0" containsDate="1" containsString="0" minDate="2022-02-07T00:00:00" maxDate="2022-02-08T00:00:00"/>
    </cacheField>
    <cacheField name="Auftraggeber/Empfänger" numFmtId="0">
      <sharedItems/>
    </cacheField>
    <cacheField name="Buchungstext" numFmtId="0">
      <sharedItems/>
    </cacheField>
    <cacheField name="Verwendungszweck" numFmtId="0">
      <sharedItems/>
    </cacheField>
    <cacheField name="Betrag" numFmtId="0">
      <sharedItems containsSemiMixedTypes="0" containsString="0" containsNumber="1" containsInteger="1" minValue="-350" maxValue="1000"/>
    </cacheField>
    <cacheField name="Währung" numFmtId="0">
      <sharedItems/>
    </cacheField>
    <cacheField name="Kategorie" numFmtId="0">
      <sharedItems containsBlank="1" count="25">
        <s v="Einnahmen"/>
        <s v="Abos"/>
        <s v="KFZ"/>
        <s v="Versicherung"/>
        <s v="Lebensmittel"/>
        <s v="Ausgaben" u="1"/>
        <s v="Test" u="1"/>
        <s v="Penis" u="1"/>
        <m u="1"/>
        <s v="Amazon" u="1"/>
        <s v="Bargeld" u="1"/>
        <s v="PrimeVideo" u="1"/>
        <s v="Versicherungen" u="1"/>
        <s v="Investitionen" u="1"/>
        <s v="Fastfood" u="1"/>
        <s v="Kredit" u="1"/>
        <s v="Miete" u="1"/>
        <s v="Extrakonto" u="1"/>
        <s v="Rauchen" u="1"/>
        <s v="Freizeit" u="1"/>
        <s v="Allgemein" u="1"/>
        <s v="Studium" u="1"/>
        <s v="Spende" u="1"/>
        <s v="PayPal" u="1"/>
        <s v="Arzt" u="1"/>
      </sharedItems>
    </cacheField>
    <cacheField name="Monat" numFmtId="0">
      <sharedItems containsBlank="1" count="13">
        <s v="Feb"/>
        <s v="Okt" u="1"/>
        <s v="Nov" u="1"/>
        <s v="Jan" u="1"/>
        <s v="Mrz" u="1"/>
        <s v="Apr" u="1"/>
        <s v="Mai" u="1"/>
        <s v="Jun" u="1"/>
        <s v="Jul" u="1"/>
        <s v="Aug" u="1"/>
        <s v="Sep" u="1"/>
        <s v="Dez" u="1"/>
        <m u="1"/>
      </sharedItems>
    </cacheField>
    <cacheField name="Jahr" numFmtId="0">
      <sharedItems containsSemiMixedTypes="0" containsString="0" containsNumber="1" containsInteger="1" minValue="1900" maxValue="2025" count="5">
        <n v="2022"/>
        <n v="2023" u="1"/>
        <n v="1900" u="1"/>
        <n v="2024" u="1"/>
        <n v="2025" u="1"/>
      </sharedItems>
    </cacheField>
    <cacheField name="absolut Betrag" numFmtId="44">
      <sharedItems containsSemiMixedTypes="0" containsString="0" containsNumber="1" containsInteger="1" minValue="10" maxValue="1000"/>
    </cacheField>
    <cacheField name="E/A" numFmtId="0">
      <sharedItems containsBlank="1" count="3">
        <s v="E"/>
        <s v="A"/>
        <m u="1"/>
      </sharedItems>
    </cacheField>
  </cacheFields>
  <extLst>
    <ext xmlns:x14="http://schemas.microsoft.com/office/spreadsheetml/2009/9/main" uri="{725AE2AE-9491-48be-B2B4-4EB974FC3084}">
      <x14:pivotCacheDefinition pivotCacheId="9682786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
  <r>
    <d v="2022-02-07T00:00:00"/>
    <s v="Arbeitgeber"/>
    <s v="Gutschrift"/>
    <s v="Lohn"/>
    <n v="1000"/>
    <s v="EUR"/>
    <x v="0"/>
    <x v="0"/>
    <x v="0"/>
    <n v="1000"/>
    <x v="0"/>
  </r>
  <r>
    <d v="2022-02-07T00:00:00"/>
    <s v="Netflix"/>
    <s v="Abonnement"/>
    <s v="Streaming-Dienst"/>
    <n v="-15"/>
    <s v="EUR"/>
    <x v="1"/>
    <x v="0"/>
    <x v="0"/>
    <n v="15"/>
    <x v="1"/>
  </r>
  <r>
    <d v="2022-02-07T00:00:00"/>
    <s v="Autohändler"/>
    <s v="KFZ-Zahlung"/>
    <s v="Auto-Rate"/>
    <n v="-350"/>
    <s v="EUR"/>
    <x v="2"/>
    <x v="0"/>
    <x v="0"/>
    <n v="350"/>
    <x v="1"/>
  </r>
  <r>
    <d v="2022-02-07T00:00:00"/>
    <s v="Versicherungsgesellschaft"/>
    <s v="Versicherungsprämie"/>
    <s v="Kfz-Versicherung"/>
    <n v="-120"/>
    <s v="EUR"/>
    <x v="3"/>
    <x v="0"/>
    <x v="0"/>
    <n v="120"/>
    <x v="1"/>
  </r>
  <r>
    <d v="2022-02-07T00:00:00"/>
    <s v="Supermarkt"/>
    <s v="Lebensmittel-Einkauf"/>
    <s v="Wochenendeinkauf"/>
    <n v="-50"/>
    <s v="EUR"/>
    <x v="4"/>
    <x v="0"/>
    <x v="0"/>
    <n v="50"/>
    <x v="1"/>
  </r>
  <r>
    <d v="2022-02-07T00:00:00"/>
    <s v="Arbeitgeber"/>
    <s v="Gutschrift"/>
    <s v="Lohn"/>
    <n v="1000"/>
    <s v="EUR"/>
    <x v="0"/>
    <x v="0"/>
    <x v="0"/>
    <n v="1000"/>
    <x v="0"/>
  </r>
  <r>
    <d v="2022-02-07T00:00:00"/>
    <s v="Spotify"/>
    <s v="Abonnement"/>
    <s v="Music-Streaming"/>
    <n v="-10"/>
    <s v="EUR"/>
    <x v="1"/>
    <x v="0"/>
    <x v="0"/>
    <n v="10"/>
    <x v="1"/>
  </r>
  <r>
    <d v="2022-02-07T00:00:00"/>
    <s v="Tankstelle"/>
    <s v="Kraftstoff"/>
    <s v="Auto-Tankfüllung"/>
    <n v="-60"/>
    <s v="EUR"/>
    <x v="2"/>
    <x v="0"/>
    <x v="0"/>
    <n v="60"/>
    <x v="1"/>
  </r>
  <r>
    <d v="2022-02-07T00:00:00"/>
    <s v="Versicherungsgesellschaft"/>
    <s v="Versicherungsprämie"/>
    <s v="Haftpflichtversicherung"/>
    <n v="-80"/>
    <s v="EUR"/>
    <x v="3"/>
    <x v="0"/>
    <x v="0"/>
    <n v="80"/>
    <x v="1"/>
  </r>
  <r>
    <d v="2022-02-07T00:00:00"/>
    <s v="Bäckerei"/>
    <s v="Lebensmittel-Einkauf"/>
    <s v="Brot und Gebäck"/>
    <n v="-20"/>
    <s v="EUR"/>
    <x v="4"/>
    <x v="0"/>
    <x v="0"/>
    <n v="20"/>
    <x v="1"/>
  </r>
  <r>
    <d v="2022-02-07T00:00:00"/>
    <s v="Arbeitgeber"/>
    <s v="Gutschrift"/>
    <s v="Lohn"/>
    <n v="1000"/>
    <s v="EUR"/>
    <x v="0"/>
    <x v="0"/>
    <x v="0"/>
    <n v="1000"/>
    <x v="0"/>
  </r>
  <r>
    <d v="2022-02-07T00:00:00"/>
    <s v="Netflix"/>
    <s v="Abonnement"/>
    <s v="Streaming-Dienst"/>
    <n v="-15"/>
    <s v="EUR"/>
    <x v="1"/>
    <x v="0"/>
    <x v="0"/>
    <n v="15"/>
    <x v="1"/>
  </r>
  <r>
    <d v="2022-02-07T00:00:00"/>
    <s v="Autohändler"/>
    <s v="KFZ-Zahlung"/>
    <s v="Auto-Rate"/>
    <n v="-350"/>
    <s v="EUR"/>
    <x v="2"/>
    <x v="0"/>
    <x v="0"/>
    <n v="350"/>
    <x v="1"/>
  </r>
  <r>
    <d v="2022-02-07T00:00:00"/>
    <s v="Versicherungsgesellschaft"/>
    <s v="Versicherungsprämie"/>
    <s v="Kfz-Versicherung"/>
    <n v="-120"/>
    <s v="EUR"/>
    <x v="3"/>
    <x v="0"/>
    <x v="0"/>
    <n v="120"/>
    <x v="1"/>
  </r>
  <r>
    <d v="2022-02-07T00:00:00"/>
    <s v="Supermarkt"/>
    <s v="Lebensmittel-Einkauf"/>
    <s v="Wochenendeinkauf"/>
    <n v="-60"/>
    <s v="EUR"/>
    <x v="4"/>
    <x v="0"/>
    <x v="0"/>
    <n v="60"/>
    <x v="1"/>
  </r>
  <r>
    <d v="2022-02-07T00:00:00"/>
    <s v="Arbeitgeber"/>
    <s v="Gutschrift"/>
    <s v="Lohn"/>
    <n v="1000"/>
    <s v="EUR"/>
    <x v="0"/>
    <x v="0"/>
    <x v="0"/>
    <n v="1000"/>
    <x v="0"/>
  </r>
  <r>
    <d v="2022-02-07T00:00:00"/>
    <s v="Spotify"/>
    <s v="Abonnement"/>
    <s v="Music-Streaming"/>
    <n v="-10"/>
    <s v="EUR"/>
    <x v="1"/>
    <x v="0"/>
    <x v="0"/>
    <n v="10"/>
    <x v="1"/>
  </r>
  <r>
    <d v="2022-02-07T00:00:00"/>
    <s v="Tankstelle"/>
    <s v="Kraftstoff"/>
    <s v="Auto-Tankfüllung"/>
    <n v="-70"/>
    <s v="EUR"/>
    <x v="2"/>
    <x v="0"/>
    <x v="0"/>
    <n v="70"/>
    <x v="1"/>
  </r>
  <r>
    <d v="2022-02-07T00:00:00"/>
    <s v="Versicherungsgesellschaft"/>
    <s v="Versicherungsprämie"/>
    <s v="Haftpflichtversicherung"/>
    <n v="-80"/>
    <s v="EUR"/>
    <x v="3"/>
    <x v="0"/>
    <x v="0"/>
    <n v="80"/>
    <x v="1"/>
  </r>
  <r>
    <d v="2022-02-07T00:00:00"/>
    <s v="Bäckerei"/>
    <s v="Lebensmittel-Einkauf"/>
    <s v="Brot und Gebäck"/>
    <n v="-25"/>
    <s v="EUR"/>
    <x v="4"/>
    <x v="0"/>
    <x v="0"/>
    <n v="25"/>
    <x v="1"/>
  </r>
  <r>
    <d v="2022-02-07T00:00:00"/>
    <s v="Arbeitgeber"/>
    <s v="Gutschrift"/>
    <s v="Lohn"/>
    <n v="1000"/>
    <s v="EUR"/>
    <x v="0"/>
    <x v="0"/>
    <x v="0"/>
    <n v="1000"/>
    <x v="0"/>
  </r>
  <r>
    <d v="2022-02-07T00:00:00"/>
    <s v="Netflix"/>
    <s v="Abonnement"/>
    <s v="Streaming-Dienst"/>
    <n v="-15"/>
    <s v="EUR"/>
    <x v="1"/>
    <x v="0"/>
    <x v="0"/>
    <n v="15"/>
    <x v="1"/>
  </r>
  <r>
    <d v="2022-02-07T00:00:00"/>
    <s v="Autohändler"/>
    <s v="KFZ-Zahlung"/>
    <s v="Auto-Rate"/>
    <n v="-350"/>
    <s v="EUR"/>
    <x v="2"/>
    <x v="0"/>
    <x v="0"/>
    <n v="350"/>
    <x v="1"/>
  </r>
  <r>
    <d v="2022-02-07T00:00:00"/>
    <s v="Versicherungsgesellschaft"/>
    <s v="Versicherungsprämie"/>
    <s v="Kfz-Versicherung"/>
    <n v="-120"/>
    <s v="EUR"/>
    <x v="3"/>
    <x v="0"/>
    <x v="0"/>
    <n v="120"/>
    <x v="1"/>
  </r>
  <r>
    <d v="2022-02-07T00:00:00"/>
    <s v="Supermarkt"/>
    <s v="Lebensmittel-Einkauf"/>
    <s v="Wochenendeinkauf"/>
    <n v="-70"/>
    <s v="EUR"/>
    <x v="4"/>
    <x v="0"/>
    <x v="0"/>
    <n v="70"/>
    <x v="1"/>
  </r>
  <r>
    <d v="2022-02-07T00:00:00"/>
    <s v="Arbeitgeber"/>
    <s v="Gutschrift"/>
    <s v="Lohn"/>
    <n v="1000"/>
    <s v="EUR"/>
    <x v="0"/>
    <x v="0"/>
    <x v="0"/>
    <n v="1000"/>
    <x v="0"/>
  </r>
  <r>
    <d v="2022-02-07T00:00:00"/>
    <s v="Spotify"/>
    <s v="Abonnement"/>
    <s v="Music-Streaming"/>
    <n v="-10"/>
    <s v="EUR"/>
    <x v="1"/>
    <x v="0"/>
    <x v="0"/>
    <n v="10"/>
    <x v="1"/>
  </r>
  <r>
    <d v="2022-02-07T00:00:00"/>
    <s v="Tankstelle"/>
    <s v="Kraftstoff"/>
    <s v="Auto-Tankfüllung"/>
    <n v="-60"/>
    <s v="EUR"/>
    <x v="2"/>
    <x v="0"/>
    <x v="0"/>
    <n v="60"/>
    <x v="1"/>
  </r>
  <r>
    <d v="2022-02-07T00:00:00"/>
    <s v="Versicherungsgesellschaft"/>
    <s v="Versicherungsprämie"/>
    <s v="Haftpflichtversicherung"/>
    <n v="-80"/>
    <s v="EUR"/>
    <x v="3"/>
    <x v="0"/>
    <x v="0"/>
    <n v="80"/>
    <x v="1"/>
  </r>
  <r>
    <d v="2022-02-07T00:00:00"/>
    <s v="Bäckerei"/>
    <s v="Lebensmittel-Einkauf"/>
    <s v="Brot und Gebäck"/>
    <n v="-30"/>
    <s v="EUR"/>
    <x v="4"/>
    <x v="0"/>
    <x v="0"/>
    <n v="30"/>
    <x v="1"/>
  </r>
  <r>
    <d v="2022-02-07T00:00:00"/>
    <s v="Arbeitgeber"/>
    <s v="Gutschrift"/>
    <s v="Lohn"/>
    <n v="1000"/>
    <s v="EUR"/>
    <x v="0"/>
    <x v="0"/>
    <x v="0"/>
    <n v="1000"/>
    <x v="0"/>
  </r>
  <r>
    <d v="2022-02-07T00:00:00"/>
    <s v="Netflix"/>
    <s v="Abonnement"/>
    <s v="Streaming-Dienst"/>
    <n v="-15"/>
    <s v="EUR"/>
    <x v="1"/>
    <x v="0"/>
    <x v="0"/>
    <n v="15"/>
    <x v="1"/>
  </r>
  <r>
    <d v="2022-02-07T00:00:00"/>
    <s v="Autohändler"/>
    <s v="KFZ-Zahlung"/>
    <s v="Auto-Rate"/>
    <n v="-350"/>
    <s v="EUR"/>
    <x v="2"/>
    <x v="0"/>
    <x v="0"/>
    <n v="350"/>
    <x v="1"/>
  </r>
  <r>
    <d v="2022-02-07T00:00:00"/>
    <s v="Versicherungsgesellschaft"/>
    <s v="Versicherungsprämie"/>
    <s v="Kfz-Versicherung"/>
    <n v="-120"/>
    <s v="EUR"/>
    <x v="3"/>
    <x v="0"/>
    <x v="0"/>
    <n v="120"/>
    <x v="1"/>
  </r>
  <r>
    <d v="2022-02-07T00:00:00"/>
    <s v="Supermarkt"/>
    <s v="Lebensmittel-Einkauf"/>
    <s v="Wochenendeinkauf"/>
    <n v="-80"/>
    <s v="EUR"/>
    <x v="4"/>
    <x v="0"/>
    <x v="0"/>
    <n v="80"/>
    <x v="1"/>
  </r>
  <r>
    <d v="2022-02-07T00:00:00"/>
    <s v="Arbeitgeber"/>
    <s v="Gutschrift"/>
    <s v="Lohn"/>
    <n v="1000"/>
    <s v="EUR"/>
    <x v="0"/>
    <x v="0"/>
    <x v="0"/>
    <n v="1000"/>
    <x v="0"/>
  </r>
  <r>
    <d v="2022-02-07T00:00:00"/>
    <s v="Spotify"/>
    <s v="Abonnement"/>
    <s v="Music-Streaming"/>
    <n v="-10"/>
    <s v="EUR"/>
    <x v="1"/>
    <x v="0"/>
    <x v="0"/>
    <n v="10"/>
    <x v="1"/>
  </r>
  <r>
    <d v="2022-02-07T00:00:00"/>
    <s v="Tankstelle"/>
    <s v="Kraftstoff"/>
    <s v="Auto-Tankfüllung"/>
    <n v="-65"/>
    <s v="EUR"/>
    <x v="2"/>
    <x v="0"/>
    <x v="0"/>
    <n v="65"/>
    <x v="1"/>
  </r>
  <r>
    <d v="2022-02-07T00:00:00"/>
    <s v="Versicherungsgesellschaft"/>
    <s v="Versicherungsprämie"/>
    <s v="Haftpflichtversicherung"/>
    <n v="-80"/>
    <s v="EUR"/>
    <x v="3"/>
    <x v="0"/>
    <x v="0"/>
    <n v="80"/>
    <x v="1"/>
  </r>
  <r>
    <d v="2022-02-07T00:00:00"/>
    <s v="Bäckerei"/>
    <s v="Lebensmittel-Einkauf"/>
    <s v="Brot und Gebäck"/>
    <n v="-35"/>
    <s v="EUR"/>
    <x v="4"/>
    <x v="0"/>
    <x v="0"/>
    <n v="35"/>
    <x v="1"/>
  </r>
  <r>
    <d v="2022-02-07T00:00:00"/>
    <s v="Arbeitgeber"/>
    <s v="Gutschrift"/>
    <s v="Lohn"/>
    <n v="1000"/>
    <s v="EUR"/>
    <x v="0"/>
    <x v="0"/>
    <x v="0"/>
    <n v="100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EBBACD-69B9-4FA8-8827-4407D388729B}" name="Pivot_Einnahmen" cacheId="6" applyNumberFormats="0" applyBorderFormats="0" applyFontFormats="0" applyPatternFormats="0" applyAlignmentFormats="0" applyWidthHeightFormats="1" dataCaption="Werte" updatedVersion="8" minRefreshableVersion="3" useAutoFormatting="1" itemPrintTitles="1" createdVersion="8" indent="0" compact="0" compactData="0" multipleFieldFilters="0" chartFormat="4">
  <location ref="K4:L6" firstHeaderRow="1" firstDataRow="1" firstDataCol="1" rowPageCount="1" colPageCount="1"/>
  <pivotFields count="11">
    <pivotField compact="0" numFmtId="14"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26">
        <item x="1"/>
        <item m="1" x="20"/>
        <item m="1" x="9"/>
        <item m="1" x="24"/>
        <item m="1" x="5"/>
        <item m="1" x="10"/>
        <item x="0"/>
        <item m="1" x="17"/>
        <item m="1" x="14"/>
        <item m="1" x="19"/>
        <item m="1" x="13"/>
        <item x="2"/>
        <item m="1" x="15"/>
        <item x="4"/>
        <item m="1" x="16"/>
        <item m="1" x="23"/>
        <item m="1" x="7"/>
        <item m="1" x="11"/>
        <item m="1" x="18"/>
        <item m="1" x="22"/>
        <item m="1" x="21"/>
        <item m="1" x="6"/>
        <item x="3"/>
        <item m="1" x="12"/>
        <item m="1" x="8"/>
        <item t="default"/>
      </items>
    </pivotField>
    <pivotField compact="0" outline="0" showAll="0">
      <items count="14">
        <item h="1" m="1" x="3"/>
        <item x="0"/>
        <item h="1" m="1" x="4"/>
        <item h="1" m="1" x="5"/>
        <item h="1" m="1" x="6"/>
        <item h="1" m="1" x="7"/>
        <item h="1" m="1" x="8"/>
        <item h="1" m="1" x="9"/>
        <item h="1" m="1" x="10"/>
        <item h="1" m="1" x="1"/>
        <item h="1" m="1" x="2"/>
        <item h="1" m="1" x="11"/>
        <item h="1" m="1" x="12"/>
        <item t="default"/>
      </items>
    </pivotField>
    <pivotField compact="0" outline="0" showAll="0">
      <items count="6">
        <item m="1" x="2"/>
        <item x="0"/>
        <item m="1" x="1"/>
        <item m="1" x="3"/>
        <item m="1" x="4"/>
        <item t="default"/>
      </items>
    </pivotField>
    <pivotField dataField="1" compact="0" numFmtId="44" outline="0" showAll="0"/>
    <pivotField axis="axisPage" compact="0" outline="0" showAll="0">
      <items count="4">
        <item x="1"/>
        <item x="0"/>
        <item m="1" x="2"/>
        <item t="default"/>
      </items>
    </pivotField>
  </pivotFields>
  <rowFields count="1">
    <field x="6"/>
  </rowFields>
  <rowItems count="2">
    <i>
      <x v="6"/>
    </i>
    <i t="grand">
      <x/>
    </i>
  </rowItems>
  <colItems count="1">
    <i/>
  </colItems>
  <pageFields count="1">
    <pageField fld="10" item="1" hier="-1"/>
  </pageFields>
  <dataFields count="1">
    <dataField name="Summe von absolut Betrag" fld="9" baseField="0" baseItem="0" numFmtId="164"/>
  </dataFields>
  <formats count="24">
    <format dxfId="26">
      <pivotArea type="all" dataOnly="0" outline="0" fieldPosition="0"/>
    </format>
    <format dxfId="25">
      <pivotArea outline="0" collapsedLevelsAreSubtotals="1" fieldPosition="0"/>
    </format>
    <format dxfId="24">
      <pivotArea field="6" type="button" dataOnly="0" labelOnly="1" outline="0" axis="axisRow" fieldPosition="0"/>
    </format>
    <format dxfId="23">
      <pivotArea dataOnly="0" labelOnly="1" outline="0" fieldPosition="0">
        <references count="1">
          <reference field="6" count="1">
            <x v="6"/>
          </reference>
        </references>
      </pivotArea>
    </format>
    <format dxfId="22">
      <pivotArea dataOnly="0" labelOnly="1" grandRow="1" outline="0" fieldPosition="0"/>
    </format>
    <format dxfId="21">
      <pivotArea dataOnly="0" labelOnly="1" outline="0" axis="axisValues" fieldPosition="0"/>
    </format>
    <format dxfId="20">
      <pivotArea type="all" dataOnly="0" outline="0" fieldPosition="0"/>
    </format>
    <format dxfId="19">
      <pivotArea outline="0" collapsedLevelsAreSubtotals="1" fieldPosition="0"/>
    </format>
    <format dxfId="18">
      <pivotArea field="6" type="button" dataOnly="0" labelOnly="1" outline="0" axis="axisRow" fieldPosition="0"/>
    </format>
    <format dxfId="17">
      <pivotArea dataOnly="0" labelOnly="1" outline="0" fieldPosition="0">
        <references count="1">
          <reference field="6" count="1">
            <x v="6"/>
          </reference>
        </references>
      </pivotArea>
    </format>
    <format dxfId="16">
      <pivotArea dataOnly="0" labelOnly="1" grandRow="1" outline="0" fieldPosition="0"/>
    </format>
    <format dxfId="15">
      <pivotArea dataOnly="0" labelOnly="1" outline="0" axis="axisValues" fieldPosition="0"/>
    </format>
    <format dxfId="14">
      <pivotArea type="all" dataOnly="0" outline="0" fieldPosition="0"/>
    </format>
    <format dxfId="13">
      <pivotArea outline="0" collapsedLevelsAreSubtotals="1" fieldPosition="0"/>
    </format>
    <format dxfId="12">
      <pivotArea field="6" type="button" dataOnly="0" labelOnly="1" outline="0" axis="axisRow" fieldPosition="0"/>
    </format>
    <format dxfId="11">
      <pivotArea dataOnly="0" labelOnly="1" outline="0" fieldPosition="0">
        <references count="1">
          <reference field="6" count="1">
            <x v="6"/>
          </reference>
        </references>
      </pivotArea>
    </format>
    <format dxfId="10">
      <pivotArea dataOnly="0" labelOnly="1" grandRow="1" outline="0" fieldPosition="0"/>
    </format>
    <format dxfId="9">
      <pivotArea dataOnly="0" labelOnly="1" outline="0" axis="axisValues" fieldPosition="0"/>
    </format>
    <format dxfId="8">
      <pivotArea type="all" dataOnly="0" outline="0" fieldPosition="0"/>
    </format>
    <format dxfId="7">
      <pivotArea outline="0" collapsedLevelsAreSubtotals="1" fieldPosition="0"/>
    </format>
    <format dxfId="6">
      <pivotArea field="6" type="button" dataOnly="0" labelOnly="1" outline="0" axis="axisRow" fieldPosition="0"/>
    </format>
    <format dxfId="5">
      <pivotArea dataOnly="0" labelOnly="1" outline="0" fieldPosition="0">
        <references count="1">
          <reference field="6" count="1">
            <x v="6"/>
          </reference>
        </references>
      </pivotArea>
    </format>
    <format dxfId="4">
      <pivotArea dataOnly="0" labelOnly="1" grandRow="1" outline="0" fieldPosition="0"/>
    </format>
    <format dxfId="3">
      <pivotArea dataOnly="0" labelOnly="1" outline="0" axis="axisValues" fieldPosition="0"/>
    </format>
  </formats>
  <chartFormats count="5">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6" count="1" selected="0">
            <x v="6"/>
          </reference>
        </references>
      </pivotArea>
    </chartFormat>
    <chartFormat chart="3" format="6">
      <pivotArea type="data" outline="0" fieldPosition="0">
        <references count="2">
          <reference field="4294967294" count="1" selected="0">
            <x v="0"/>
          </reference>
          <reference field="6" count="1" selected="0">
            <x v="7"/>
          </reference>
        </references>
      </pivotArea>
    </chartFormat>
    <chartFormat chart="3" format="7">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6" count="1" selected="0">
            <x v="23"/>
          </reference>
        </references>
      </pivotArea>
    </chartFormat>
  </chartFormats>
  <pivotTableStyleInfo name="PivotStyleLight1"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B17B1EA-DDAE-43A4-9FA1-A4F1F679C684}" name="Pivot_Durchschnitt_2" cacheId="6" applyNumberFormats="0" applyBorderFormats="0" applyFontFormats="0" applyPatternFormats="0" applyAlignmentFormats="0" applyWidthHeightFormats="1" dataCaption="Werte" updatedVersion="8" minRefreshableVersion="3" useAutoFormatting="1" rowGrandTotals="0" colGrandTotals="0" itemPrintTitles="1" createdVersion="8" indent="0" outline="1" outlineData="1" multipleFieldFilters="0">
  <location ref="L95:M98" firstHeaderRow="1" firstDataRow="2" firstDataCol="1"/>
  <pivotFields count="11">
    <pivotField numFmtId="14" showAll="0"/>
    <pivotField showAll="0"/>
    <pivotField showAll="0"/>
    <pivotField showAll="0"/>
    <pivotField showAll="0"/>
    <pivotField showAll="0"/>
    <pivotField showAll="0"/>
    <pivotField showAll="0"/>
    <pivotField axis="axisCol" showAll="0">
      <items count="6">
        <item m="1" x="2"/>
        <item x="0"/>
        <item m="1" x="1"/>
        <item m="1" x="3"/>
        <item m="1" x="4"/>
        <item t="default"/>
      </items>
    </pivotField>
    <pivotField dataField="1" numFmtId="44" showAll="0"/>
    <pivotField axis="axisRow" showAll="0">
      <items count="4">
        <item x="1"/>
        <item x="0"/>
        <item m="1" x="2"/>
        <item t="default"/>
      </items>
    </pivotField>
  </pivotFields>
  <rowFields count="1">
    <field x="10"/>
  </rowFields>
  <rowItems count="2">
    <i>
      <x/>
    </i>
    <i>
      <x v="1"/>
    </i>
  </rowItems>
  <colFields count="1">
    <field x="8"/>
  </colFields>
  <colItems count="1">
    <i>
      <x v="1"/>
    </i>
  </colItems>
  <dataFields count="1">
    <dataField name="Summe von absolut Betrag"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C7997E3-284E-4F06-916D-CCBF08ED2C11}" name="Pivot_Umsatz" cacheId="6" applyNumberFormats="0" applyBorderFormats="0" applyFontFormats="0" applyPatternFormats="0" applyAlignmentFormats="0" applyWidthHeightFormats="1" dataCaption="Werte" updatedVersion="8" minRefreshableVersion="5" useAutoFormatting="1" itemPrintTitles="1" createdVersion="8" indent="0" compact="0" compactData="0" multipleFieldFilters="0" chartFormat="4">
  <location ref="D4:F7" firstHeaderRow="1" firstDataRow="1" firstDataCol="2"/>
  <pivotFields count="11">
    <pivotField compact="0" numFmtId="14" outline="0" showAll="0"/>
    <pivotField compact="0" outline="0" showAll="0"/>
    <pivotField compact="0" outline="0" showAll="0"/>
    <pivotField compact="0" outline="0" showAll="0"/>
    <pivotField dataField="1" compact="0" outline="0" showAll="0"/>
    <pivotField compact="0" outline="0" showAll="0"/>
    <pivotField compact="0" outline="0" showAll="0"/>
    <pivotField axis="axisRow" compact="0" outline="0" showAll="0">
      <items count="14">
        <item m="1" x="3"/>
        <item x="0"/>
        <item m="1" x="4"/>
        <item m="1" x="5"/>
        <item m="1" x="6"/>
        <item m="1" x="7"/>
        <item m="1" x="8"/>
        <item m="1" x="9"/>
        <item m="1" x="10"/>
        <item m="1" x="1"/>
        <item m="1" x="2"/>
        <item m="1" x="11"/>
        <item m="1" x="12"/>
        <item t="default"/>
      </items>
    </pivotField>
    <pivotField axis="axisRow" compact="0" outline="0" showAll="0">
      <items count="6">
        <item x="0"/>
        <item m="1" x="1"/>
        <item m="1" x="3"/>
        <item m="1" x="4"/>
        <item m="1" x="2"/>
        <item t="default"/>
      </items>
    </pivotField>
    <pivotField compact="0" numFmtId="44" outline="0" showAll="0"/>
    <pivotField compact="0" outline="0" showAll="0"/>
  </pivotFields>
  <rowFields count="2">
    <field x="8"/>
    <field x="7"/>
  </rowFields>
  <rowItems count="3">
    <i>
      <x/>
      <x v="1"/>
    </i>
    <i t="default">
      <x/>
    </i>
    <i t="grand">
      <x/>
    </i>
  </rowItems>
  <colItems count="1">
    <i/>
  </colItems>
  <dataFields count="1">
    <dataField name="Summe von Betrag" fld="4" baseField="0" baseItem="0" numFmtId="164"/>
  </dataFields>
  <formats count="36">
    <format dxfId="62">
      <pivotArea type="all" dataOnly="0" outline="0" fieldPosition="0"/>
    </format>
    <format dxfId="61">
      <pivotArea outline="0" collapsedLevelsAreSubtotals="1" fieldPosition="0"/>
    </format>
    <format dxfId="60">
      <pivotArea field="8" type="button" dataOnly="0" labelOnly="1" outline="0" axis="axisRow" fieldPosition="0"/>
    </format>
    <format dxfId="59">
      <pivotArea field="7" type="button" dataOnly="0" labelOnly="1" outline="0" axis="axisRow" fieldPosition="1"/>
    </format>
    <format dxfId="58">
      <pivotArea dataOnly="0" labelOnly="1" outline="0" fieldPosition="0">
        <references count="1">
          <reference field="8" count="0"/>
        </references>
      </pivotArea>
    </format>
    <format dxfId="57">
      <pivotArea dataOnly="0" labelOnly="1" outline="0" fieldPosition="0">
        <references count="1">
          <reference field="8" count="0" defaultSubtotal="1"/>
        </references>
      </pivotArea>
    </format>
    <format dxfId="56">
      <pivotArea dataOnly="0" labelOnly="1" grandRow="1" outline="0" fieldPosition="0"/>
    </format>
    <format dxfId="55">
      <pivotArea dataOnly="0" labelOnly="1" outline="0" fieldPosition="0">
        <references count="2">
          <reference field="7" count="11">
            <x v="1"/>
            <x v="2"/>
            <x v="3"/>
            <x v="4"/>
            <x v="5"/>
            <x v="6"/>
            <x v="7"/>
            <x v="8"/>
            <x v="9"/>
            <x v="10"/>
            <x v="11"/>
          </reference>
          <reference field="8" count="0" selected="0"/>
        </references>
      </pivotArea>
    </format>
    <format dxfId="54">
      <pivotArea dataOnly="0" labelOnly="1" outline="0" axis="axisValues" fieldPosition="0"/>
    </format>
    <format dxfId="53">
      <pivotArea type="all" dataOnly="0" outline="0" fieldPosition="0"/>
    </format>
    <format dxfId="52">
      <pivotArea outline="0" collapsedLevelsAreSubtotals="1" fieldPosition="0"/>
    </format>
    <format dxfId="51">
      <pivotArea field="8" type="button" dataOnly="0" labelOnly="1" outline="0" axis="axisRow" fieldPosition="0"/>
    </format>
    <format dxfId="50">
      <pivotArea field="7" type="button" dataOnly="0" labelOnly="1" outline="0" axis="axisRow" fieldPosition="1"/>
    </format>
    <format dxfId="49">
      <pivotArea dataOnly="0" labelOnly="1" outline="0" fieldPosition="0">
        <references count="1">
          <reference field="8" count="0"/>
        </references>
      </pivotArea>
    </format>
    <format dxfId="48">
      <pivotArea dataOnly="0" labelOnly="1" outline="0" fieldPosition="0">
        <references count="1">
          <reference field="8" count="0" defaultSubtotal="1"/>
        </references>
      </pivotArea>
    </format>
    <format dxfId="47">
      <pivotArea dataOnly="0" labelOnly="1" grandRow="1" outline="0" fieldPosition="0"/>
    </format>
    <format dxfId="46">
      <pivotArea dataOnly="0" labelOnly="1" outline="0" fieldPosition="0">
        <references count="2">
          <reference field="7" count="11">
            <x v="1"/>
            <x v="2"/>
            <x v="3"/>
            <x v="4"/>
            <x v="5"/>
            <x v="6"/>
            <x v="7"/>
            <x v="8"/>
            <x v="9"/>
            <x v="10"/>
            <x v="11"/>
          </reference>
          <reference field="8" count="0" selected="0"/>
        </references>
      </pivotArea>
    </format>
    <format dxfId="45">
      <pivotArea dataOnly="0" labelOnly="1" outline="0" axis="axisValues" fieldPosition="0"/>
    </format>
    <format dxfId="44">
      <pivotArea type="all" dataOnly="0" outline="0" fieldPosition="0"/>
    </format>
    <format dxfId="43">
      <pivotArea outline="0" collapsedLevelsAreSubtotals="1" fieldPosition="0"/>
    </format>
    <format dxfId="42">
      <pivotArea field="8" type="button" dataOnly="0" labelOnly="1" outline="0" axis="axisRow" fieldPosition="0"/>
    </format>
    <format dxfId="41">
      <pivotArea field="7" type="button" dataOnly="0" labelOnly="1" outline="0" axis="axisRow" fieldPosition="1"/>
    </format>
    <format dxfId="40">
      <pivotArea dataOnly="0" labelOnly="1" outline="0" fieldPosition="0">
        <references count="1">
          <reference field="8" count="0"/>
        </references>
      </pivotArea>
    </format>
    <format dxfId="39">
      <pivotArea dataOnly="0" labelOnly="1" outline="0" fieldPosition="0">
        <references count="1">
          <reference field="8" count="0" defaultSubtotal="1"/>
        </references>
      </pivotArea>
    </format>
    <format dxfId="38">
      <pivotArea dataOnly="0" labelOnly="1" grandRow="1" outline="0" fieldPosition="0"/>
    </format>
    <format dxfId="37">
      <pivotArea dataOnly="0" labelOnly="1" outline="0" fieldPosition="0">
        <references count="2">
          <reference field="7" count="11">
            <x v="1"/>
            <x v="2"/>
            <x v="3"/>
            <x v="4"/>
            <x v="5"/>
            <x v="6"/>
            <x v="7"/>
            <x v="8"/>
            <x v="9"/>
            <x v="10"/>
            <x v="11"/>
          </reference>
          <reference field="8" count="0" selected="0"/>
        </references>
      </pivotArea>
    </format>
    <format dxfId="36">
      <pivotArea dataOnly="0" labelOnly="1" outline="0" axis="axisValues" fieldPosition="0"/>
    </format>
    <format dxfId="35">
      <pivotArea type="all" dataOnly="0" outline="0" fieldPosition="0"/>
    </format>
    <format dxfId="34">
      <pivotArea outline="0" collapsedLevelsAreSubtotals="1" fieldPosition="0"/>
    </format>
    <format dxfId="33">
      <pivotArea field="8" type="button" dataOnly="0" labelOnly="1" outline="0" axis="axisRow" fieldPosition="0"/>
    </format>
    <format dxfId="32">
      <pivotArea field="7" type="button" dataOnly="0" labelOnly="1" outline="0" axis="axisRow" fieldPosition="1"/>
    </format>
    <format dxfId="31">
      <pivotArea dataOnly="0" labelOnly="1" outline="0" fieldPosition="0">
        <references count="1">
          <reference field="8" count="0"/>
        </references>
      </pivotArea>
    </format>
    <format dxfId="30">
      <pivotArea dataOnly="0" labelOnly="1" outline="0" fieldPosition="0">
        <references count="1">
          <reference field="8" count="0" defaultSubtotal="1"/>
        </references>
      </pivotArea>
    </format>
    <format dxfId="29">
      <pivotArea dataOnly="0" labelOnly="1" grandRow="1" outline="0" fieldPosition="0"/>
    </format>
    <format dxfId="28">
      <pivotArea dataOnly="0" labelOnly="1" outline="0" fieldPosition="0">
        <references count="2">
          <reference field="7" count="11">
            <x v="1"/>
            <x v="2"/>
            <x v="3"/>
            <x v="4"/>
            <x v="5"/>
            <x v="6"/>
            <x v="7"/>
            <x v="8"/>
            <x v="9"/>
            <x v="10"/>
            <x v="11"/>
          </reference>
          <reference field="8" count="0" selected="0"/>
        </references>
      </pivotArea>
    </format>
    <format dxfId="27">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 showRowHeaders="1" showColHeaders="1" showRowStripes="1" showColStripes="0" showLastColumn="1"/>
  <filters count="1">
    <filter fld="0" type="dateBetween" evalOrder="-1" id="42" name="Buchung">
      <autoFilter ref="A1">
        <filterColumn colId="0">
          <customFilters and="1">
            <customFilter operator="greaterThanOrEqual" val="45017"/>
            <customFilter operator="lessThanOrEqual" val="4504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D9E3F0D-0916-4343-B736-2E66FA0C9760}" name="Pivot_Summe_Absolut" cacheId="6" applyNumberFormats="0" applyBorderFormats="0" applyFontFormats="0" applyPatternFormats="0" applyAlignmentFormats="0" applyWidthHeightFormats="1" dataCaption="Werte" updatedVersion="8" minRefreshableVersion="3" useAutoFormatting="1" rowGrandTotals="0" colGrandTotals="0" itemPrintTitles="1" createdVersion="8" indent="0" compact="0" compactData="0" multipleFieldFilters="0">
  <location ref="H4:I9" firstHeaderRow="1" firstDataRow="1" firstDataCol="1"/>
  <pivotFields count="11">
    <pivotField compact="0" numFmtId="14"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26">
        <item x="1"/>
        <item m="1" x="20"/>
        <item m="1" x="9"/>
        <item m="1" x="24"/>
        <item m="1" x="10"/>
        <item x="0"/>
        <item m="1" x="17"/>
        <item m="1" x="14"/>
        <item m="1" x="19"/>
        <item m="1" x="13"/>
        <item x="2"/>
        <item m="1" x="15"/>
        <item x="4"/>
        <item m="1" x="16"/>
        <item m="1" x="23"/>
        <item m="1" x="11"/>
        <item m="1" x="18"/>
        <item m="1" x="22"/>
        <item m="1" x="21"/>
        <item m="1" x="12"/>
        <item m="1" x="6"/>
        <item m="1" x="8"/>
        <item x="3"/>
        <item m="1" x="5"/>
        <item m="1" x="7"/>
        <item t="default"/>
      </items>
      <autoSortScope>
        <pivotArea dataOnly="0" outline="0" fieldPosition="0">
          <references count="1">
            <reference field="4294967294" count="1" selected="0">
              <x v="0"/>
            </reference>
          </references>
        </pivotArea>
      </autoSortScope>
    </pivotField>
    <pivotField compact="0" outline="0" showAll="0">
      <items count="14">
        <item h="1" m="1" x="3"/>
        <item x="0"/>
        <item h="1" m="1" x="4"/>
        <item h="1" m="1" x="5"/>
        <item h="1" m="1" x="6"/>
        <item h="1" m="1" x="7"/>
        <item h="1" m="1" x="8"/>
        <item h="1" m="1" x="9"/>
        <item h="1" m="1" x="10"/>
        <item h="1" m="1" x="1"/>
        <item h="1" m="1" x="2"/>
        <item h="1" m="1" x="11"/>
        <item h="1" m="1" x="12"/>
        <item t="default"/>
      </items>
    </pivotField>
    <pivotField compact="0" outline="0" showAll="0">
      <items count="6">
        <item m="1" x="2"/>
        <item x="0"/>
        <item m="1" x="1"/>
        <item m="1" x="3"/>
        <item m="1" x="4"/>
        <item t="default"/>
      </items>
    </pivotField>
    <pivotField dataField="1" compact="0" numFmtId="44" outline="0" showAll="0"/>
    <pivotField compact="0" outline="0" showAll="0"/>
  </pivotFields>
  <rowFields count="1">
    <field x="6"/>
  </rowFields>
  <rowItems count="5">
    <i>
      <x v="5"/>
    </i>
    <i>
      <x v="10"/>
    </i>
    <i>
      <x v="22"/>
    </i>
    <i>
      <x v="12"/>
    </i>
    <i>
      <x/>
    </i>
  </rowItems>
  <colItems count="1">
    <i/>
  </colItems>
  <dataFields count="1">
    <dataField name="Summe von absolut Betrag" fld="9" baseField="0" baseItem="0" numFmtId="164"/>
  </dataFields>
  <formats count="20">
    <format dxfId="82">
      <pivotArea type="all" dataOnly="0" outline="0" fieldPosition="0"/>
    </format>
    <format dxfId="81">
      <pivotArea outline="0" collapsedLevelsAreSubtotals="1" fieldPosition="0"/>
    </format>
    <format dxfId="80">
      <pivotArea field="6" type="button" dataOnly="0" labelOnly="1" outline="0" axis="axisRow" fieldPosition="0"/>
    </format>
    <format dxfId="79">
      <pivotArea dataOnly="0" labelOnly="1" outline="0" fieldPosition="0">
        <references count="1">
          <reference field="6" count="12">
            <x v="0"/>
            <x v="4"/>
            <x v="5"/>
            <x v="7"/>
            <x v="8"/>
            <x v="9"/>
            <x v="11"/>
            <x v="12"/>
            <x v="13"/>
            <x v="14"/>
            <x v="15"/>
            <x v="19"/>
          </reference>
        </references>
      </pivotArea>
    </format>
    <format dxfId="78">
      <pivotArea dataOnly="0" labelOnly="1" outline="0" axis="axisValues" fieldPosition="0"/>
    </format>
    <format dxfId="77">
      <pivotArea type="all" dataOnly="0" outline="0" fieldPosition="0"/>
    </format>
    <format dxfId="76">
      <pivotArea outline="0" collapsedLevelsAreSubtotals="1" fieldPosition="0"/>
    </format>
    <format dxfId="75">
      <pivotArea field="6" type="button" dataOnly="0" labelOnly="1" outline="0" axis="axisRow" fieldPosition="0"/>
    </format>
    <format dxfId="74">
      <pivotArea dataOnly="0" labelOnly="1" outline="0" fieldPosition="0">
        <references count="1">
          <reference field="6" count="12">
            <x v="0"/>
            <x v="4"/>
            <x v="5"/>
            <x v="7"/>
            <x v="8"/>
            <x v="9"/>
            <x v="11"/>
            <x v="12"/>
            <x v="13"/>
            <x v="14"/>
            <x v="15"/>
            <x v="19"/>
          </reference>
        </references>
      </pivotArea>
    </format>
    <format dxfId="73">
      <pivotArea dataOnly="0" labelOnly="1" outline="0" axis="axisValues" fieldPosition="0"/>
    </format>
    <format dxfId="72">
      <pivotArea type="all" dataOnly="0" outline="0" fieldPosition="0"/>
    </format>
    <format dxfId="71">
      <pivotArea outline="0" collapsedLevelsAreSubtotals="1" fieldPosition="0"/>
    </format>
    <format dxfId="70">
      <pivotArea field="6" type="button" dataOnly="0" labelOnly="1" outline="0" axis="axisRow" fieldPosition="0"/>
    </format>
    <format dxfId="69">
      <pivotArea dataOnly="0" labelOnly="1" outline="0" fieldPosition="0">
        <references count="1">
          <reference field="6" count="12">
            <x v="0"/>
            <x v="4"/>
            <x v="5"/>
            <x v="7"/>
            <x v="8"/>
            <x v="9"/>
            <x v="11"/>
            <x v="12"/>
            <x v="13"/>
            <x v="14"/>
            <x v="15"/>
            <x v="19"/>
          </reference>
        </references>
      </pivotArea>
    </format>
    <format dxfId="68">
      <pivotArea dataOnly="0" labelOnly="1" outline="0" axis="axisValues" fieldPosition="0"/>
    </format>
    <format dxfId="67">
      <pivotArea type="all" dataOnly="0" outline="0" fieldPosition="0"/>
    </format>
    <format dxfId="66">
      <pivotArea outline="0" collapsedLevelsAreSubtotals="1" fieldPosition="0"/>
    </format>
    <format dxfId="65">
      <pivotArea field="6" type="button" dataOnly="0" labelOnly="1" outline="0" axis="axisRow" fieldPosition="0"/>
    </format>
    <format dxfId="64">
      <pivotArea dataOnly="0" labelOnly="1" outline="0" fieldPosition="0">
        <references count="1">
          <reference field="6" count="12">
            <x v="0"/>
            <x v="4"/>
            <x v="5"/>
            <x v="7"/>
            <x v="8"/>
            <x v="9"/>
            <x v="11"/>
            <x v="12"/>
            <x v="13"/>
            <x v="14"/>
            <x v="15"/>
            <x v="19"/>
          </reference>
        </references>
      </pivotArea>
    </format>
    <format dxfId="63">
      <pivotArea dataOnly="0" labelOnly="1" outline="0" axis="axisValues" fieldPosition="0"/>
    </format>
  </formats>
  <pivotTableStyleInfo name="PivotStyleLight1"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D28ABAC-89A7-44AE-9CE5-FA7459AD2984}" name="Vergleich_Cat" cacheId="6" applyNumberFormats="0" applyBorderFormats="0" applyFontFormats="0" applyPatternFormats="0" applyAlignmentFormats="0" applyWidthHeightFormats="1" dataCaption="Werte" updatedVersion="8" minRefreshableVersion="3" useAutoFormatting="1" rowGrandTotals="0" colGrandTotals="0" itemPrintTitles="1" createdVersion="8" indent="0" outline="1" outlineData="1" multipleFieldFilters="0">
  <location ref="H56:I61" firstHeaderRow="1" firstDataRow="1" firstDataCol="1"/>
  <pivotFields count="11">
    <pivotField numFmtId="14" showAll="0"/>
    <pivotField showAll="0"/>
    <pivotField showAll="0"/>
    <pivotField showAll="0"/>
    <pivotField showAll="0"/>
    <pivotField showAll="0"/>
    <pivotField axis="axisRow" showAll="0">
      <items count="26">
        <item x="1"/>
        <item m="1" x="20"/>
        <item m="1" x="9"/>
        <item m="1" x="24"/>
        <item m="1" x="10"/>
        <item x="0"/>
        <item m="1" x="17"/>
        <item m="1" x="14"/>
        <item m="1" x="19"/>
        <item m="1" x="13"/>
        <item x="2"/>
        <item m="1" x="15"/>
        <item x="4"/>
        <item m="1" x="16"/>
        <item m="1" x="23"/>
        <item m="1" x="11"/>
        <item m="1" x="18"/>
        <item m="1" x="22"/>
        <item m="1" x="21"/>
        <item m="1" x="12"/>
        <item m="1" x="6"/>
        <item m="1" x="8"/>
        <item x="3"/>
        <item m="1" x="5"/>
        <item m="1" x="7"/>
        <item t="default"/>
      </items>
    </pivotField>
    <pivotField showAll="0"/>
    <pivotField showAll="0"/>
    <pivotField dataField="1" numFmtId="44" showAll="0"/>
    <pivotField showAll="0"/>
  </pivotFields>
  <rowFields count="1">
    <field x="6"/>
  </rowFields>
  <rowItems count="5">
    <i>
      <x/>
    </i>
    <i>
      <x v="5"/>
    </i>
    <i>
      <x v="10"/>
    </i>
    <i>
      <x v="12"/>
    </i>
    <i>
      <x v="22"/>
    </i>
  </rowItems>
  <colItems count="1">
    <i/>
  </colItems>
  <dataFields count="1">
    <dataField name="Summe von absolut Betrag" fld="9" baseField="6" baseItem="4" numFmtId="164"/>
  </dataFields>
  <pivotTableStyleInfo name="PivotStyleDark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82F563-5683-4822-85DC-514059ED01CD}" name="Pivot_Ausgaben" cacheId="6" applyNumberFormats="0" applyBorderFormats="0" applyFontFormats="0" applyPatternFormats="0" applyAlignmentFormats="0" applyWidthHeightFormats="1" dataCaption="Werte" updatedVersion="8" minRefreshableVersion="3" useAutoFormatting="1" itemPrintTitles="1" createdVersion="8" indent="0" compact="0" compactData="0" multipleFieldFilters="0">
  <location ref="N4:O9" firstHeaderRow="1" firstDataRow="1" firstDataCol="1" rowPageCount="1" colPageCount="1"/>
  <pivotFields count="11">
    <pivotField compact="0" numFmtId="14"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26">
        <item x="1"/>
        <item m="1" x="20"/>
        <item m="1" x="9"/>
        <item m="1" x="24"/>
        <item m="1" x="10"/>
        <item x="0"/>
        <item m="1" x="17"/>
        <item m="1" x="14"/>
        <item m="1" x="19"/>
        <item m="1" x="13"/>
        <item x="2"/>
        <item m="1" x="15"/>
        <item x="4"/>
        <item m="1" x="16"/>
        <item m="1" x="23"/>
        <item m="1" x="11"/>
        <item m="1" x="18"/>
        <item m="1" x="22"/>
        <item m="1" x="21"/>
        <item m="1" x="12"/>
        <item m="1" x="6"/>
        <item m="1" x="8"/>
        <item x="3"/>
        <item m="1" x="5"/>
        <item m="1" x="7"/>
        <item t="default"/>
      </items>
      <autoSortScope>
        <pivotArea dataOnly="0" outline="0" fieldPosition="0">
          <references count="1">
            <reference field="4294967294" count="1" selected="0">
              <x v="0"/>
            </reference>
          </references>
        </pivotArea>
      </autoSortScope>
    </pivotField>
    <pivotField compact="0" outline="0" showAll="0">
      <items count="14">
        <item h="1" m="1" x="3"/>
        <item x="0"/>
        <item h="1" m="1" x="4"/>
        <item h="1" m="1" x="5"/>
        <item h="1" m="1" x="6"/>
        <item h="1" m="1" x="7"/>
        <item h="1" m="1" x="8"/>
        <item h="1" m="1" x="9"/>
        <item h="1" m="1" x="10"/>
        <item h="1" m="1" x="1"/>
        <item h="1" m="1" x="2"/>
        <item h="1" m="1" x="11"/>
        <item h="1" m="1" x="12"/>
        <item t="default"/>
      </items>
    </pivotField>
    <pivotField compact="0" outline="0" showAll="0">
      <items count="6">
        <item m="1" x="2"/>
        <item x="0"/>
        <item m="1" x="1"/>
        <item m="1" x="3"/>
        <item m="1" x="4"/>
        <item t="default"/>
      </items>
    </pivotField>
    <pivotField dataField="1" compact="0" numFmtId="44" outline="0" showAll="0"/>
    <pivotField axis="axisPage" compact="0" outline="0" showAll="0">
      <items count="4">
        <item x="1"/>
        <item x="0"/>
        <item m="1" x="2"/>
        <item t="default"/>
      </items>
    </pivotField>
  </pivotFields>
  <rowFields count="1">
    <field x="6"/>
  </rowFields>
  <rowItems count="5">
    <i>
      <x v="10"/>
    </i>
    <i>
      <x v="22"/>
    </i>
    <i>
      <x v="12"/>
    </i>
    <i>
      <x/>
    </i>
    <i t="grand">
      <x/>
    </i>
  </rowItems>
  <colItems count="1">
    <i/>
  </colItems>
  <pageFields count="1">
    <pageField fld="10" item="0" hier="-1"/>
  </pageFields>
  <dataFields count="1">
    <dataField name="Summe von absolut Betrag" fld="9" baseField="0" baseItem="0" numFmtId="164"/>
  </dataFields>
  <formats count="24">
    <format dxfId="106">
      <pivotArea type="all" dataOnly="0" outline="0" fieldPosition="0"/>
    </format>
    <format dxfId="105">
      <pivotArea outline="0" collapsedLevelsAreSubtotals="1" fieldPosition="0"/>
    </format>
    <format dxfId="104">
      <pivotArea field="6" type="button" dataOnly="0" labelOnly="1" outline="0" axis="axisRow" fieldPosition="0"/>
    </format>
    <format dxfId="103">
      <pivotArea dataOnly="0" labelOnly="1" outline="0" fieldPosition="0">
        <references count="1">
          <reference field="6" count="11">
            <x v="0"/>
            <x v="4"/>
            <x v="7"/>
            <x v="8"/>
            <x v="9"/>
            <x v="11"/>
            <x v="12"/>
            <x v="13"/>
            <x v="14"/>
            <x v="15"/>
            <x v="19"/>
          </reference>
        </references>
      </pivotArea>
    </format>
    <format dxfId="102">
      <pivotArea dataOnly="0" labelOnly="1" grandRow="1" outline="0" fieldPosition="0"/>
    </format>
    <format dxfId="101">
      <pivotArea dataOnly="0" labelOnly="1" outline="0" axis="axisValues" fieldPosition="0"/>
    </format>
    <format dxfId="100">
      <pivotArea type="all" dataOnly="0" outline="0" fieldPosition="0"/>
    </format>
    <format dxfId="99">
      <pivotArea outline="0" collapsedLevelsAreSubtotals="1" fieldPosition="0"/>
    </format>
    <format dxfId="98">
      <pivotArea field="6" type="button" dataOnly="0" labelOnly="1" outline="0" axis="axisRow" fieldPosition="0"/>
    </format>
    <format dxfId="97">
      <pivotArea dataOnly="0" labelOnly="1" outline="0" fieldPosition="0">
        <references count="1">
          <reference field="6" count="11">
            <x v="0"/>
            <x v="4"/>
            <x v="7"/>
            <x v="8"/>
            <x v="9"/>
            <x v="11"/>
            <x v="12"/>
            <x v="13"/>
            <x v="14"/>
            <x v="15"/>
            <x v="19"/>
          </reference>
        </references>
      </pivotArea>
    </format>
    <format dxfId="96">
      <pivotArea dataOnly="0" labelOnly="1" grandRow="1" outline="0" fieldPosition="0"/>
    </format>
    <format dxfId="95">
      <pivotArea dataOnly="0" labelOnly="1" outline="0" axis="axisValues" fieldPosition="0"/>
    </format>
    <format dxfId="94">
      <pivotArea type="all" dataOnly="0" outline="0" fieldPosition="0"/>
    </format>
    <format dxfId="93">
      <pivotArea outline="0" collapsedLevelsAreSubtotals="1" fieldPosition="0"/>
    </format>
    <format dxfId="92">
      <pivotArea field="6" type="button" dataOnly="0" labelOnly="1" outline="0" axis="axisRow" fieldPosition="0"/>
    </format>
    <format dxfId="91">
      <pivotArea dataOnly="0" labelOnly="1" outline="0" fieldPosition="0">
        <references count="1">
          <reference field="6" count="11">
            <x v="0"/>
            <x v="4"/>
            <x v="7"/>
            <x v="8"/>
            <x v="9"/>
            <x v="11"/>
            <x v="12"/>
            <x v="13"/>
            <x v="14"/>
            <x v="15"/>
            <x v="19"/>
          </reference>
        </references>
      </pivotArea>
    </format>
    <format dxfId="90">
      <pivotArea dataOnly="0" labelOnly="1" grandRow="1" outline="0" fieldPosition="0"/>
    </format>
    <format dxfId="89">
      <pivotArea dataOnly="0" labelOnly="1" outline="0" axis="axisValues" fieldPosition="0"/>
    </format>
    <format dxfId="88">
      <pivotArea type="all" dataOnly="0" outline="0" fieldPosition="0"/>
    </format>
    <format dxfId="87">
      <pivotArea outline="0" collapsedLevelsAreSubtotals="1" fieldPosition="0"/>
    </format>
    <format dxfId="86">
      <pivotArea field="6" type="button" dataOnly="0" labelOnly="1" outline="0" axis="axisRow" fieldPosition="0"/>
    </format>
    <format dxfId="85">
      <pivotArea dataOnly="0" labelOnly="1" outline="0" fieldPosition="0">
        <references count="1">
          <reference field="6" count="11">
            <x v="0"/>
            <x v="4"/>
            <x v="7"/>
            <x v="8"/>
            <x v="9"/>
            <x v="11"/>
            <x v="12"/>
            <x v="13"/>
            <x v="14"/>
            <x v="15"/>
            <x v="19"/>
          </reference>
        </references>
      </pivotArea>
    </format>
    <format dxfId="84">
      <pivotArea dataOnly="0" labelOnly="1" grandRow="1" outline="0" fieldPosition="0"/>
    </format>
    <format dxfId="83">
      <pivotArea dataOnly="0" labelOnly="1" outline="0" axis="axisValues" fieldPosition="0"/>
    </format>
  </formats>
  <pivotTableStyleInfo name="PivotStyleLight1"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5AE098A-54DA-4B6D-AAAE-088626780F7D}" name="Pivot_Ausgaben_Top5" cacheId="6" applyNumberFormats="0" applyBorderFormats="0" applyFontFormats="0" applyPatternFormats="0" applyAlignmentFormats="0" applyWidthHeightFormats="1" dataCaption="Werte" updatedVersion="8" minRefreshableVersion="3" useAutoFormatting="1" itemPrintTitles="1" createdVersion="8" indent="0" compact="0" compactData="0" multipleFieldFilters="0" chartFormat="4">
  <location ref="Q4:R9" firstHeaderRow="1" firstDataRow="1" firstDataCol="1" rowPageCount="1" colPageCount="1"/>
  <pivotFields count="11">
    <pivotField compact="0" numFmtId="14" outline="0" showAll="0"/>
    <pivotField compact="0" outline="0" showAll="0"/>
    <pivotField compact="0" outline="0" showAll="0"/>
    <pivotField compact="0" outline="0" showAll="0"/>
    <pivotField compact="0" outline="0" showAll="0"/>
    <pivotField compact="0" outline="0" showAll="0"/>
    <pivotField axis="axisRow" compact="0" outline="0" showAll="0" measureFilter="1" sortType="ascending">
      <items count="26">
        <item x="1"/>
        <item m="1" x="20"/>
        <item m="1" x="9"/>
        <item m="1" x="24"/>
        <item m="1" x="10"/>
        <item x="0"/>
        <item m="1" x="17"/>
        <item m="1" x="14"/>
        <item m="1" x="19"/>
        <item m="1" x="13"/>
        <item x="2"/>
        <item m="1" x="15"/>
        <item x="4"/>
        <item m="1" x="16"/>
        <item m="1" x="23"/>
        <item m="1" x="11"/>
        <item m="1" x="18"/>
        <item m="1" x="22"/>
        <item m="1" x="21"/>
        <item m="1" x="12"/>
        <item m="1" x="6"/>
        <item m="1" x="8"/>
        <item x="3"/>
        <item m="1" x="5"/>
        <item m="1" x="7"/>
        <item t="default"/>
      </items>
      <autoSortScope>
        <pivotArea dataOnly="0" outline="0" fieldPosition="0">
          <references count="1">
            <reference field="4294967294" count="1" selected="0">
              <x v="0"/>
            </reference>
          </references>
        </pivotArea>
      </autoSortScope>
    </pivotField>
    <pivotField compact="0" outline="0" showAll="0">
      <items count="14">
        <item h="1" m="1" x="3"/>
        <item x="0"/>
        <item h="1" m="1" x="4"/>
        <item h="1" m="1" x="5"/>
        <item h="1" m="1" x="6"/>
        <item h="1" m="1" x="7"/>
        <item h="1" m="1" x="8"/>
        <item h="1" m="1" x="9"/>
        <item h="1" m="1" x="10"/>
        <item h="1" m="1" x="1"/>
        <item h="1" m="1" x="2"/>
        <item h="1" m="1" x="11"/>
        <item h="1" m="1" x="12"/>
        <item t="default"/>
      </items>
    </pivotField>
    <pivotField compact="0" outline="0" showAll="0">
      <items count="6">
        <item m="1" x="2"/>
        <item x="0"/>
        <item m="1" x="1"/>
        <item m="1" x="3"/>
        <item m="1" x="4"/>
        <item t="default"/>
      </items>
    </pivotField>
    <pivotField dataField="1" compact="0" numFmtId="44" outline="0" showAll="0"/>
    <pivotField axis="axisPage" compact="0" outline="0" showAll="0">
      <items count="4">
        <item x="1"/>
        <item x="0"/>
        <item m="1" x="2"/>
        <item t="default"/>
      </items>
    </pivotField>
  </pivotFields>
  <rowFields count="1">
    <field x="6"/>
  </rowFields>
  <rowItems count="5">
    <i>
      <x/>
    </i>
    <i>
      <x v="12"/>
    </i>
    <i>
      <x v="22"/>
    </i>
    <i>
      <x v="10"/>
    </i>
    <i t="grand">
      <x/>
    </i>
  </rowItems>
  <colItems count="1">
    <i/>
  </colItems>
  <pageFields count="1">
    <pageField fld="10" item="0" hier="-1"/>
  </pageFields>
  <dataFields count="1">
    <dataField name="Summe von absolut Betrag" fld="9" baseField="0" baseItem="0" numFmtId="164"/>
  </dataFields>
  <formats count="24">
    <format dxfId="130">
      <pivotArea type="all" dataOnly="0" outline="0" fieldPosition="0"/>
    </format>
    <format dxfId="129">
      <pivotArea outline="0" collapsedLevelsAreSubtotals="1" fieldPosition="0"/>
    </format>
    <format dxfId="128">
      <pivotArea field="6" type="button" dataOnly="0" labelOnly="1" outline="0" axis="axisRow" fieldPosition="0"/>
    </format>
    <format dxfId="127">
      <pivotArea dataOnly="0" labelOnly="1" outline="0" fieldPosition="0">
        <references count="1">
          <reference field="6" count="5">
            <x v="9"/>
            <x v="11"/>
            <x v="12"/>
            <x v="13"/>
            <x v="19"/>
          </reference>
        </references>
      </pivotArea>
    </format>
    <format dxfId="126">
      <pivotArea dataOnly="0" labelOnly="1" grandRow="1" outline="0" fieldPosition="0"/>
    </format>
    <format dxfId="125">
      <pivotArea dataOnly="0" labelOnly="1" outline="0" axis="axisValues" fieldPosition="0"/>
    </format>
    <format dxfId="124">
      <pivotArea type="all" dataOnly="0" outline="0" fieldPosition="0"/>
    </format>
    <format dxfId="123">
      <pivotArea outline="0" collapsedLevelsAreSubtotals="1" fieldPosition="0"/>
    </format>
    <format dxfId="122">
      <pivotArea field="6" type="button" dataOnly="0" labelOnly="1" outline="0" axis="axisRow" fieldPosition="0"/>
    </format>
    <format dxfId="121">
      <pivotArea dataOnly="0" labelOnly="1" outline="0" fieldPosition="0">
        <references count="1">
          <reference field="6" count="5">
            <x v="9"/>
            <x v="11"/>
            <x v="12"/>
            <x v="13"/>
            <x v="19"/>
          </reference>
        </references>
      </pivotArea>
    </format>
    <format dxfId="120">
      <pivotArea dataOnly="0" labelOnly="1" grandRow="1" outline="0" fieldPosition="0"/>
    </format>
    <format dxfId="119">
      <pivotArea dataOnly="0" labelOnly="1" outline="0" axis="axisValues" fieldPosition="0"/>
    </format>
    <format dxfId="118">
      <pivotArea type="all" dataOnly="0" outline="0" fieldPosition="0"/>
    </format>
    <format dxfId="117">
      <pivotArea outline="0" collapsedLevelsAreSubtotals="1" fieldPosition="0"/>
    </format>
    <format dxfId="116">
      <pivotArea field="6" type="button" dataOnly="0" labelOnly="1" outline="0" axis="axisRow" fieldPosition="0"/>
    </format>
    <format dxfId="115">
      <pivotArea dataOnly="0" labelOnly="1" outline="0" fieldPosition="0">
        <references count="1">
          <reference field="6" count="5">
            <x v="9"/>
            <x v="11"/>
            <x v="12"/>
            <x v="13"/>
            <x v="19"/>
          </reference>
        </references>
      </pivotArea>
    </format>
    <format dxfId="114">
      <pivotArea dataOnly="0" labelOnly="1" grandRow="1" outline="0" fieldPosition="0"/>
    </format>
    <format dxfId="113">
      <pivotArea dataOnly="0" labelOnly="1" outline="0" axis="axisValues" fieldPosition="0"/>
    </format>
    <format dxfId="112">
      <pivotArea type="all" dataOnly="0" outline="0" fieldPosition="0"/>
    </format>
    <format dxfId="111">
      <pivotArea outline="0" collapsedLevelsAreSubtotals="1" fieldPosition="0"/>
    </format>
    <format dxfId="110">
      <pivotArea field="6" type="button" dataOnly="0" labelOnly="1" outline="0" axis="axisRow" fieldPosition="0"/>
    </format>
    <format dxfId="109">
      <pivotArea dataOnly="0" labelOnly="1" outline="0" fieldPosition="0">
        <references count="1">
          <reference field="6" count="5">
            <x v="9"/>
            <x v="11"/>
            <x v="12"/>
            <x v="13"/>
            <x v="19"/>
          </reference>
        </references>
      </pivotArea>
    </format>
    <format dxfId="108">
      <pivotArea dataOnly="0" labelOnly="1" grandRow="1" outline="0" fieldPosition="0"/>
    </format>
    <format dxfId="107">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 showRowHeaders="1" showColHeaders="1" showRowStripes="1"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EBAC5B3-D94D-4A68-BEEB-548C20EF9552}" name="Vergleich_Pivot1" cacheId="6" applyNumberFormats="0" applyBorderFormats="0" applyFontFormats="0" applyPatternFormats="0" applyAlignmentFormats="0" applyWidthHeightFormats="1" dataCaption="Werte" updatedVersion="8" minRefreshableVersion="3" useAutoFormatting="1" rowGrandTotals="0" colGrandTotals="0" itemPrintTitles="1" createdVersion="8" indent="0" outline="1" outlineData="1" multipleFieldFilters="0">
  <location ref="B56:C61" firstHeaderRow="1" firstDataRow="1" firstDataCol="1"/>
  <pivotFields count="11">
    <pivotField numFmtId="14" showAll="0"/>
    <pivotField showAll="0"/>
    <pivotField showAll="0"/>
    <pivotField showAll="0"/>
    <pivotField showAll="0"/>
    <pivotField showAll="0"/>
    <pivotField axis="axisRow" showAll="0">
      <items count="26">
        <item x="1"/>
        <item m="1" x="20"/>
        <item m="1" x="9"/>
        <item m="1" x="24"/>
        <item m="1" x="10"/>
        <item x="0"/>
        <item m="1" x="17"/>
        <item m="1" x="14"/>
        <item m="1" x="19"/>
        <item m="1" x="13"/>
        <item x="2"/>
        <item m="1" x="15"/>
        <item x="4"/>
        <item m="1" x="16"/>
        <item m="1" x="23"/>
        <item m="1" x="11"/>
        <item m="1" x="18"/>
        <item m="1" x="22"/>
        <item m="1" x="21"/>
        <item m="1" x="12"/>
        <item m="1" x="6"/>
        <item m="1" x="8"/>
        <item x="3"/>
        <item m="1" x="5"/>
        <item m="1" x="7"/>
        <item t="default"/>
      </items>
    </pivotField>
    <pivotField showAll="0">
      <items count="14">
        <item m="1" x="3"/>
        <item x="0"/>
        <item m="1" x="4"/>
        <item m="1" x="5"/>
        <item m="1" x="6"/>
        <item m="1" x="7"/>
        <item m="1" x="8"/>
        <item m="1" x="9"/>
        <item m="1" x="10"/>
        <item m="1" x="1"/>
        <item m="1" x="2"/>
        <item m="1" x="11"/>
        <item m="1" x="12"/>
        <item t="default"/>
      </items>
    </pivotField>
    <pivotField showAll="0">
      <items count="6">
        <item m="1" x="2"/>
        <item x="0"/>
        <item m="1" x="1"/>
        <item m="1" x="3"/>
        <item m="1" x="4"/>
        <item t="default"/>
      </items>
    </pivotField>
    <pivotField dataField="1" numFmtId="44" showAll="0"/>
    <pivotField showAll="0"/>
  </pivotFields>
  <rowFields count="1">
    <field x="6"/>
  </rowFields>
  <rowItems count="5">
    <i>
      <x/>
    </i>
    <i>
      <x v="5"/>
    </i>
    <i>
      <x v="10"/>
    </i>
    <i>
      <x v="12"/>
    </i>
    <i>
      <x v="22"/>
    </i>
  </rowItems>
  <colItems count="1">
    <i/>
  </colItems>
  <dataFields count="1">
    <dataField name="Summe von absolut Betrag" fld="9" baseField="0" baseItem="0" numFmtId="164"/>
  </dataFields>
  <formats count="11">
    <format dxfId="141">
      <pivotArea type="all" dataOnly="0" outline="0" fieldPosition="0"/>
    </format>
    <format dxfId="140">
      <pivotArea outline="0" collapsedLevelsAreSubtotals="1" fieldPosition="0"/>
    </format>
    <format dxfId="139">
      <pivotArea field="6" type="button" dataOnly="0" labelOnly="1" outline="0" axis="axisRow" fieldPosition="0"/>
    </format>
    <format dxfId="138">
      <pivotArea dataOnly="0" labelOnly="1" fieldPosition="0">
        <references count="1">
          <reference field="6" count="18">
            <x v="0"/>
            <x v="2"/>
            <x v="3"/>
            <x v="4"/>
            <x v="5"/>
            <x v="6"/>
            <x v="7"/>
            <x v="8"/>
            <x v="10"/>
            <x v="11"/>
            <x v="12"/>
            <x v="13"/>
            <x v="14"/>
            <x v="15"/>
            <x v="16"/>
            <x v="17"/>
            <x v="18"/>
            <x v="19"/>
          </reference>
        </references>
      </pivotArea>
    </format>
    <format dxfId="137">
      <pivotArea dataOnly="0" labelOnly="1" outline="0" axis="axisValues" fieldPosition="0"/>
    </format>
    <format dxfId="136">
      <pivotArea type="all" dataOnly="0" outline="0" fieldPosition="0"/>
    </format>
    <format dxfId="135">
      <pivotArea outline="0" collapsedLevelsAreSubtotals="1" fieldPosition="0"/>
    </format>
    <format dxfId="134">
      <pivotArea field="6" type="button" dataOnly="0" labelOnly="1" outline="0" axis="axisRow" fieldPosition="0"/>
    </format>
    <format dxfId="133">
      <pivotArea dataOnly="0" labelOnly="1" fieldPosition="0">
        <references count="1">
          <reference field="6" count="18">
            <x v="0"/>
            <x v="2"/>
            <x v="3"/>
            <x v="4"/>
            <x v="5"/>
            <x v="6"/>
            <x v="7"/>
            <x v="8"/>
            <x v="10"/>
            <x v="11"/>
            <x v="12"/>
            <x v="13"/>
            <x v="14"/>
            <x v="15"/>
            <x v="16"/>
            <x v="17"/>
            <x v="18"/>
            <x v="19"/>
          </reference>
        </references>
      </pivotArea>
    </format>
    <format dxfId="132">
      <pivotArea dataOnly="0" labelOnly="1" outline="0" axis="axisValues" fieldPosition="0"/>
    </format>
    <format dxfId="131">
      <pivotArea outline="0" fieldPosition="0">
        <references count="1">
          <reference field="4294967294" count="1">
            <x v="0"/>
          </reference>
        </references>
      </pivotArea>
    </format>
  </formats>
  <pivotTableStyleInfo name="PivotStyleDark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2E681AA-6CB9-41E7-B788-98B662DC3888}" name="Vergleich_Pivot2" cacheId="6" applyNumberFormats="0" applyBorderFormats="0" applyFontFormats="0" applyPatternFormats="0" applyAlignmentFormats="0" applyWidthHeightFormats="1" dataCaption="Werte" updatedVersion="8" minRefreshableVersion="3" useAutoFormatting="1" rowGrandTotals="0" colGrandTotals="0" itemPrintTitles="1" createdVersion="8" indent="0" outline="1" outlineData="1" multipleFieldFilters="0">
  <location ref="E56:F61" firstHeaderRow="1" firstDataRow="1" firstDataCol="1"/>
  <pivotFields count="11">
    <pivotField numFmtId="14" showAll="0"/>
    <pivotField showAll="0"/>
    <pivotField showAll="0"/>
    <pivotField showAll="0"/>
    <pivotField showAll="0"/>
    <pivotField showAll="0"/>
    <pivotField axis="axisRow" showAll="0">
      <items count="26">
        <item x="1"/>
        <item m="1" x="20"/>
        <item m="1" x="9"/>
        <item m="1" x="24"/>
        <item m="1" x="10"/>
        <item x="0"/>
        <item m="1" x="17"/>
        <item m="1" x="14"/>
        <item m="1" x="19"/>
        <item m="1" x="13"/>
        <item x="2"/>
        <item m="1" x="15"/>
        <item x="4"/>
        <item m="1" x="16"/>
        <item m="1" x="23"/>
        <item m="1" x="11"/>
        <item m="1" x="18"/>
        <item m="1" x="22"/>
        <item m="1" x="21"/>
        <item m="1" x="12"/>
        <item m="1" x="6"/>
        <item m="1" x="8"/>
        <item x="3"/>
        <item m="1" x="5"/>
        <item m="1" x="7"/>
        <item t="default"/>
      </items>
    </pivotField>
    <pivotField showAll="0">
      <items count="14">
        <item m="1" x="3"/>
        <item x="0"/>
        <item m="1" x="4"/>
        <item m="1" x="5"/>
        <item m="1" x="6"/>
        <item m="1" x="7"/>
        <item m="1" x="8"/>
        <item m="1" x="9"/>
        <item m="1" x="10"/>
        <item m="1" x="1"/>
        <item m="1" x="2"/>
        <item m="1" x="11"/>
        <item m="1" x="12"/>
        <item t="default"/>
      </items>
    </pivotField>
    <pivotField showAll="0">
      <items count="6">
        <item m="1" x="2"/>
        <item x="0"/>
        <item m="1" x="1"/>
        <item m="1" x="3"/>
        <item m="1" x="4"/>
        <item t="default"/>
      </items>
    </pivotField>
    <pivotField dataField="1" numFmtId="44" showAll="0"/>
    <pivotField showAll="0"/>
  </pivotFields>
  <rowFields count="1">
    <field x="6"/>
  </rowFields>
  <rowItems count="5">
    <i>
      <x/>
    </i>
    <i>
      <x v="5"/>
    </i>
    <i>
      <x v="10"/>
    </i>
    <i>
      <x v="12"/>
    </i>
    <i>
      <x v="22"/>
    </i>
  </rowItems>
  <colItems count="1">
    <i/>
  </colItems>
  <dataFields count="1">
    <dataField name="Summe von absolut Betrag" fld="9" baseField="0" baseItem="0" numFmtId="164"/>
  </dataFields>
  <formats count="11">
    <format dxfId="152">
      <pivotArea type="all" dataOnly="0" outline="0" fieldPosition="0"/>
    </format>
    <format dxfId="151">
      <pivotArea outline="0" collapsedLevelsAreSubtotals="1" fieldPosition="0"/>
    </format>
    <format dxfId="150">
      <pivotArea field="6" type="button" dataOnly="0" labelOnly="1" outline="0" axis="axisRow" fieldPosition="0"/>
    </format>
    <format dxfId="149">
      <pivotArea dataOnly="0" labelOnly="1" fieldPosition="0">
        <references count="1">
          <reference field="6" count="0"/>
        </references>
      </pivotArea>
    </format>
    <format dxfId="148">
      <pivotArea dataOnly="0" labelOnly="1" outline="0" axis="axisValues" fieldPosition="0"/>
    </format>
    <format dxfId="147">
      <pivotArea type="all" dataOnly="0" outline="0" fieldPosition="0"/>
    </format>
    <format dxfId="146">
      <pivotArea outline="0" collapsedLevelsAreSubtotals="1" fieldPosition="0"/>
    </format>
    <format dxfId="145">
      <pivotArea field="6" type="button" dataOnly="0" labelOnly="1" outline="0" axis="axisRow" fieldPosition="0"/>
    </format>
    <format dxfId="144">
      <pivotArea dataOnly="0" labelOnly="1" fieldPosition="0">
        <references count="1">
          <reference field="6" count="0"/>
        </references>
      </pivotArea>
    </format>
    <format dxfId="143">
      <pivotArea dataOnly="0" labelOnly="1" outline="0" axis="axisValues" fieldPosition="0"/>
    </format>
    <format dxfId="142">
      <pivotArea outline="0" fieldPosition="0">
        <references count="1">
          <reference field="4294967294" count="1">
            <x v="0"/>
          </reference>
        </references>
      </pivotArea>
    </format>
  </formats>
  <pivotTableStyleInfo name="PivotStyleDark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F68BF78-33EA-4E63-93CB-F09298DC4A52}" name="Pivot_Durchschnitt" cacheId="6" applyNumberFormats="0" applyBorderFormats="0" applyFontFormats="0" applyPatternFormats="0" applyAlignmentFormats="0" applyWidthHeightFormats="1" dataCaption="Werte" updatedVersion="8" minRefreshableVersion="3" useAutoFormatting="1" rowGrandTotals="0" colGrandTotals="0" itemPrintTitles="1" createdVersion="8" indent="0" compact="0" compactData="0" multipleFieldFilters="0">
  <location ref="L56:N63" firstHeaderRow="1" firstDataRow="3" firstDataCol="1"/>
  <pivotFields count="11">
    <pivotField compact="0" numFmtId="1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5">
        <item x="1"/>
        <item m="1" x="20"/>
        <item m="1" x="9"/>
        <item m="1" x="24"/>
        <item m="1" x="10"/>
        <item x="0"/>
        <item m="1" x="17"/>
        <item m="1" x="14"/>
        <item m="1" x="19"/>
        <item m="1" x="13"/>
        <item x="2"/>
        <item m="1" x="15"/>
        <item x="4"/>
        <item m="1" x="16"/>
        <item m="1" x="23"/>
        <item m="1" x="11"/>
        <item m="1" x="18"/>
        <item m="1" x="22"/>
        <item m="1" x="21"/>
        <item m="1" x="6"/>
        <item m="1" x="12"/>
        <item m="1" x="8"/>
        <item x="3"/>
        <item m="1" x="5"/>
        <item m="1"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5">
        <item m="1" x="2"/>
        <item x="0"/>
        <item m="1" x="1"/>
        <item m="1" x="3"/>
        <item m="1" x="4"/>
      </items>
      <extLst>
        <ext xmlns:x14="http://schemas.microsoft.com/office/spreadsheetml/2009/9/main" uri="{2946ED86-A175-432a-8AC1-64E0C546D7DE}">
          <x14:pivotField fillDownLabels="1"/>
        </ext>
      </extLst>
    </pivotField>
    <pivotField dataField="1" compact="0" numFmtId="4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6"/>
  </rowFields>
  <rowItems count="5">
    <i>
      <x/>
    </i>
    <i>
      <x v="5"/>
    </i>
    <i>
      <x v="10"/>
    </i>
    <i>
      <x v="12"/>
    </i>
    <i>
      <x v="22"/>
    </i>
  </rowItems>
  <colFields count="2">
    <field x="8"/>
    <field x="-2"/>
  </colFields>
  <colItems count="2">
    <i>
      <x v="1"/>
      <x/>
    </i>
    <i r="1" i="1">
      <x v="1"/>
    </i>
  </colItems>
  <dataFields count="2">
    <dataField name="Anzahl von absolut Betrag" fld="9" subtotal="count" baseField="7" baseItem="9"/>
    <dataField name="Summe von absolut Betrag"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1" xr16:uid="{CC61BBDD-672B-42C1-B051-F80CB00A7071}" autoFormatId="16" applyNumberFormats="0" applyBorderFormats="0" applyFontFormats="0" applyPatternFormats="0" applyAlignmentFormats="0" applyWidthHeightFormats="0">
  <queryTableRefresh nextId="12" unboundColumnsRight="4">
    <queryTableFields count="11">
      <queryTableField id="1" name="Buchung" tableColumnId="8"/>
      <queryTableField id="2" name="Auftraggeber/Empfänger" tableColumnId="2"/>
      <queryTableField id="3" name="Buchungstext" tableColumnId="3"/>
      <queryTableField id="4" name="Verwendungszweck" tableColumnId="4"/>
      <queryTableField id="5" name="Betrag" tableColumnId="5"/>
      <queryTableField id="6" name="Währung" tableColumnId="6"/>
      <queryTableField id="7" name="Kategorie" tableColumnId="7"/>
      <queryTableField id="8" dataBound="0" tableColumnId="9"/>
      <queryTableField id="9" dataBound="0" tableColumnId="10"/>
      <queryTableField id="10" dataBound="0" tableColumnId="1"/>
      <queryTableField id="11" dataBound="0"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Jahr" xr10:uid="{6051360A-EBC0-4DBB-B4E1-C100434C02B4}" sourceName="Jahr">
  <pivotTables>
    <pivotTable tabId="4" name="Pivot_Umsatz"/>
    <pivotTable tabId="4" name="Pivot_Ausgaben"/>
    <pivotTable tabId="4" name="Pivot_Ausgaben_Top5"/>
    <pivotTable tabId="4" name="Pivot_Einnahmen"/>
    <pivotTable tabId="4" name="Pivot_Summe_Absolut"/>
  </pivotTables>
  <data>
    <tabular pivotCacheId="968278675">
      <items count="5">
        <i x="0" s="1"/>
        <i x="2" s="1" nd="1"/>
        <i x="1" s="1" nd="1"/>
        <i x="3" s="1" nd="1"/>
        <i x="4"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onat" xr10:uid="{DC2D4391-AB80-416E-B041-79B19C58DB5C}" sourceName="Monat">
  <pivotTables>
    <pivotTable tabId="4" name="Pivot_Ausgaben"/>
    <pivotTable tabId="4" name="Pivot_Ausgaben_Top5"/>
    <pivotTable tabId="4" name="Pivot_Einnahmen"/>
    <pivotTable tabId="4" name="Pivot_Summe_Absolut"/>
  </pivotTables>
  <data>
    <tabular pivotCacheId="968278675">
      <items count="13">
        <i x="0" s="1"/>
        <i x="3" nd="1"/>
        <i x="4" nd="1"/>
        <i x="5" nd="1"/>
        <i x="6" nd="1"/>
        <i x="7" nd="1"/>
        <i x="8" nd="1"/>
        <i x="9" nd="1"/>
        <i x="10" nd="1"/>
        <i x="1" nd="1"/>
        <i x="2" nd="1"/>
        <i x="11" nd="1"/>
        <i x="12"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onat1" xr10:uid="{62F1A36F-D92A-4158-ABBD-64042073FE80}" sourceName="Monat">
  <pivotTables>
    <pivotTable tabId="4" name="Vergleich_Pivot1"/>
  </pivotTables>
  <data>
    <tabular pivotCacheId="968278675" showMissing="0" crossFilter="showItemsWithNoData">
      <items count="13">
        <i x="0" s="1"/>
        <i x="3" s="1" nd="1"/>
        <i x="4" s="1" nd="1"/>
        <i x="5" s="1" nd="1"/>
        <i x="6" s="1" nd="1"/>
        <i x="7" s="1" nd="1"/>
        <i x="8" s="1" nd="1"/>
        <i x="9" s="1" nd="1"/>
        <i x="10" s="1" nd="1"/>
        <i x="1" s="1" nd="1"/>
        <i x="2" s="1" nd="1"/>
        <i x="11" s="1" nd="1"/>
        <i x="1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Jahr1" xr10:uid="{A0B3B3BB-644F-4959-A44B-15830163AE3A}" sourceName="Jahr">
  <pivotTables>
    <pivotTable tabId="4" name="Vergleich_Pivot1"/>
  </pivotTables>
  <data>
    <tabular pivotCacheId="968278675" showMissing="0">
      <items count="5">
        <i x="0" s="1"/>
        <i x="2" s="1" nd="1"/>
        <i x="1" s="1" nd="1"/>
        <i x="3" s="1" nd="1"/>
        <i x="4"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Monat2" xr10:uid="{2A14789A-EA73-42BA-8F0C-4108F9D62E50}" sourceName="Monat">
  <pivotTables>
    <pivotTable tabId="4" name="Vergleich_Pivot2"/>
  </pivotTables>
  <data>
    <tabular pivotCacheId="968278675" showMissing="0" crossFilter="showItemsWithNoData">
      <items count="13">
        <i x="0" s="1"/>
        <i x="3" s="1" nd="1"/>
        <i x="4" s="1" nd="1"/>
        <i x="5" s="1" nd="1"/>
        <i x="6" s="1" nd="1"/>
        <i x="7" s="1" nd="1"/>
        <i x="8" s="1" nd="1"/>
        <i x="9" s="1" nd="1"/>
        <i x="10" s="1" nd="1"/>
        <i x="1" s="1" nd="1"/>
        <i x="2" s="1" nd="1"/>
        <i x="11" s="1" nd="1"/>
        <i x="12"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Jahr2" xr10:uid="{2FEA9C20-2B19-4B71-85EE-6024D7BE5944}" sourceName="Jahr">
  <pivotTables>
    <pivotTable tabId="4" name="Vergleich_Pivot2"/>
  </pivotTables>
  <data>
    <tabular pivotCacheId="968278675" showMissing="0">
      <items count="5">
        <i x="0" s="1"/>
        <i x="2" s="1" nd="1"/>
        <i x="1" s="1" nd="1"/>
        <i x="3" s="1" nd="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ahr" xr10:uid="{9BFE4932-E779-4773-B7FB-427A0844DBEC}" cache="Datenschnitt_Jahr" caption="Jahr" columnCount="2" style="Dashboard" lockedPosition="1" rowHeight="241300"/>
  <slicer name="Monat" xr10:uid="{D48FEA30-F90A-4EDC-86D9-11BA7415B2CB}" cache="Datenschnitt_Monat" caption="Monat" columnCount="12" style="Dashboard"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at_Vergleich_01" xr10:uid="{93DFF296-3404-4829-8371-A65DABB0A518}" cache="Datenschnitt_Monat1" caption="Vergleich 1" columnCount="6" style="Dashboard" rowHeight="216000"/>
  <slicer name="Jahr_Vergleich_01" xr10:uid="{29AEC3B0-07BF-493B-99C2-366CB079E668}" cache="Datenschnitt_Jahr1" style="Dashboard" rowHeight="216000"/>
  <slicer name="Monat_Vergleich_02" xr10:uid="{632E1E43-0213-46C0-AD4E-9162F27621A2}" cache="Datenschnitt_Monat2" caption="Vergleich 2" columnCount="6" style="Dashboard" rowHeight="241300"/>
  <slicer name="Jahr_Vergleich_02" xr10:uid="{3F563C7F-D267-4678-899C-1A6EA4199D31}" cache="Datenschnitt_Jahr2" style="Dashboard"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4D315F-19A4-4914-90DD-FD7F1158C2FC}" name="Data" displayName="Data" ref="A1:K42" tableType="queryTable" totalsRowShown="0">
  <autoFilter ref="A1:K42" xr:uid="{7B4D315F-19A4-4914-90DD-FD7F1158C2FC}"/>
  <tableColumns count="11">
    <tableColumn id="8" xr3:uid="{C7FA21BE-1A66-4083-856F-0E43CAB3EC71}" uniqueName="8" name="Buchung" queryTableFieldId="1" dataDxfId="2"/>
    <tableColumn id="2" xr3:uid="{F30732CF-126F-4FAD-8174-2E78D5DC3AEB}" uniqueName="2" name="Auftraggeber/Empfänger" queryTableFieldId="2" dataDxfId="158"/>
    <tableColumn id="3" xr3:uid="{5573AF91-44CC-4C4F-AA32-CABAF6E6A98F}" uniqueName="3" name="Buchungstext" queryTableFieldId="3" dataDxfId="157"/>
    <tableColumn id="4" xr3:uid="{F255001B-535C-4512-9774-F89EED796A5F}" uniqueName="4" name="Verwendungszweck" queryTableFieldId="4"/>
    <tableColumn id="5" xr3:uid="{578FC94A-3985-4CFB-8846-4946C5ED043C}" uniqueName="5" name="Betrag" queryTableFieldId="5"/>
    <tableColumn id="6" xr3:uid="{C98A4B26-585E-4C58-BDB1-D56F694EEB61}" uniqueName="6" name="Währung" queryTableFieldId="6" dataDxfId="156"/>
    <tableColumn id="7" xr3:uid="{944107BE-86A7-4AAC-9AF8-092B5670DD96}" uniqueName="7" name="Kategorie" queryTableFieldId="7" dataDxfId="155"/>
    <tableColumn id="9" xr3:uid="{06186FD7-D0D7-4E6B-85F7-49A51ACA657F}" uniqueName="9" name="Monat" queryTableFieldId="8" dataDxfId="154">
      <calculatedColumnFormula>TEXT(Data[[#This Row],[Buchung]],"MMM")</calculatedColumnFormula>
    </tableColumn>
    <tableColumn id="10" xr3:uid="{3530A05B-D9A5-482C-BA6E-F12E760E02C7}" uniqueName="10" name="Jahr" queryTableFieldId="9" dataDxfId="1">
      <calculatedColumnFormula>YEAR(Data[[#This Row],[Buchung]])</calculatedColumnFormula>
    </tableColumn>
    <tableColumn id="1" xr3:uid="{CFB0A753-156C-4600-B200-2E62D0550D49}" uniqueName="1" name="absolut Betrag" queryTableFieldId="10" dataDxfId="0" dataCellStyle="Währung">
      <calculatedColumnFormula>ABS(Data[[#This Row],[Betrag]])</calculatedColumnFormula>
    </tableColumn>
    <tableColumn id="11" xr3:uid="{0F77101A-D000-4E28-99D9-E01A324AC12F}" uniqueName="11" name="E/A" queryTableFieldId="11" dataDxfId="153">
      <calculatedColumnFormula>IF(Data[[#This Row],[Betrag]]&lt;0,"A","E")</calculatedColumnFormula>
    </tableColumn>
  </tableColumns>
  <tableStyleInfo name="TableStyleDark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30A79-8A52-4EE2-BB21-EA5D31E6FCB1}">
  <sheetPr codeName="Tabelle1"/>
  <dimension ref="A1:K46"/>
  <sheetViews>
    <sheetView workbookViewId="0">
      <selection activeCell="A2" sqref="A2"/>
    </sheetView>
  </sheetViews>
  <sheetFormatPr baseColWidth="10" defaultRowHeight="15" x14ac:dyDescent="0.25"/>
  <cols>
    <col min="1" max="1" width="10.85546875" bestFit="1" customWidth="1"/>
    <col min="2" max="2" width="25.7109375" bestFit="1" customWidth="1"/>
    <col min="3" max="3" width="20.140625" bestFit="1" customWidth="1"/>
    <col min="4" max="4" width="22.140625" bestFit="1" customWidth="1"/>
    <col min="5" max="5" width="9" bestFit="1" customWidth="1"/>
    <col min="7" max="7" width="12.7109375" bestFit="1" customWidth="1"/>
    <col min="8" max="8" width="9.140625" bestFit="1" customWidth="1"/>
    <col min="9" max="9" width="6.85546875" style="22" bestFit="1" customWidth="1"/>
    <col min="10" max="10" width="17.42578125" style="2" bestFit="1" customWidth="1"/>
    <col min="11" max="11" width="6.42578125" bestFit="1" customWidth="1"/>
  </cols>
  <sheetData>
    <row r="1" spans="1:11" x14ac:dyDescent="0.25">
      <c r="A1" t="s">
        <v>0</v>
      </c>
      <c r="B1" t="s">
        <v>1</v>
      </c>
      <c r="C1" t="s">
        <v>2</v>
      </c>
      <c r="D1" t="s">
        <v>3</v>
      </c>
      <c r="E1" t="s">
        <v>4</v>
      </c>
      <c r="F1" t="s">
        <v>5</v>
      </c>
      <c r="G1" t="s">
        <v>6</v>
      </c>
      <c r="H1" t="s">
        <v>14</v>
      </c>
      <c r="I1" s="22" t="s">
        <v>15</v>
      </c>
      <c r="J1" s="2" t="s">
        <v>17</v>
      </c>
      <c r="K1" t="s">
        <v>19</v>
      </c>
    </row>
    <row r="2" spans="1:11" x14ac:dyDescent="0.25">
      <c r="A2" s="1">
        <v>44599</v>
      </c>
      <c r="B2" t="s">
        <v>51</v>
      </c>
      <c r="C2" t="s">
        <v>52</v>
      </c>
      <c r="D2" t="s">
        <v>53</v>
      </c>
      <c r="E2">
        <v>1000</v>
      </c>
      <c r="F2" t="s">
        <v>7</v>
      </c>
      <c r="G2" t="s">
        <v>9</v>
      </c>
      <c r="H2" t="str">
        <f>TEXT(Data[[#This Row],[Buchung]],"MMM")</f>
        <v>Feb</v>
      </c>
      <c r="I2" s="22">
        <f>YEAR(Data[[#This Row],[Buchung]])</f>
        <v>2022</v>
      </c>
      <c r="J2" s="2">
        <f>ABS(Data[[#This Row],[Betrag]])</f>
        <v>1000</v>
      </c>
      <c r="K2" t="str">
        <f>IF(Data[[#This Row],[Betrag]]&lt;0,"A","E")</f>
        <v>E</v>
      </c>
    </row>
    <row r="3" spans="1:11" x14ac:dyDescent="0.25">
      <c r="A3" s="1">
        <v>44599</v>
      </c>
      <c r="B3" t="s">
        <v>54</v>
      </c>
      <c r="C3" t="s">
        <v>55</v>
      </c>
      <c r="D3" t="s">
        <v>56</v>
      </c>
      <c r="E3">
        <v>-15</v>
      </c>
      <c r="F3" t="s">
        <v>7</v>
      </c>
      <c r="G3" t="s">
        <v>8</v>
      </c>
      <c r="H3" t="str">
        <f>TEXT(Data[[#This Row],[Buchung]],"MMM")</f>
        <v>Feb</v>
      </c>
      <c r="I3" s="22">
        <f>YEAR(Data[[#This Row],[Buchung]])</f>
        <v>2022</v>
      </c>
      <c r="J3" s="2">
        <f>ABS(Data[[#This Row],[Betrag]])</f>
        <v>15</v>
      </c>
      <c r="K3" t="str">
        <f>IF(Data[[#This Row],[Betrag]]&lt;0,"A","E")</f>
        <v>A</v>
      </c>
    </row>
    <row r="4" spans="1:11" x14ac:dyDescent="0.25">
      <c r="A4" s="1">
        <v>44599</v>
      </c>
      <c r="B4" t="s">
        <v>57</v>
      </c>
      <c r="C4" t="s">
        <v>58</v>
      </c>
      <c r="D4" t="s">
        <v>59</v>
      </c>
      <c r="E4">
        <v>-350</v>
      </c>
      <c r="F4" t="s">
        <v>7</v>
      </c>
      <c r="G4" t="s">
        <v>11</v>
      </c>
      <c r="H4" t="str">
        <f>TEXT(Data[[#This Row],[Buchung]],"MMM")</f>
        <v>Feb</v>
      </c>
      <c r="I4" s="22">
        <f>YEAR(Data[[#This Row],[Buchung]])</f>
        <v>2022</v>
      </c>
      <c r="J4" s="2">
        <f>ABS(Data[[#This Row],[Betrag]])</f>
        <v>350</v>
      </c>
      <c r="K4" t="str">
        <f>IF(Data[[#This Row],[Betrag]]&lt;0,"A","E")</f>
        <v>A</v>
      </c>
    </row>
    <row r="5" spans="1:11" x14ac:dyDescent="0.25">
      <c r="A5" s="1">
        <v>44599</v>
      </c>
      <c r="B5" t="s">
        <v>60</v>
      </c>
      <c r="C5" t="s">
        <v>61</v>
      </c>
      <c r="D5" t="s">
        <v>62</v>
      </c>
      <c r="E5">
        <v>-120</v>
      </c>
      <c r="F5" t="s">
        <v>7</v>
      </c>
      <c r="G5" t="s">
        <v>63</v>
      </c>
      <c r="H5" t="str">
        <f>TEXT(Data[[#This Row],[Buchung]],"MMM")</f>
        <v>Feb</v>
      </c>
      <c r="I5" s="22">
        <f>YEAR(Data[[#This Row],[Buchung]])</f>
        <v>2022</v>
      </c>
      <c r="J5" s="2">
        <f>ABS(Data[[#This Row],[Betrag]])</f>
        <v>120</v>
      </c>
      <c r="K5" t="str">
        <f>IF(Data[[#This Row],[Betrag]]&lt;0,"A","E")</f>
        <v>A</v>
      </c>
    </row>
    <row r="6" spans="1:11" x14ac:dyDescent="0.25">
      <c r="A6" s="1">
        <v>44599</v>
      </c>
      <c r="B6" t="s">
        <v>64</v>
      </c>
      <c r="C6" t="s">
        <v>65</v>
      </c>
      <c r="D6" t="s">
        <v>66</v>
      </c>
      <c r="E6">
        <v>-50</v>
      </c>
      <c r="F6" t="s">
        <v>7</v>
      </c>
      <c r="G6" t="s">
        <v>10</v>
      </c>
      <c r="H6" t="str">
        <f>TEXT(Data[[#This Row],[Buchung]],"MMM")</f>
        <v>Feb</v>
      </c>
      <c r="I6" s="22">
        <f>YEAR(Data[[#This Row],[Buchung]])</f>
        <v>2022</v>
      </c>
      <c r="J6" s="2">
        <f>ABS(Data[[#This Row],[Betrag]])</f>
        <v>50</v>
      </c>
      <c r="K6" t="str">
        <f>IF(Data[[#This Row],[Betrag]]&lt;0,"A","E")</f>
        <v>A</v>
      </c>
    </row>
    <row r="7" spans="1:11" x14ac:dyDescent="0.25">
      <c r="A7" s="1">
        <v>44599</v>
      </c>
      <c r="B7" t="s">
        <v>51</v>
      </c>
      <c r="C7" t="s">
        <v>52</v>
      </c>
      <c r="D7" t="s">
        <v>53</v>
      </c>
      <c r="E7">
        <v>1000</v>
      </c>
      <c r="F7" t="s">
        <v>7</v>
      </c>
      <c r="G7" t="s">
        <v>9</v>
      </c>
      <c r="H7" t="str">
        <f>TEXT(Data[[#This Row],[Buchung]],"MMM")</f>
        <v>Feb</v>
      </c>
      <c r="I7" s="22">
        <f>YEAR(Data[[#This Row],[Buchung]])</f>
        <v>2022</v>
      </c>
      <c r="J7" s="2">
        <f>ABS(Data[[#This Row],[Betrag]])</f>
        <v>1000</v>
      </c>
      <c r="K7" t="str">
        <f>IF(Data[[#This Row],[Betrag]]&lt;0,"A","E")</f>
        <v>E</v>
      </c>
    </row>
    <row r="8" spans="1:11" x14ac:dyDescent="0.25">
      <c r="A8" s="1">
        <v>44599</v>
      </c>
      <c r="B8" t="s">
        <v>67</v>
      </c>
      <c r="C8" t="s">
        <v>55</v>
      </c>
      <c r="D8" t="s">
        <v>68</v>
      </c>
      <c r="E8">
        <v>-10</v>
      </c>
      <c r="F8" t="s">
        <v>7</v>
      </c>
      <c r="G8" t="s">
        <v>8</v>
      </c>
      <c r="H8" t="str">
        <f>TEXT(Data[[#This Row],[Buchung]],"MMM")</f>
        <v>Feb</v>
      </c>
      <c r="I8" s="22">
        <f>YEAR(Data[[#This Row],[Buchung]])</f>
        <v>2022</v>
      </c>
      <c r="J8" s="2">
        <f>ABS(Data[[#This Row],[Betrag]])</f>
        <v>10</v>
      </c>
      <c r="K8" t="str">
        <f>IF(Data[[#This Row],[Betrag]]&lt;0,"A","E")</f>
        <v>A</v>
      </c>
    </row>
    <row r="9" spans="1:11" x14ac:dyDescent="0.25">
      <c r="A9" s="1">
        <v>44599</v>
      </c>
      <c r="B9" t="s">
        <v>69</v>
      </c>
      <c r="C9" t="s">
        <v>70</v>
      </c>
      <c r="D9" t="s">
        <v>71</v>
      </c>
      <c r="E9">
        <v>-60</v>
      </c>
      <c r="F9" t="s">
        <v>7</v>
      </c>
      <c r="G9" t="s">
        <v>11</v>
      </c>
      <c r="H9" t="str">
        <f>TEXT(Data[[#This Row],[Buchung]],"MMM")</f>
        <v>Feb</v>
      </c>
      <c r="I9" s="22">
        <f>YEAR(Data[[#This Row],[Buchung]])</f>
        <v>2022</v>
      </c>
      <c r="J9" s="2">
        <f>ABS(Data[[#This Row],[Betrag]])</f>
        <v>60</v>
      </c>
      <c r="K9" t="str">
        <f>IF(Data[[#This Row],[Betrag]]&lt;0,"A","E")</f>
        <v>A</v>
      </c>
    </row>
    <row r="10" spans="1:11" x14ac:dyDescent="0.25">
      <c r="A10" s="1">
        <v>44599</v>
      </c>
      <c r="B10" t="s">
        <v>60</v>
      </c>
      <c r="C10" t="s">
        <v>61</v>
      </c>
      <c r="D10" t="s">
        <v>72</v>
      </c>
      <c r="E10">
        <v>-80</v>
      </c>
      <c r="F10" t="s">
        <v>7</v>
      </c>
      <c r="G10" t="s">
        <v>63</v>
      </c>
      <c r="H10" t="str">
        <f>TEXT(Data[[#This Row],[Buchung]],"MMM")</f>
        <v>Feb</v>
      </c>
      <c r="I10" s="22">
        <f>YEAR(Data[[#This Row],[Buchung]])</f>
        <v>2022</v>
      </c>
      <c r="J10" s="2">
        <f>ABS(Data[[#This Row],[Betrag]])</f>
        <v>80</v>
      </c>
      <c r="K10" t="str">
        <f>IF(Data[[#This Row],[Betrag]]&lt;0,"A","E")</f>
        <v>A</v>
      </c>
    </row>
    <row r="11" spans="1:11" x14ac:dyDescent="0.25">
      <c r="A11" s="1">
        <v>44599</v>
      </c>
      <c r="B11" t="s">
        <v>73</v>
      </c>
      <c r="C11" t="s">
        <v>65</v>
      </c>
      <c r="D11" t="s">
        <v>74</v>
      </c>
      <c r="E11">
        <v>-20</v>
      </c>
      <c r="F11" t="s">
        <v>7</v>
      </c>
      <c r="G11" t="s">
        <v>10</v>
      </c>
      <c r="H11" t="str">
        <f>TEXT(Data[[#This Row],[Buchung]],"MMM")</f>
        <v>Feb</v>
      </c>
      <c r="I11" s="22">
        <f>YEAR(Data[[#This Row],[Buchung]])</f>
        <v>2022</v>
      </c>
      <c r="J11" s="2">
        <f>ABS(Data[[#This Row],[Betrag]])</f>
        <v>20</v>
      </c>
      <c r="K11" t="str">
        <f>IF(Data[[#This Row],[Betrag]]&lt;0,"A","E")</f>
        <v>A</v>
      </c>
    </row>
    <row r="12" spans="1:11" x14ac:dyDescent="0.25">
      <c r="A12" s="1">
        <v>44599</v>
      </c>
      <c r="B12" t="s">
        <v>51</v>
      </c>
      <c r="C12" t="s">
        <v>52</v>
      </c>
      <c r="D12" t="s">
        <v>53</v>
      </c>
      <c r="E12">
        <v>1000</v>
      </c>
      <c r="F12" t="s">
        <v>7</v>
      </c>
      <c r="G12" t="s">
        <v>9</v>
      </c>
      <c r="H12" t="str">
        <f>TEXT(Data[[#This Row],[Buchung]],"MMM")</f>
        <v>Feb</v>
      </c>
      <c r="I12" s="22">
        <f>YEAR(Data[[#This Row],[Buchung]])</f>
        <v>2022</v>
      </c>
      <c r="J12" s="2">
        <f>ABS(Data[[#This Row],[Betrag]])</f>
        <v>1000</v>
      </c>
      <c r="K12" t="str">
        <f>IF(Data[[#This Row],[Betrag]]&lt;0,"A","E")</f>
        <v>E</v>
      </c>
    </row>
    <row r="13" spans="1:11" x14ac:dyDescent="0.25">
      <c r="A13" s="1">
        <v>44599</v>
      </c>
      <c r="B13" t="s">
        <v>54</v>
      </c>
      <c r="C13" t="s">
        <v>55</v>
      </c>
      <c r="D13" t="s">
        <v>56</v>
      </c>
      <c r="E13">
        <v>-15</v>
      </c>
      <c r="F13" t="s">
        <v>7</v>
      </c>
      <c r="G13" t="s">
        <v>8</v>
      </c>
      <c r="H13" t="str">
        <f>TEXT(Data[[#This Row],[Buchung]],"MMM")</f>
        <v>Feb</v>
      </c>
      <c r="I13" s="22">
        <f>YEAR(Data[[#This Row],[Buchung]])</f>
        <v>2022</v>
      </c>
      <c r="J13" s="2">
        <f>ABS(Data[[#This Row],[Betrag]])</f>
        <v>15</v>
      </c>
      <c r="K13" t="str">
        <f>IF(Data[[#This Row],[Betrag]]&lt;0,"A","E")</f>
        <v>A</v>
      </c>
    </row>
    <row r="14" spans="1:11" x14ac:dyDescent="0.25">
      <c r="A14" s="1">
        <v>44599</v>
      </c>
      <c r="B14" t="s">
        <v>57</v>
      </c>
      <c r="C14" t="s">
        <v>58</v>
      </c>
      <c r="D14" t="s">
        <v>59</v>
      </c>
      <c r="E14">
        <v>-350</v>
      </c>
      <c r="F14" t="s">
        <v>7</v>
      </c>
      <c r="G14" t="s">
        <v>11</v>
      </c>
      <c r="H14" t="str">
        <f>TEXT(Data[[#This Row],[Buchung]],"MMM")</f>
        <v>Feb</v>
      </c>
      <c r="I14" s="22">
        <f>YEAR(Data[[#This Row],[Buchung]])</f>
        <v>2022</v>
      </c>
      <c r="J14" s="2">
        <f>ABS(Data[[#This Row],[Betrag]])</f>
        <v>350</v>
      </c>
      <c r="K14" t="str">
        <f>IF(Data[[#This Row],[Betrag]]&lt;0,"A","E")</f>
        <v>A</v>
      </c>
    </row>
    <row r="15" spans="1:11" x14ac:dyDescent="0.25">
      <c r="A15" s="1">
        <v>44599</v>
      </c>
      <c r="B15" t="s">
        <v>60</v>
      </c>
      <c r="C15" t="s">
        <v>61</v>
      </c>
      <c r="D15" t="s">
        <v>62</v>
      </c>
      <c r="E15">
        <v>-120</v>
      </c>
      <c r="F15" t="s">
        <v>7</v>
      </c>
      <c r="G15" t="s">
        <v>63</v>
      </c>
      <c r="H15" t="str">
        <f>TEXT(Data[[#This Row],[Buchung]],"MMM")</f>
        <v>Feb</v>
      </c>
      <c r="I15" s="22">
        <f>YEAR(Data[[#This Row],[Buchung]])</f>
        <v>2022</v>
      </c>
      <c r="J15" s="2">
        <f>ABS(Data[[#This Row],[Betrag]])</f>
        <v>120</v>
      </c>
      <c r="K15" t="str">
        <f>IF(Data[[#This Row],[Betrag]]&lt;0,"A","E")</f>
        <v>A</v>
      </c>
    </row>
    <row r="16" spans="1:11" x14ac:dyDescent="0.25">
      <c r="A16" s="1">
        <v>44599</v>
      </c>
      <c r="B16" t="s">
        <v>64</v>
      </c>
      <c r="C16" t="s">
        <v>65</v>
      </c>
      <c r="D16" t="s">
        <v>66</v>
      </c>
      <c r="E16">
        <v>-60</v>
      </c>
      <c r="F16" t="s">
        <v>7</v>
      </c>
      <c r="G16" t="s">
        <v>10</v>
      </c>
      <c r="H16" t="str">
        <f>TEXT(Data[[#This Row],[Buchung]],"MMM")</f>
        <v>Feb</v>
      </c>
      <c r="I16" s="22">
        <f>YEAR(Data[[#This Row],[Buchung]])</f>
        <v>2022</v>
      </c>
      <c r="J16" s="2">
        <f>ABS(Data[[#This Row],[Betrag]])</f>
        <v>60</v>
      </c>
      <c r="K16" t="str">
        <f>IF(Data[[#This Row],[Betrag]]&lt;0,"A","E")</f>
        <v>A</v>
      </c>
    </row>
    <row r="17" spans="1:11" x14ac:dyDescent="0.25">
      <c r="A17" s="1">
        <v>44599</v>
      </c>
      <c r="B17" t="s">
        <v>51</v>
      </c>
      <c r="C17" t="s">
        <v>52</v>
      </c>
      <c r="D17" t="s">
        <v>53</v>
      </c>
      <c r="E17">
        <v>1000</v>
      </c>
      <c r="F17" t="s">
        <v>7</v>
      </c>
      <c r="G17" t="s">
        <v>9</v>
      </c>
      <c r="H17" t="str">
        <f>TEXT(Data[[#This Row],[Buchung]],"MMM")</f>
        <v>Feb</v>
      </c>
      <c r="I17" s="22">
        <f>YEAR(Data[[#This Row],[Buchung]])</f>
        <v>2022</v>
      </c>
      <c r="J17" s="2">
        <f>ABS(Data[[#This Row],[Betrag]])</f>
        <v>1000</v>
      </c>
      <c r="K17" t="str">
        <f>IF(Data[[#This Row],[Betrag]]&lt;0,"A","E")</f>
        <v>E</v>
      </c>
    </row>
    <row r="18" spans="1:11" x14ac:dyDescent="0.25">
      <c r="A18" s="1">
        <v>44599</v>
      </c>
      <c r="B18" t="s">
        <v>67</v>
      </c>
      <c r="C18" t="s">
        <v>55</v>
      </c>
      <c r="D18" t="s">
        <v>68</v>
      </c>
      <c r="E18">
        <v>-10</v>
      </c>
      <c r="F18" t="s">
        <v>7</v>
      </c>
      <c r="G18" t="s">
        <v>8</v>
      </c>
      <c r="H18" t="str">
        <f>TEXT(Data[[#This Row],[Buchung]],"MMM")</f>
        <v>Feb</v>
      </c>
      <c r="I18" s="22">
        <f>YEAR(Data[[#This Row],[Buchung]])</f>
        <v>2022</v>
      </c>
      <c r="J18" s="2">
        <f>ABS(Data[[#This Row],[Betrag]])</f>
        <v>10</v>
      </c>
      <c r="K18" t="str">
        <f>IF(Data[[#This Row],[Betrag]]&lt;0,"A","E")</f>
        <v>A</v>
      </c>
    </row>
    <row r="19" spans="1:11" x14ac:dyDescent="0.25">
      <c r="A19" s="1">
        <v>44599</v>
      </c>
      <c r="B19" t="s">
        <v>69</v>
      </c>
      <c r="C19" t="s">
        <v>70</v>
      </c>
      <c r="D19" t="s">
        <v>71</v>
      </c>
      <c r="E19">
        <v>-70</v>
      </c>
      <c r="F19" t="s">
        <v>7</v>
      </c>
      <c r="G19" t="s">
        <v>11</v>
      </c>
      <c r="H19" t="str">
        <f>TEXT(Data[[#This Row],[Buchung]],"MMM")</f>
        <v>Feb</v>
      </c>
      <c r="I19" s="22">
        <f>YEAR(Data[[#This Row],[Buchung]])</f>
        <v>2022</v>
      </c>
      <c r="J19" s="2">
        <f>ABS(Data[[#This Row],[Betrag]])</f>
        <v>70</v>
      </c>
      <c r="K19" t="str">
        <f>IF(Data[[#This Row],[Betrag]]&lt;0,"A","E")</f>
        <v>A</v>
      </c>
    </row>
    <row r="20" spans="1:11" x14ac:dyDescent="0.25">
      <c r="A20" s="1">
        <v>44599</v>
      </c>
      <c r="B20" t="s">
        <v>60</v>
      </c>
      <c r="C20" t="s">
        <v>61</v>
      </c>
      <c r="D20" t="s">
        <v>72</v>
      </c>
      <c r="E20">
        <v>-80</v>
      </c>
      <c r="F20" t="s">
        <v>7</v>
      </c>
      <c r="G20" t="s">
        <v>63</v>
      </c>
      <c r="H20" t="str">
        <f>TEXT(Data[[#This Row],[Buchung]],"MMM")</f>
        <v>Feb</v>
      </c>
      <c r="I20" s="22">
        <f>YEAR(Data[[#This Row],[Buchung]])</f>
        <v>2022</v>
      </c>
      <c r="J20" s="2">
        <f>ABS(Data[[#This Row],[Betrag]])</f>
        <v>80</v>
      </c>
      <c r="K20" t="str">
        <f>IF(Data[[#This Row],[Betrag]]&lt;0,"A","E")</f>
        <v>A</v>
      </c>
    </row>
    <row r="21" spans="1:11" x14ac:dyDescent="0.25">
      <c r="A21" s="1">
        <v>44599</v>
      </c>
      <c r="B21" t="s">
        <v>73</v>
      </c>
      <c r="C21" t="s">
        <v>65</v>
      </c>
      <c r="D21" t="s">
        <v>74</v>
      </c>
      <c r="E21">
        <v>-25</v>
      </c>
      <c r="F21" t="s">
        <v>7</v>
      </c>
      <c r="G21" t="s">
        <v>10</v>
      </c>
      <c r="H21" t="str">
        <f>TEXT(Data[[#This Row],[Buchung]],"MMM")</f>
        <v>Feb</v>
      </c>
      <c r="I21" s="22">
        <f>YEAR(Data[[#This Row],[Buchung]])</f>
        <v>2022</v>
      </c>
      <c r="J21" s="2">
        <f>ABS(Data[[#This Row],[Betrag]])</f>
        <v>25</v>
      </c>
      <c r="K21" t="str">
        <f>IF(Data[[#This Row],[Betrag]]&lt;0,"A","E")</f>
        <v>A</v>
      </c>
    </row>
    <row r="22" spans="1:11" x14ac:dyDescent="0.25">
      <c r="A22" s="1">
        <v>44599</v>
      </c>
      <c r="B22" t="s">
        <v>51</v>
      </c>
      <c r="C22" t="s">
        <v>52</v>
      </c>
      <c r="D22" t="s">
        <v>53</v>
      </c>
      <c r="E22">
        <v>1000</v>
      </c>
      <c r="F22" t="s">
        <v>7</v>
      </c>
      <c r="G22" t="s">
        <v>9</v>
      </c>
      <c r="H22" t="str">
        <f>TEXT(Data[[#This Row],[Buchung]],"MMM")</f>
        <v>Feb</v>
      </c>
      <c r="I22" s="22">
        <f>YEAR(Data[[#This Row],[Buchung]])</f>
        <v>2022</v>
      </c>
      <c r="J22" s="2">
        <f>ABS(Data[[#This Row],[Betrag]])</f>
        <v>1000</v>
      </c>
      <c r="K22" t="str">
        <f>IF(Data[[#This Row],[Betrag]]&lt;0,"A","E")</f>
        <v>E</v>
      </c>
    </row>
    <row r="23" spans="1:11" x14ac:dyDescent="0.25">
      <c r="A23" s="1">
        <v>44599</v>
      </c>
      <c r="B23" t="s">
        <v>54</v>
      </c>
      <c r="C23" t="s">
        <v>55</v>
      </c>
      <c r="D23" t="s">
        <v>56</v>
      </c>
      <c r="E23">
        <v>-15</v>
      </c>
      <c r="F23" t="s">
        <v>7</v>
      </c>
      <c r="G23" t="s">
        <v>8</v>
      </c>
      <c r="H23" t="str">
        <f>TEXT(Data[[#This Row],[Buchung]],"MMM")</f>
        <v>Feb</v>
      </c>
      <c r="I23" s="22">
        <f>YEAR(Data[[#This Row],[Buchung]])</f>
        <v>2022</v>
      </c>
      <c r="J23" s="2">
        <f>ABS(Data[[#This Row],[Betrag]])</f>
        <v>15</v>
      </c>
      <c r="K23" t="str">
        <f>IF(Data[[#This Row],[Betrag]]&lt;0,"A","E")</f>
        <v>A</v>
      </c>
    </row>
    <row r="24" spans="1:11" x14ac:dyDescent="0.25">
      <c r="A24" s="1">
        <v>44599</v>
      </c>
      <c r="B24" t="s">
        <v>57</v>
      </c>
      <c r="C24" t="s">
        <v>58</v>
      </c>
      <c r="D24" t="s">
        <v>59</v>
      </c>
      <c r="E24">
        <v>-350</v>
      </c>
      <c r="F24" t="s">
        <v>7</v>
      </c>
      <c r="G24" t="s">
        <v>11</v>
      </c>
      <c r="H24" t="str">
        <f>TEXT(Data[[#This Row],[Buchung]],"MMM")</f>
        <v>Feb</v>
      </c>
      <c r="I24" s="22">
        <f>YEAR(Data[[#This Row],[Buchung]])</f>
        <v>2022</v>
      </c>
      <c r="J24" s="2">
        <f>ABS(Data[[#This Row],[Betrag]])</f>
        <v>350</v>
      </c>
      <c r="K24" t="str">
        <f>IF(Data[[#This Row],[Betrag]]&lt;0,"A","E")</f>
        <v>A</v>
      </c>
    </row>
    <row r="25" spans="1:11" x14ac:dyDescent="0.25">
      <c r="A25" s="1">
        <v>44599</v>
      </c>
      <c r="B25" t="s">
        <v>60</v>
      </c>
      <c r="C25" t="s">
        <v>61</v>
      </c>
      <c r="D25" t="s">
        <v>62</v>
      </c>
      <c r="E25">
        <v>-120</v>
      </c>
      <c r="F25" t="s">
        <v>7</v>
      </c>
      <c r="G25" t="s">
        <v>63</v>
      </c>
      <c r="H25" t="str">
        <f>TEXT(Data[[#This Row],[Buchung]],"MMM")</f>
        <v>Feb</v>
      </c>
      <c r="I25" s="22">
        <f>YEAR(Data[[#This Row],[Buchung]])</f>
        <v>2022</v>
      </c>
      <c r="J25" s="2">
        <f>ABS(Data[[#This Row],[Betrag]])</f>
        <v>120</v>
      </c>
      <c r="K25" t="str">
        <f>IF(Data[[#This Row],[Betrag]]&lt;0,"A","E")</f>
        <v>A</v>
      </c>
    </row>
    <row r="26" spans="1:11" x14ac:dyDescent="0.25">
      <c r="A26" s="1">
        <v>44599</v>
      </c>
      <c r="B26" t="s">
        <v>64</v>
      </c>
      <c r="C26" t="s">
        <v>65</v>
      </c>
      <c r="D26" t="s">
        <v>66</v>
      </c>
      <c r="E26">
        <v>-70</v>
      </c>
      <c r="F26" t="s">
        <v>7</v>
      </c>
      <c r="G26" t="s">
        <v>10</v>
      </c>
      <c r="H26" t="str">
        <f>TEXT(Data[[#This Row],[Buchung]],"MMM")</f>
        <v>Feb</v>
      </c>
      <c r="I26" s="22">
        <f>YEAR(Data[[#This Row],[Buchung]])</f>
        <v>2022</v>
      </c>
      <c r="J26" s="2">
        <f>ABS(Data[[#This Row],[Betrag]])</f>
        <v>70</v>
      </c>
      <c r="K26" t="str">
        <f>IF(Data[[#This Row],[Betrag]]&lt;0,"A","E")</f>
        <v>A</v>
      </c>
    </row>
    <row r="27" spans="1:11" x14ac:dyDescent="0.25">
      <c r="A27" s="1">
        <v>44599</v>
      </c>
      <c r="B27" t="s">
        <v>51</v>
      </c>
      <c r="C27" t="s">
        <v>52</v>
      </c>
      <c r="D27" t="s">
        <v>53</v>
      </c>
      <c r="E27">
        <v>1000</v>
      </c>
      <c r="F27" t="s">
        <v>7</v>
      </c>
      <c r="G27" t="s">
        <v>9</v>
      </c>
      <c r="H27" t="str">
        <f>TEXT(Data[[#This Row],[Buchung]],"MMM")</f>
        <v>Feb</v>
      </c>
      <c r="I27" s="22">
        <f>YEAR(Data[[#This Row],[Buchung]])</f>
        <v>2022</v>
      </c>
      <c r="J27" s="2">
        <f>ABS(Data[[#This Row],[Betrag]])</f>
        <v>1000</v>
      </c>
      <c r="K27" t="str">
        <f>IF(Data[[#This Row],[Betrag]]&lt;0,"A","E")</f>
        <v>E</v>
      </c>
    </row>
    <row r="28" spans="1:11" x14ac:dyDescent="0.25">
      <c r="A28" s="1">
        <v>44599</v>
      </c>
      <c r="B28" t="s">
        <v>67</v>
      </c>
      <c r="C28" t="s">
        <v>55</v>
      </c>
      <c r="D28" t="s">
        <v>68</v>
      </c>
      <c r="E28">
        <v>-10</v>
      </c>
      <c r="F28" t="s">
        <v>7</v>
      </c>
      <c r="G28" t="s">
        <v>8</v>
      </c>
      <c r="H28" t="str">
        <f>TEXT(Data[[#This Row],[Buchung]],"MMM")</f>
        <v>Feb</v>
      </c>
      <c r="I28" s="22">
        <f>YEAR(Data[[#This Row],[Buchung]])</f>
        <v>2022</v>
      </c>
      <c r="J28" s="2">
        <f>ABS(Data[[#This Row],[Betrag]])</f>
        <v>10</v>
      </c>
      <c r="K28" t="str">
        <f>IF(Data[[#This Row],[Betrag]]&lt;0,"A","E")</f>
        <v>A</v>
      </c>
    </row>
    <row r="29" spans="1:11" x14ac:dyDescent="0.25">
      <c r="A29" s="1">
        <v>44599</v>
      </c>
      <c r="B29" t="s">
        <v>69</v>
      </c>
      <c r="C29" t="s">
        <v>70</v>
      </c>
      <c r="D29" t="s">
        <v>71</v>
      </c>
      <c r="E29">
        <v>-60</v>
      </c>
      <c r="F29" t="s">
        <v>7</v>
      </c>
      <c r="G29" t="s">
        <v>11</v>
      </c>
      <c r="H29" t="str">
        <f>TEXT(Data[[#This Row],[Buchung]],"MMM")</f>
        <v>Feb</v>
      </c>
      <c r="I29" s="22">
        <f>YEAR(Data[[#This Row],[Buchung]])</f>
        <v>2022</v>
      </c>
      <c r="J29" s="2">
        <f>ABS(Data[[#This Row],[Betrag]])</f>
        <v>60</v>
      </c>
      <c r="K29" t="str">
        <f>IF(Data[[#This Row],[Betrag]]&lt;0,"A","E")</f>
        <v>A</v>
      </c>
    </row>
    <row r="30" spans="1:11" x14ac:dyDescent="0.25">
      <c r="A30" s="1">
        <v>44599</v>
      </c>
      <c r="B30" t="s">
        <v>60</v>
      </c>
      <c r="C30" t="s">
        <v>61</v>
      </c>
      <c r="D30" t="s">
        <v>72</v>
      </c>
      <c r="E30">
        <v>-80</v>
      </c>
      <c r="F30" t="s">
        <v>7</v>
      </c>
      <c r="G30" t="s">
        <v>63</v>
      </c>
      <c r="H30" t="str">
        <f>TEXT(Data[[#This Row],[Buchung]],"MMM")</f>
        <v>Feb</v>
      </c>
      <c r="I30" s="22">
        <f>YEAR(Data[[#This Row],[Buchung]])</f>
        <v>2022</v>
      </c>
      <c r="J30" s="2">
        <f>ABS(Data[[#This Row],[Betrag]])</f>
        <v>80</v>
      </c>
      <c r="K30" t="str">
        <f>IF(Data[[#This Row],[Betrag]]&lt;0,"A","E")</f>
        <v>A</v>
      </c>
    </row>
    <row r="31" spans="1:11" x14ac:dyDescent="0.25">
      <c r="A31" s="1">
        <v>44599</v>
      </c>
      <c r="B31" t="s">
        <v>73</v>
      </c>
      <c r="C31" t="s">
        <v>65</v>
      </c>
      <c r="D31" t="s">
        <v>74</v>
      </c>
      <c r="E31">
        <v>-30</v>
      </c>
      <c r="F31" t="s">
        <v>7</v>
      </c>
      <c r="G31" t="s">
        <v>10</v>
      </c>
      <c r="H31" t="str">
        <f>TEXT(Data[[#This Row],[Buchung]],"MMM")</f>
        <v>Feb</v>
      </c>
      <c r="I31" s="22">
        <f>YEAR(Data[[#This Row],[Buchung]])</f>
        <v>2022</v>
      </c>
      <c r="J31" s="2">
        <f>ABS(Data[[#This Row],[Betrag]])</f>
        <v>30</v>
      </c>
      <c r="K31" t="str">
        <f>IF(Data[[#This Row],[Betrag]]&lt;0,"A","E")</f>
        <v>A</v>
      </c>
    </row>
    <row r="32" spans="1:11" x14ac:dyDescent="0.25">
      <c r="A32" s="1">
        <v>44599</v>
      </c>
      <c r="B32" t="s">
        <v>51</v>
      </c>
      <c r="C32" t="s">
        <v>52</v>
      </c>
      <c r="D32" t="s">
        <v>53</v>
      </c>
      <c r="E32">
        <v>1000</v>
      </c>
      <c r="F32" t="s">
        <v>7</v>
      </c>
      <c r="G32" t="s">
        <v>9</v>
      </c>
      <c r="H32" t="str">
        <f>TEXT(Data[[#This Row],[Buchung]],"MMM")</f>
        <v>Feb</v>
      </c>
      <c r="I32" s="22">
        <f>YEAR(Data[[#This Row],[Buchung]])</f>
        <v>2022</v>
      </c>
      <c r="J32" s="2">
        <f>ABS(Data[[#This Row],[Betrag]])</f>
        <v>1000</v>
      </c>
      <c r="K32" t="str">
        <f>IF(Data[[#This Row],[Betrag]]&lt;0,"A","E")</f>
        <v>E</v>
      </c>
    </row>
    <row r="33" spans="1:11" x14ac:dyDescent="0.25">
      <c r="A33" s="1">
        <v>44599</v>
      </c>
      <c r="B33" t="s">
        <v>54</v>
      </c>
      <c r="C33" t="s">
        <v>55</v>
      </c>
      <c r="D33" t="s">
        <v>56</v>
      </c>
      <c r="E33">
        <v>-15</v>
      </c>
      <c r="F33" t="s">
        <v>7</v>
      </c>
      <c r="G33" t="s">
        <v>8</v>
      </c>
      <c r="H33" t="str">
        <f>TEXT(Data[[#This Row],[Buchung]],"MMM")</f>
        <v>Feb</v>
      </c>
      <c r="I33" s="22">
        <f>YEAR(Data[[#This Row],[Buchung]])</f>
        <v>2022</v>
      </c>
      <c r="J33" s="2">
        <f>ABS(Data[[#This Row],[Betrag]])</f>
        <v>15</v>
      </c>
      <c r="K33" t="str">
        <f>IF(Data[[#This Row],[Betrag]]&lt;0,"A","E")</f>
        <v>A</v>
      </c>
    </row>
    <row r="34" spans="1:11" x14ac:dyDescent="0.25">
      <c r="A34" s="1">
        <v>44599</v>
      </c>
      <c r="B34" t="s">
        <v>57</v>
      </c>
      <c r="C34" t="s">
        <v>58</v>
      </c>
      <c r="D34" t="s">
        <v>59</v>
      </c>
      <c r="E34">
        <v>-350</v>
      </c>
      <c r="F34" t="s">
        <v>7</v>
      </c>
      <c r="G34" t="s">
        <v>11</v>
      </c>
      <c r="H34" t="str">
        <f>TEXT(Data[[#This Row],[Buchung]],"MMM")</f>
        <v>Feb</v>
      </c>
      <c r="I34" s="22">
        <f>YEAR(Data[[#This Row],[Buchung]])</f>
        <v>2022</v>
      </c>
      <c r="J34" s="2">
        <f>ABS(Data[[#This Row],[Betrag]])</f>
        <v>350</v>
      </c>
      <c r="K34" t="str">
        <f>IF(Data[[#This Row],[Betrag]]&lt;0,"A","E")</f>
        <v>A</v>
      </c>
    </row>
    <row r="35" spans="1:11" x14ac:dyDescent="0.25">
      <c r="A35" s="1">
        <v>44599</v>
      </c>
      <c r="B35" t="s">
        <v>60</v>
      </c>
      <c r="C35" t="s">
        <v>61</v>
      </c>
      <c r="D35" t="s">
        <v>62</v>
      </c>
      <c r="E35">
        <v>-120</v>
      </c>
      <c r="F35" t="s">
        <v>7</v>
      </c>
      <c r="G35" t="s">
        <v>63</v>
      </c>
      <c r="H35" t="str">
        <f>TEXT(Data[[#This Row],[Buchung]],"MMM")</f>
        <v>Feb</v>
      </c>
      <c r="I35" s="22">
        <f>YEAR(Data[[#This Row],[Buchung]])</f>
        <v>2022</v>
      </c>
      <c r="J35" s="2">
        <f>ABS(Data[[#This Row],[Betrag]])</f>
        <v>120</v>
      </c>
      <c r="K35" t="str">
        <f>IF(Data[[#This Row],[Betrag]]&lt;0,"A","E")</f>
        <v>A</v>
      </c>
    </row>
    <row r="36" spans="1:11" x14ac:dyDescent="0.25">
      <c r="A36" s="1">
        <v>44599</v>
      </c>
      <c r="B36" t="s">
        <v>64</v>
      </c>
      <c r="C36" t="s">
        <v>65</v>
      </c>
      <c r="D36" t="s">
        <v>66</v>
      </c>
      <c r="E36">
        <v>-80</v>
      </c>
      <c r="F36" t="s">
        <v>7</v>
      </c>
      <c r="G36" t="s">
        <v>10</v>
      </c>
      <c r="H36" t="str">
        <f>TEXT(Data[[#This Row],[Buchung]],"MMM")</f>
        <v>Feb</v>
      </c>
      <c r="I36" s="22">
        <f>YEAR(Data[[#This Row],[Buchung]])</f>
        <v>2022</v>
      </c>
      <c r="J36" s="2">
        <f>ABS(Data[[#This Row],[Betrag]])</f>
        <v>80</v>
      </c>
      <c r="K36" t="str">
        <f>IF(Data[[#This Row],[Betrag]]&lt;0,"A","E")</f>
        <v>A</v>
      </c>
    </row>
    <row r="37" spans="1:11" x14ac:dyDescent="0.25">
      <c r="A37" s="1">
        <v>44599</v>
      </c>
      <c r="B37" t="s">
        <v>51</v>
      </c>
      <c r="C37" t="s">
        <v>52</v>
      </c>
      <c r="D37" t="s">
        <v>53</v>
      </c>
      <c r="E37">
        <v>1000</v>
      </c>
      <c r="F37" t="s">
        <v>7</v>
      </c>
      <c r="G37" t="s">
        <v>9</v>
      </c>
      <c r="H37" t="str">
        <f>TEXT(Data[[#This Row],[Buchung]],"MMM")</f>
        <v>Feb</v>
      </c>
      <c r="I37" s="22">
        <f>YEAR(Data[[#This Row],[Buchung]])</f>
        <v>2022</v>
      </c>
      <c r="J37" s="2">
        <f>ABS(Data[[#This Row],[Betrag]])</f>
        <v>1000</v>
      </c>
      <c r="K37" t="str">
        <f>IF(Data[[#This Row],[Betrag]]&lt;0,"A","E")</f>
        <v>E</v>
      </c>
    </row>
    <row r="38" spans="1:11" x14ac:dyDescent="0.25">
      <c r="A38" s="1">
        <v>44599</v>
      </c>
      <c r="B38" t="s">
        <v>67</v>
      </c>
      <c r="C38" t="s">
        <v>55</v>
      </c>
      <c r="D38" t="s">
        <v>68</v>
      </c>
      <c r="E38">
        <v>-10</v>
      </c>
      <c r="F38" t="s">
        <v>7</v>
      </c>
      <c r="G38" t="s">
        <v>8</v>
      </c>
      <c r="H38" t="str">
        <f>TEXT(Data[[#This Row],[Buchung]],"MMM")</f>
        <v>Feb</v>
      </c>
      <c r="I38" s="22">
        <f>YEAR(Data[[#This Row],[Buchung]])</f>
        <v>2022</v>
      </c>
      <c r="J38" s="2">
        <f>ABS(Data[[#This Row],[Betrag]])</f>
        <v>10</v>
      </c>
      <c r="K38" t="str">
        <f>IF(Data[[#This Row],[Betrag]]&lt;0,"A","E")</f>
        <v>A</v>
      </c>
    </row>
    <row r="39" spans="1:11" x14ac:dyDescent="0.25">
      <c r="A39" s="1">
        <v>44599</v>
      </c>
      <c r="B39" t="s">
        <v>69</v>
      </c>
      <c r="C39" t="s">
        <v>70</v>
      </c>
      <c r="D39" t="s">
        <v>71</v>
      </c>
      <c r="E39">
        <v>-65</v>
      </c>
      <c r="F39" t="s">
        <v>7</v>
      </c>
      <c r="G39" t="s">
        <v>11</v>
      </c>
      <c r="H39" t="str">
        <f>TEXT(Data[[#This Row],[Buchung]],"MMM")</f>
        <v>Feb</v>
      </c>
      <c r="I39" s="22">
        <f>YEAR(Data[[#This Row],[Buchung]])</f>
        <v>2022</v>
      </c>
      <c r="J39" s="2">
        <f>ABS(Data[[#This Row],[Betrag]])</f>
        <v>65</v>
      </c>
      <c r="K39" t="str">
        <f>IF(Data[[#This Row],[Betrag]]&lt;0,"A","E")</f>
        <v>A</v>
      </c>
    </row>
    <row r="40" spans="1:11" x14ac:dyDescent="0.25">
      <c r="A40" s="1">
        <v>44599</v>
      </c>
      <c r="B40" t="s">
        <v>60</v>
      </c>
      <c r="C40" t="s">
        <v>61</v>
      </c>
      <c r="D40" t="s">
        <v>72</v>
      </c>
      <c r="E40">
        <v>-80</v>
      </c>
      <c r="F40" t="s">
        <v>7</v>
      </c>
      <c r="G40" t="s">
        <v>63</v>
      </c>
      <c r="H40" t="str">
        <f>TEXT(Data[[#This Row],[Buchung]],"MMM")</f>
        <v>Feb</v>
      </c>
      <c r="I40" s="22">
        <f>YEAR(Data[[#This Row],[Buchung]])</f>
        <v>2022</v>
      </c>
      <c r="J40" s="2">
        <f>ABS(Data[[#This Row],[Betrag]])</f>
        <v>80</v>
      </c>
      <c r="K40" t="str">
        <f>IF(Data[[#This Row],[Betrag]]&lt;0,"A","E")</f>
        <v>A</v>
      </c>
    </row>
    <row r="41" spans="1:11" x14ac:dyDescent="0.25">
      <c r="A41" s="1">
        <v>44599</v>
      </c>
      <c r="B41" t="s">
        <v>73</v>
      </c>
      <c r="C41" t="s">
        <v>65</v>
      </c>
      <c r="D41" t="s">
        <v>74</v>
      </c>
      <c r="E41">
        <v>-35</v>
      </c>
      <c r="F41" t="s">
        <v>7</v>
      </c>
      <c r="G41" t="s">
        <v>10</v>
      </c>
      <c r="H41" t="str">
        <f>TEXT(Data[[#This Row],[Buchung]],"MMM")</f>
        <v>Feb</v>
      </c>
      <c r="I41" s="22">
        <f>YEAR(Data[[#This Row],[Buchung]])</f>
        <v>2022</v>
      </c>
      <c r="J41" s="2">
        <f>ABS(Data[[#This Row],[Betrag]])</f>
        <v>35</v>
      </c>
      <c r="K41" t="str">
        <f>IF(Data[[#This Row],[Betrag]]&lt;0,"A","E")</f>
        <v>A</v>
      </c>
    </row>
    <row r="42" spans="1:11" x14ac:dyDescent="0.25">
      <c r="A42" s="1">
        <v>44599</v>
      </c>
      <c r="B42" t="s">
        <v>51</v>
      </c>
      <c r="C42" t="s">
        <v>52</v>
      </c>
      <c r="D42" t="s">
        <v>53</v>
      </c>
      <c r="E42">
        <v>1000</v>
      </c>
      <c r="F42" t="s">
        <v>7</v>
      </c>
      <c r="G42" t="s">
        <v>9</v>
      </c>
      <c r="H42" t="str">
        <f>TEXT(Data[[#This Row],[Buchung]],"MMM")</f>
        <v>Feb</v>
      </c>
      <c r="I42" s="22">
        <f>YEAR(Data[[#This Row],[Buchung]])</f>
        <v>2022</v>
      </c>
      <c r="J42" s="2">
        <f>ABS(Data[[#This Row],[Betrag]])</f>
        <v>1000</v>
      </c>
      <c r="K42" t="str">
        <f>IF(Data[[#This Row],[Betrag]]&lt;0,"A","E")</f>
        <v>E</v>
      </c>
    </row>
    <row r="43" spans="1:11" x14ac:dyDescent="0.25">
      <c r="A43" s="1"/>
    </row>
    <row r="44" spans="1:11" x14ac:dyDescent="0.25">
      <c r="A44" s="1"/>
    </row>
    <row r="45" spans="1:11" x14ac:dyDescent="0.25">
      <c r="A45" s="1"/>
    </row>
    <row r="46" spans="1:11" x14ac:dyDescent="0.25">
      <c r="A46" s="1"/>
    </row>
  </sheetData>
  <phoneticPr fontId="1" type="noConversion"/>
  <pageMargins left="0.7" right="0.7" top="0.78740157499999996" bottom="0.78740157499999996"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6A76A-7623-4669-A695-25A4B5B5669F}">
  <sheetPr codeName="Tabelle2"/>
  <dimension ref="A1:AZ402"/>
  <sheetViews>
    <sheetView workbookViewId="0">
      <selection activeCell="S9" sqref="S9"/>
    </sheetView>
  </sheetViews>
  <sheetFormatPr baseColWidth="10" defaultRowHeight="15" x14ac:dyDescent="0.25"/>
  <cols>
    <col min="1" max="1" width="20.28515625" style="6" bestFit="1" customWidth="1"/>
    <col min="2" max="2" width="22.42578125" style="6" bestFit="1" customWidth="1"/>
    <col min="3" max="4" width="24.85546875" style="6" bestFit="1" customWidth="1"/>
    <col min="5" max="5" width="22.42578125" style="6" bestFit="1" customWidth="1"/>
    <col min="6" max="6" width="24.85546875" style="6" bestFit="1" customWidth="1"/>
    <col min="7" max="7" width="11.42578125" style="6"/>
    <col min="8" max="8" width="22.42578125" style="6" bestFit="1" customWidth="1"/>
    <col min="9" max="9" width="24.85546875" style="6" bestFit="1" customWidth="1"/>
    <col min="10" max="10" width="11.42578125" style="6"/>
    <col min="11" max="11" width="15.5703125" style="6" bestFit="1" customWidth="1"/>
    <col min="12" max="12" width="12.7109375" style="6" bestFit="1" customWidth="1"/>
    <col min="13" max="16" width="24.85546875" style="6" bestFit="1" customWidth="1"/>
    <col min="17" max="17" width="15.5703125" style="6" bestFit="1" customWidth="1"/>
    <col min="18" max="52" width="24.85546875" style="6" bestFit="1" customWidth="1"/>
    <col min="53" max="16384" width="11.42578125" style="6"/>
  </cols>
  <sheetData>
    <row r="1" spans="1:18" x14ac:dyDescent="0.25">
      <c r="K1" s="62" t="s">
        <v>9</v>
      </c>
      <c r="L1" s="62"/>
      <c r="N1" s="62" t="s">
        <v>22</v>
      </c>
      <c r="O1" s="62"/>
      <c r="Q1" s="62" t="s">
        <v>23</v>
      </c>
      <c r="R1" s="62"/>
    </row>
    <row r="2" spans="1:18" x14ac:dyDescent="0.25">
      <c r="A2" s="62" t="s">
        <v>27</v>
      </c>
      <c r="B2" s="62"/>
      <c r="K2" s="65" t="s">
        <v>19</v>
      </c>
      <c r="L2" s="65" t="s">
        <v>21</v>
      </c>
      <c r="N2" s="65" t="s">
        <v>19</v>
      </c>
      <c r="O2" s="65" t="s">
        <v>20</v>
      </c>
      <c r="Q2" s="65" t="s">
        <v>19</v>
      </c>
      <c r="R2" s="65" t="s">
        <v>20</v>
      </c>
    </row>
    <row r="4" spans="1:18" x14ac:dyDescent="0.25">
      <c r="A4" s="6" t="s">
        <v>25</v>
      </c>
      <c r="B4" s="7">
        <f>GETPIVOTDATA("absolut Betrag",$K$4)</f>
        <v>9000</v>
      </c>
      <c r="D4" s="65" t="s">
        <v>15</v>
      </c>
      <c r="E4" s="65" t="s">
        <v>14</v>
      </c>
      <c r="F4" s="65" t="s">
        <v>13</v>
      </c>
      <c r="H4" s="65" t="s">
        <v>6</v>
      </c>
      <c r="I4" s="65" t="s">
        <v>18</v>
      </c>
      <c r="K4" s="65" t="s">
        <v>6</v>
      </c>
      <c r="L4" s="65" t="s">
        <v>18</v>
      </c>
      <c r="N4" s="65" t="s">
        <v>6</v>
      </c>
      <c r="O4" s="65" t="s">
        <v>18</v>
      </c>
      <c r="Q4" s="65" t="s">
        <v>6</v>
      </c>
      <c r="R4" s="65" t="s">
        <v>18</v>
      </c>
    </row>
    <row r="5" spans="1:18" x14ac:dyDescent="0.25">
      <c r="A5" s="6" t="s">
        <v>26</v>
      </c>
      <c r="B5" s="7">
        <f>GETPIVOTDATA("absolut Betrag",$N$4)</f>
        <v>2925</v>
      </c>
      <c r="D5" s="65">
        <v>2022</v>
      </c>
      <c r="E5" s="65" t="s">
        <v>16</v>
      </c>
      <c r="F5" s="66">
        <v>6075</v>
      </c>
      <c r="H5" s="65" t="s">
        <v>9</v>
      </c>
      <c r="I5" s="66">
        <v>9000</v>
      </c>
      <c r="K5" s="65" t="s">
        <v>9</v>
      </c>
      <c r="L5" s="66">
        <v>9000</v>
      </c>
      <c r="N5" s="65" t="s">
        <v>11</v>
      </c>
      <c r="O5" s="66">
        <v>1655</v>
      </c>
      <c r="Q5" s="65" t="s">
        <v>8</v>
      </c>
      <c r="R5" s="66">
        <v>100</v>
      </c>
    </row>
    <row r="6" spans="1:18" x14ac:dyDescent="0.25">
      <c r="A6" s="6" t="s">
        <v>24</v>
      </c>
      <c r="B6" s="8">
        <f>GETPIVOTDATA("Betrag",$D$4)</f>
        <v>6075</v>
      </c>
      <c r="D6" s="65" t="s">
        <v>50</v>
      </c>
      <c r="E6" s="65"/>
      <c r="F6" s="66">
        <v>6075</v>
      </c>
      <c r="H6" s="65" t="s">
        <v>11</v>
      </c>
      <c r="I6" s="66">
        <v>1655</v>
      </c>
      <c r="K6" s="65" t="s">
        <v>12</v>
      </c>
      <c r="L6" s="66">
        <v>9000</v>
      </c>
      <c r="N6" s="65" t="s">
        <v>63</v>
      </c>
      <c r="O6" s="66">
        <v>800</v>
      </c>
      <c r="Q6" s="65" t="s">
        <v>10</v>
      </c>
      <c r="R6" s="66">
        <v>370</v>
      </c>
    </row>
    <row r="7" spans="1:18" x14ac:dyDescent="0.25">
      <c r="A7" s="6" t="s">
        <v>44</v>
      </c>
      <c r="B7" s="52">
        <v>0</v>
      </c>
      <c r="D7" s="65" t="s">
        <v>12</v>
      </c>
      <c r="E7" s="65"/>
      <c r="F7" s="66">
        <v>6075</v>
      </c>
      <c r="H7" s="65" t="s">
        <v>63</v>
      </c>
      <c r="I7" s="66">
        <v>800</v>
      </c>
      <c r="K7"/>
      <c r="L7"/>
      <c r="N7" s="65" t="s">
        <v>10</v>
      </c>
      <c r="O7" s="66">
        <v>370</v>
      </c>
      <c r="Q7" s="65" t="s">
        <v>63</v>
      </c>
      <c r="R7" s="66">
        <v>800</v>
      </c>
    </row>
    <row r="8" spans="1:18" x14ac:dyDescent="0.25">
      <c r="D8"/>
      <c r="E8"/>
      <c r="F8"/>
      <c r="H8" s="65" t="s">
        <v>10</v>
      </c>
      <c r="I8" s="66">
        <v>370</v>
      </c>
      <c r="K8"/>
      <c r="L8"/>
      <c r="N8" s="65" t="s">
        <v>8</v>
      </c>
      <c r="O8" s="66">
        <v>100</v>
      </c>
      <c r="Q8" s="65" t="s">
        <v>11</v>
      </c>
      <c r="R8" s="66">
        <v>1655</v>
      </c>
    </row>
    <row r="9" spans="1:18" x14ac:dyDescent="0.25">
      <c r="D9"/>
      <c r="E9"/>
      <c r="F9"/>
      <c r="H9" s="65" t="s">
        <v>8</v>
      </c>
      <c r="I9" s="66">
        <v>100</v>
      </c>
      <c r="K9"/>
      <c r="L9"/>
      <c r="N9" s="65" t="s">
        <v>12</v>
      </c>
      <c r="O9" s="66">
        <v>2925</v>
      </c>
      <c r="Q9" s="65" t="s">
        <v>12</v>
      </c>
      <c r="R9" s="66">
        <v>2925</v>
      </c>
    </row>
    <row r="10" spans="1:18" x14ac:dyDescent="0.25">
      <c r="D10"/>
      <c r="E10"/>
      <c r="F10"/>
      <c r="H10"/>
      <c r="I10"/>
      <c r="K10"/>
      <c r="L10"/>
      <c r="N10"/>
      <c r="O10"/>
      <c r="Q10"/>
      <c r="R10"/>
    </row>
    <row r="11" spans="1:18" x14ac:dyDescent="0.25">
      <c r="D11"/>
      <c r="E11"/>
      <c r="F11"/>
      <c r="H11"/>
      <c r="I11"/>
      <c r="N11"/>
      <c r="O11"/>
    </row>
    <row r="12" spans="1:18" x14ac:dyDescent="0.25">
      <c r="D12"/>
      <c r="E12"/>
      <c r="F12"/>
      <c r="H12"/>
      <c r="I12"/>
      <c r="N12"/>
      <c r="O12"/>
    </row>
    <row r="13" spans="1:18" x14ac:dyDescent="0.25">
      <c r="D13"/>
      <c r="E13"/>
      <c r="F13"/>
      <c r="H13"/>
      <c r="I13"/>
      <c r="N13"/>
      <c r="O13"/>
    </row>
    <row r="14" spans="1:18" x14ac:dyDescent="0.25">
      <c r="D14"/>
      <c r="E14"/>
      <c r="F14"/>
      <c r="H14"/>
      <c r="I14"/>
      <c r="N14"/>
      <c r="O14"/>
    </row>
    <row r="15" spans="1:18" x14ac:dyDescent="0.25">
      <c r="D15"/>
      <c r="E15"/>
      <c r="F15"/>
      <c r="H15"/>
      <c r="I15"/>
      <c r="N15"/>
      <c r="O15"/>
    </row>
    <row r="16" spans="1:18" x14ac:dyDescent="0.25">
      <c r="D16"/>
      <c r="E16"/>
      <c r="F16"/>
      <c r="H16"/>
      <c r="I16"/>
      <c r="N16"/>
      <c r="O16"/>
    </row>
    <row r="17" spans="4:15" x14ac:dyDescent="0.25">
      <c r="D17"/>
      <c r="E17"/>
      <c r="F17"/>
      <c r="H17"/>
      <c r="I17"/>
      <c r="N17"/>
      <c r="O17"/>
    </row>
    <row r="18" spans="4:15" x14ac:dyDescent="0.25">
      <c r="D18"/>
      <c r="E18"/>
      <c r="F18"/>
      <c r="H18"/>
      <c r="I18"/>
      <c r="N18"/>
      <c r="O18"/>
    </row>
    <row r="19" spans="4:15" x14ac:dyDescent="0.25">
      <c r="D19"/>
      <c r="E19"/>
      <c r="F19"/>
      <c r="H19"/>
      <c r="I19"/>
      <c r="N19"/>
      <c r="O19"/>
    </row>
    <row r="20" spans="4:15" x14ac:dyDescent="0.25">
      <c r="D20"/>
      <c r="E20"/>
      <c r="F20"/>
      <c r="H20"/>
      <c r="I20"/>
      <c r="N20"/>
      <c r="O20"/>
    </row>
    <row r="21" spans="4:15" x14ac:dyDescent="0.25">
      <c r="D21"/>
      <c r="E21"/>
      <c r="F21"/>
      <c r="H21"/>
      <c r="I21"/>
      <c r="N21"/>
      <c r="O21"/>
    </row>
    <row r="22" spans="4:15" x14ac:dyDescent="0.25">
      <c r="D22"/>
      <c r="E22"/>
      <c r="F22"/>
      <c r="H22"/>
      <c r="I22"/>
      <c r="N22"/>
      <c r="O22"/>
    </row>
    <row r="23" spans="4:15" x14ac:dyDescent="0.25">
      <c r="D23"/>
      <c r="E23"/>
      <c r="F23"/>
      <c r="H23"/>
      <c r="I23"/>
      <c r="N23"/>
      <c r="O23"/>
    </row>
    <row r="24" spans="4:15" x14ac:dyDescent="0.25">
      <c r="D24"/>
      <c r="E24"/>
      <c r="F24"/>
      <c r="H24"/>
      <c r="I24"/>
      <c r="N24"/>
      <c r="O24"/>
    </row>
    <row r="25" spans="4:15" x14ac:dyDescent="0.25">
      <c r="D25"/>
      <c r="E25"/>
      <c r="F25"/>
      <c r="H25"/>
      <c r="I25"/>
      <c r="N25"/>
      <c r="O25"/>
    </row>
    <row r="26" spans="4:15" x14ac:dyDescent="0.25">
      <c r="D26"/>
      <c r="E26"/>
      <c r="F26"/>
      <c r="H26"/>
      <c r="I26"/>
      <c r="N26"/>
      <c r="O26"/>
    </row>
    <row r="27" spans="4:15" x14ac:dyDescent="0.25">
      <c r="D27"/>
      <c r="E27"/>
      <c r="F27"/>
      <c r="H27"/>
      <c r="I27"/>
      <c r="N27"/>
      <c r="O27"/>
    </row>
    <row r="28" spans="4:15" x14ac:dyDescent="0.25">
      <c r="D28"/>
      <c r="E28"/>
      <c r="F28"/>
      <c r="H28"/>
      <c r="I28"/>
      <c r="N28"/>
      <c r="O28"/>
    </row>
    <row r="29" spans="4:15" x14ac:dyDescent="0.25">
      <c r="D29"/>
      <c r="E29"/>
      <c r="F29"/>
      <c r="H29"/>
      <c r="I29"/>
      <c r="N29"/>
      <c r="O29"/>
    </row>
    <row r="30" spans="4:15" x14ac:dyDescent="0.25">
      <c r="D30"/>
      <c r="E30"/>
      <c r="F30"/>
      <c r="H30"/>
      <c r="I30"/>
      <c r="N30"/>
      <c r="O30"/>
    </row>
    <row r="31" spans="4:15" x14ac:dyDescent="0.25">
      <c r="D31"/>
      <c r="E31"/>
      <c r="F31"/>
      <c r="H31"/>
      <c r="I31"/>
      <c r="N31"/>
      <c r="O31"/>
    </row>
    <row r="32" spans="4:15" x14ac:dyDescent="0.25">
      <c r="D32"/>
      <c r="E32"/>
      <c r="F32"/>
      <c r="H32"/>
      <c r="I32"/>
      <c r="N32"/>
      <c r="O32"/>
    </row>
    <row r="33" spans="4:15" x14ac:dyDescent="0.25">
      <c r="D33"/>
      <c r="E33"/>
      <c r="F33"/>
      <c r="H33"/>
      <c r="I33"/>
      <c r="N33"/>
      <c r="O33"/>
    </row>
    <row r="34" spans="4:15" x14ac:dyDescent="0.25">
      <c r="D34"/>
      <c r="E34"/>
      <c r="F34"/>
      <c r="H34"/>
      <c r="I34"/>
      <c r="N34"/>
      <c r="O34"/>
    </row>
    <row r="35" spans="4:15" x14ac:dyDescent="0.25">
      <c r="D35"/>
      <c r="E35"/>
      <c r="F35"/>
      <c r="H35"/>
      <c r="I35"/>
      <c r="N35"/>
      <c r="O35"/>
    </row>
    <row r="36" spans="4:15" x14ac:dyDescent="0.25">
      <c r="D36"/>
      <c r="E36"/>
      <c r="F36"/>
      <c r="H36"/>
      <c r="I36"/>
      <c r="N36"/>
      <c r="O36"/>
    </row>
    <row r="37" spans="4:15" x14ac:dyDescent="0.25">
      <c r="D37"/>
      <c r="E37"/>
      <c r="F37"/>
      <c r="H37"/>
      <c r="I37"/>
      <c r="N37"/>
      <c r="O37"/>
    </row>
    <row r="38" spans="4:15" x14ac:dyDescent="0.25">
      <c r="D38"/>
      <c r="E38"/>
      <c r="F38"/>
      <c r="H38"/>
      <c r="I38"/>
      <c r="N38"/>
      <c r="O38"/>
    </row>
    <row r="39" spans="4:15" x14ac:dyDescent="0.25">
      <c r="D39"/>
      <c r="E39"/>
      <c r="F39"/>
      <c r="H39"/>
      <c r="I39"/>
      <c r="N39"/>
      <c r="O39"/>
    </row>
    <row r="40" spans="4:15" x14ac:dyDescent="0.25">
      <c r="D40"/>
      <c r="E40"/>
      <c r="F40"/>
      <c r="H40"/>
      <c r="I40"/>
      <c r="N40"/>
      <c r="O40"/>
    </row>
    <row r="41" spans="4:15" x14ac:dyDescent="0.25">
      <c r="D41"/>
      <c r="E41"/>
      <c r="F41"/>
      <c r="H41"/>
      <c r="I41"/>
      <c r="N41"/>
      <c r="O41"/>
    </row>
    <row r="42" spans="4:15" x14ac:dyDescent="0.25">
      <c r="D42"/>
      <c r="E42"/>
      <c r="F42"/>
      <c r="H42"/>
      <c r="I42"/>
      <c r="N42"/>
      <c r="O42"/>
    </row>
    <row r="43" spans="4:15" x14ac:dyDescent="0.25">
      <c r="D43"/>
      <c r="E43"/>
      <c r="F43"/>
      <c r="H43"/>
      <c r="I43"/>
      <c r="N43"/>
      <c r="O43"/>
    </row>
    <row r="44" spans="4:15" x14ac:dyDescent="0.25">
      <c r="D44"/>
      <c r="E44"/>
      <c r="F44"/>
      <c r="H44"/>
      <c r="I44"/>
      <c r="N44"/>
      <c r="O44"/>
    </row>
    <row r="45" spans="4:15" x14ac:dyDescent="0.25">
      <c r="D45"/>
      <c r="E45"/>
      <c r="F45"/>
      <c r="H45"/>
      <c r="I45"/>
      <c r="N45"/>
      <c r="O45"/>
    </row>
    <row r="46" spans="4:15" x14ac:dyDescent="0.25">
      <c r="D46"/>
      <c r="E46"/>
      <c r="F46"/>
      <c r="H46"/>
      <c r="I46"/>
      <c r="N46"/>
      <c r="O46"/>
    </row>
    <row r="47" spans="4:15" x14ac:dyDescent="0.25">
      <c r="D47"/>
      <c r="E47"/>
      <c r="F47"/>
      <c r="H47"/>
      <c r="I47"/>
      <c r="N47"/>
      <c r="O47"/>
    </row>
    <row r="48" spans="4:15" x14ac:dyDescent="0.25">
      <c r="D48"/>
      <c r="E48"/>
      <c r="F48"/>
      <c r="H48"/>
      <c r="I48"/>
      <c r="N48"/>
      <c r="O48"/>
    </row>
    <row r="49" spans="1:52" s="10" customFormat="1" ht="15.75" thickBot="1" x14ac:dyDescent="0.3">
      <c r="D49" s="11"/>
      <c r="E49" s="11"/>
      <c r="F49" s="11"/>
      <c r="H49" s="11"/>
      <c r="I49" s="11"/>
      <c r="N49" s="11"/>
      <c r="O49" s="11"/>
    </row>
    <row r="50" spans="1:52" s="9" customFormat="1" ht="16.5" thickTop="1" thickBot="1" x14ac:dyDescent="0.3">
      <c r="D50"/>
      <c r="E50"/>
      <c r="F50"/>
      <c r="H50"/>
      <c r="I50"/>
      <c r="N50"/>
      <c r="O50"/>
    </row>
    <row r="51" spans="1:52" ht="15.75" thickTop="1" x14ac:dyDescent="0.25">
      <c r="A51" s="60" t="s">
        <v>28</v>
      </c>
      <c r="B51" s="60"/>
      <c r="D51"/>
      <c r="E51"/>
      <c r="F51"/>
      <c r="H51"/>
      <c r="I51"/>
      <c r="N51"/>
      <c r="O51"/>
    </row>
    <row r="52" spans="1:52" x14ac:dyDescent="0.25">
      <c r="A52" s="61"/>
      <c r="B52" s="61"/>
      <c r="D52"/>
      <c r="E52"/>
      <c r="F52"/>
    </row>
    <row r="53" spans="1:52" x14ac:dyDescent="0.25">
      <c r="D53"/>
      <c r="E53"/>
      <c r="F53"/>
    </row>
    <row r="54" spans="1:52" x14ac:dyDescent="0.25">
      <c r="B54" s="62" t="s">
        <v>30</v>
      </c>
      <c r="C54" s="62"/>
      <c r="D54"/>
      <c r="E54" s="62" t="s">
        <v>31</v>
      </c>
      <c r="F54" s="62"/>
      <c r="H54" s="62" t="s">
        <v>32</v>
      </c>
      <c r="I54" s="62"/>
      <c r="L54"/>
      <c r="M54"/>
      <c r="N54" s="6" t="s">
        <v>37</v>
      </c>
    </row>
    <row r="55" spans="1:52" x14ac:dyDescent="0.25">
      <c r="D55"/>
      <c r="E55"/>
      <c r="F55"/>
    </row>
    <row r="56" spans="1:52" x14ac:dyDescent="0.25">
      <c r="B56" s="65" t="s">
        <v>29</v>
      </c>
      <c r="C56" s="65" t="s">
        <v>18</v>
      </c>
      <c r="E56" s="65" t="s">
        <v>29</v>
      </c>
      <c r="F56" s="65" t="s">
        <v>18</v>
      </c>
      <c r="H56" s="21" t="s">
        <v>29</v>
      </c>
      <c r="I56" t="s">
        <v>18</v>
      </c>
      <c r="J56"/>
      <c r="L56"/>
      <c r="M56" s="21" t="s">
        <v>15</v>
      </c>
      <c r="N56" s="21" t="s">
        <v>36</v>
      </c>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row>
    <row r="57" spans="1:52" x14ac:dyDescent="0.25">
      <c r="B57" s="68" t="s">
        <v>8</v>
      </c>
      <c r="C57" s="66">
        <v>100</v>
      </c>
      <c r="E57" s="68" t="s">
        <v>8</v>
      </c>
      <c r="F57" s="66">
        <v>100</v>
      </c>
      <c r="H57" s="22" t="s">
        <v>8</v>
      </c>
      <c r="I57" s="33">
        <v>100</v>
      </c>
      <c r="J57"/>
      <c r="L57"/>
      <c r="M57">
        <v>2022</v>
      </c>
      <c r="N57">
        <v>2022</v>
      </c>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row>
    <row r="58" spans="1:52" x14ac:dyDescent="0.25">
      <c r="B58" s="68" t="s">
        <v>9</v>
      </c>
      <c r="C58" s="66">
        <v>9000</v>
      </c>
      <c r="E58" s="68" t="s">
        <v>9</v>
      </c>
      <c r="F58" s="66">
        <v>9000</v>
      </c>
      <c r="H58" s="22" t="s">
        <v>9</v>
      </c>
      <c r="I58" s="33">
        <v>9000</v>
      </c>
      <c r="J58"/>
      <c r="L58" s="21" t="s">
        <v>6</v>
      </c>
      <c r="M58" t="s">
        <v>35</v>
      </c>
      <c r="N58" t="s">
        <v>18</v>
      </c>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row>
    <row r="59" spans="1:52" x14ac:dyDescent="0.25">
      <c r="B59" s="68" t="s">
        <v>11</v>
      </c>
      <c r="C59" s="66">
        <v>1655</v>
      </c>
      <c r="E59" s="68" t="s">
        <v>11</v>
      </c>
      <c r="F59" s="66">
        <v>1655</v>
      </c>
      <c r="H59" s="22" t="s">
        <v>11</v>
      </c>
      <c r="I59" s="33">
        <v>1655</v>
      </c>
      <c r="J59"/>
      <c r="L59" t="s">
        <v>8</v>
      </c>
      <c r="M59" s="67">
        <v>8</v>
      </c>
      <c r="N59" s="67">
        <v>100</v>
      </c>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row>
    <row r="60" spans="1:52" x14ac:dyDescent="0.25">
      <c r="B60" s="68" t="s">
        <v>10</v>
      </c>
      <c r="C60" s="66">
        <v>370</v>
      </c>
      <c r="E60" s="68" t="s">
        <v>10</v>
      </c>
      <c r="F60" s="66">
        <v>370</v>
      </c>
      <c r="H60" s="22" t="s">
        <v>10</v>
      </c>
      <c r="I60" s="33">
        <v>370</v>
      </c>
      <c r="J60"/>
      <c r="L60" t="s">
        <v>9</v>
      </c>
      <c r="M60" s="67">
        <v>9</v>
      </c>
      <c r="N60" s="67">
        <v>9000</v>
      </c>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row>
    <row r="61" spans="1:52" x14ac:dyDescent="0.25">
      <c r="B61" s="68" t="s">
        <v>63</v>
      </c>
      <c r="C61" s="66">
        <v>800</v>
      </c>
      <c r="E61" s="68" t="s">
        <v>63</v>
      </c>
      <c r="F61" s="66">
        <v>800</v>
      </c>
      <c r="H61" s="22" t="s">
        <v>63</v>
      </c>
      <c r="I61" s="33">
        <v>800</v>
      </c>
      <c r="J61"/>
      <c r="L61" t="s">
        <v>11</v>
      </c>
      <c r="M61" s="67">
        <v>8</v>
      </c>
      <c r="N61" s="67">
        <v>1655</v>
      </c>
      <c r="O61"/>
      <c r="P61"/>
    </row>
    <row r="62" spans="1:52" x14ac:dyDescent="0.25">
      <c r="B62"/>
      <c r="C62"/>
      <c r="E62"/>
      <c r="F62"/>
      <c r="H62"/>
      <c r="I62"/>
      <c r="J62"/>
      <c r="L62" t="s">
        <v>10</v>
      </c>
      <c r="M62" s="67">
        <v>8</v>
      </c>
      <c r="N62" s="67">
        <v>370</v>
      </c>
      <c r="O62"/>
      <c r="P62"/>
    </row>
    <row r="63" spans="1:52" x14ac:dyDescent="0.25">
      <c r="B63"/>
      <c r="C63"/>
      <c r="E63"/>
      <c r="F63"/>
      <c r="H63"/>
      <c r="I63"/>
      <c r="J63"/>
      <c r="L63" t="s">
        <v>63</v>
      </c>
      <c r="M63" s="67">
        <v>8</v>
      </c>
      <c r="N63" s="67">
        <v>800</v>
      </c>
      <c r="O63"/>
      <c r="P63"/>
    </row>
    <row r="64" spans="1:52" x14ac:dyDescent="0.25">
      <c r="B64"/>
      <c r="C64"/>
      <c r="E64"/>
      <c r="F64"/>
      <c r="H64"/>
      <c r="I64"/>
      <c r="J64"/>
      <c r="L64"/>
      <c r="M64"/>
      <c r="N64"/>
      <c r="O64"/>
      <c r="P64"/>
    </row>
    <row r="65" spans="2:16" x14ac:dyDescent="0.25">
      <c r="B65"/>
      <c r="C65"/>
      <c r="E65"/>
      <c r="F65"/>
      <c r="H65"/>
      <c r="I65"/>
      <c r="J65"/>
      <c r="L65"/>
      <c r="M65"/>
      <c r="N65"/>
      <c r="O65"/>
      <c r="P65"/>
    </row>
    <row r="66" spans="2:16" x14ac:dyDescent="0.25">
      <c r="B66"/>
      <c r="C66"/>
      <c r="E66"/>
      <c r="F66"/>
      <c r="H66"/>
      <c r="I66"/>
      <c r="J66"/>
      <c r="L66"/>
      <c r="M66"/>
      <c r="N66"/>
      <c r="O66"/>
      <c r="P66"/>
    </row>
    <row r="67" spans="2:16" x14ac:dyDescent="0.25">
      <c r="B67"/>
      <c r="C67"/>
      <c r="E67"/>
      <c r="F67"/>
      <c r="H67"/>
      <c r="I67"/>
      <c r="J67"/>
      <c r="L67"/>
      <c r="M67"/>
      <c r="N67"/>
      <c r="O67"/>
      <c r="P67"/>
    </row>
    <row r="68" spans="2:16" x14ac:dyDescent="0.25">
      <c r="B68"/>
      <c r="C68"/>
      <c r="E68"/>
      <c r="F68"/>
      <c r="H68"/>
      <c r="I68"/>
      <c r="J68"/>
      <c r="L68"/>
      <c r="M68"/>
      <c r="N68"/>
      <c r="O68"/>
      <c r="P68"/>
    </row>
    <row r="69" spans="2:16" x14ac:dyDescent="0.25">
      <c r="B69"/>
      <c r="C69"/>
      <c r="E69"/>
      <c r="F69"/>
      <c r="H69"/>
      <c r="I69"/>
      <c r="J69"/>
      <c r="L69"/>
      <c r="M69"/>
      <c r="N69"/>
      <c r="O69"/>
      <c r="P69"/>
    </row>
    <row r="70" spans="2:16" x14ac:dyDescent="0.25">
      <c r="B70"/>
      <c r="C70"/>
      <c r="E70"/>
      <c r="F70"/>
      <c r="H70"/>
      <c r="I70"/>
      <c r="J70"/>
      <c r="L70"/>
      <c r="M70"/>
      <c r="N70"/>
      <c r="O70"/>
      <c r="P70"/>
    </row>
    <row r="71" spans="2:16" x14ac:dyDescent="0.25">
      <c r="B71"/>
      <c r="C71"/>
      <c r="E71"/>
      <c r="F71"/>
      <c r="H71"/>
      <c r="I71"/>
      <c r="J71"/>
      <c r="L71"/>
      <c r="M71"/>
      <c r="N71"/>
      <c r="O71"/>
      <c r="P71"/>
    </row>
    <row r="72" spans="2:16" x14ac:dyDescent="0.25">
      <c r="B72"/>
      <c r="C72"/>
      <c r="E72"/>
      <c r="F72"/>
      <c r="H72"/>
      <c r="I72"/>
      <c r="J72"/>
      <c r="L72"/>
      <c r="M72"/>
      <c r="N72"/>
      <c r="O72"/>
      <c r="P72"/>
    </row>
    <row r="73" spans="2:16" x14ac:dyDescent="0.25">
      <c r="B73"/>
      <c r="C73"/>
      <c r="E73"/>
      <c r="F73"/>
      <c r="H73"/>
      <c r="I73"/>
      <c r="J73"/>
      <c r="L73"/>
      <c r="M73"/>
      <c r="N73"/>
      <c r="O73"/>
      <c r="P73"/>
    </row>
    <row r="74" spans="2:16" x14ac:dyDescent="0.25">
      <c r="B74"/>
      <c r="C74"/>
      <c r="E74"/>
      <c r="F74"/>
      <c r="H74"/>
      <c r="I74"/>
      <c r="L74"/>
      <c r="M74"/>
      <c r="N74"/>
      <c r="O74"/>
      <c r="P74"/>
    </row>
    <row r="75" spans="2:16" x14ac:dyDescent="0.25">
      <c r="B75"/>
      <c r="C75"/>
      <c r="E75"/>
      <c r="F75"/>
      <c r="H75"/>
      <c r="I75"/>
      <c r="L75"/>
      <c r="M75"/>
      <c r="N75"/>
      <c r="O75"/>
      <c r="P75"/>
    </row>
    <row r="76" spans="2:16" x14ac:dyDescent="0.25">
      <c r="B76"/>
      <c r="C76"/>
      <c r="E76"/>
      <c r="F76"/>
      <c r="H76"/>
      <c r="I76"/>
      <c r="L76"/>
      <c r="M76"/>
      <c r="N76"/>
      <c r="O76"/>
      <c r="P76"/>
    </row>
    <row r="77" spans="2:16" x14ac:dyDescent="0.25">
      <c r="H77"/>
      <c r="I77"/>
      <c r="L77"/>
      <c r="M77"/>
      <c r="N77"/>
      <c r="O77"/>
      <c r="P77"/>
    </row>
    <row r="78" spans="2:16" x14ac:dyDescent="0.25">
      <c r="L78"/>
      <c r="M78"/>
      <c r="N78"/>
      <c r="O78"/>
      <c r="P78"/>
    </row>
    <row r="79" spans="2:16" x14ac:dyDescent="0.25">
      <c r="L79"/>
      <c r="M79"/>
      <c r="N79"/>
      <c r="O79"/>
    </row>
    <row r="80" spans="2:16" x14ac:dyDescent="0.25">
      <c r="L80"/>
      <c r="M80"/>
      <c r="N80"/>
      <c r="O80"/>
    </row>
    <row r="81" spans="1:15" x14ac:dyDescent="0.25">
      <c r="L81"/>
      <c r="M81"/>
      <c r="N81"/>
      <c r="O81"/>
    </row>
    <row r="82" spans="1:15" x14ac:dyDescent="0.25">
      <c r="L82"/>
      <c r="M82"/>
      <c r="N82"/>
      <c r="O82"/>
    </row>
    <row r="83" spans="1:15" x14ac:dyDescent="0.25">
      <c r="L83"/>
      <c r="M83"/>
      <c r="N83"/>
      <c r="O83"/>
    </row>
    <row r="84" spans="1:15" x14ac:dyDescent="0.25">
      <c r="L84"/>
      <c r="M84"/>
      <c r="N84"/>
      <c r="O84"/>
    </row>
    <row r="85" spans="1:15" x14ac:dyDescent="0.25">
      <c r="L85"/>
      <c r="M85"/>
      <c r="N85"/>
      <c r="O85"/>
    </row>
    <row r="86" spans="1:15" x14ac:dyDescent="0.25">
      <c r="L86"/>
      <c r="M86"/>
      <c r="N86"/>
      <c r="O86"/>
    </row>
    <row r="87" spans="1:15" x14ac:dyDescent="0.25">
      <c r="L87"/>
      <c r="M87"/>
      <c r="N87"/>
      <c r="O87"/>
    </row>
    <row r="88" spans="1:15" x14ac:dyDescent="0.25">
      <c r="L88"/>
      <c r="M88"/>
      <c r="N88"/>
      <c r="O88"/>
    </row>
    <row r="89" spans="1:15" s="10" customFormat="1" ht="15.75" thickBot="1" x14ac:dyDescent="0.3">
      <c r="D89" s="11"/>
      <c r="E89" s="11"/>
      <c r="F89" s="11"/>
      <c r="H89" s="11"/>
      <c r="I89" s="11"/>
      <c r="L89"/>
      <c r="M89"/>
      <c r="N89"/>
      <c r="O89"/>
    </row>
    <row r="90" spans="1:15" s="9" customFormat="1" ht="16.5" thickTop="1" thickBot="1" x14ac:dyDescent="0.3">
      <c r="D90"/>
      <c r="E90"/>
      <c r="F90"/>
      <c r="H90"/>
      <c r="I90"/>
      <c r="L90"/>
      <c r="M90"/>
      <c r="N90"/>
      <c r="O90"/>
    </row>
    <row r="91" spans="1:15" ht="15.75" thickTop="1" x14ac:dyDescent="0.25">
      <c r="A91" s="60" t="s">
        <v>33</v>
      </c>
      <c r="B91" s="60"/>
      <c r="D91"/>
      <c r="E91"/>
      <c r="F91"/>
      <c r="H91"/>
      <c r="I91"/>
      <c r="L91"/>
      <c r="M91"/>
      <c r="N91"/>
      <c r="O91"/>
    </row>
    <row r="92" spans="1:15" x14ac:dyDescent="0.25">
      <c r="A92" s="61"/>
      <c r="B92" s="61"/>
      <c r="D92"/>
      <c r="E92"/>
      <c r="F92"/>
      <c r="L92"/>
      <c r="M92"/>
      <c r="N92"/>
      <c r="O92"/>
    </row>
    <row r="93" spans="1:15" x14ac:dyDescent="0.25">
      <c r="L93" t="s">
        <v>38</v>
      </c>
      <c r="M93"/>
      <c r="N93"/>
      <c r="O93"/>
    </row>
    <row r="94" spans="1:15" x14ac:dyDescent="0.25">
      <c r="A94" s="6" t="s">
        <v>28</v>
      </c>
      <c r="B94" s="6" t="s">
        <v>42</v>
      </c>
      <c r="L94"/>
      <c r="M94"/>
      <c r="N94"/>
      <c r="O94"/>
    </row>
    <row r="95" spans="1:15" x14ac:dyDescent="0.25">
      <c r="L95" s="21" t="s">
        <v>18</v>
      </c>
      <c r="M95" s="21" t="s">
        <v>39</v>
      </c>
      <c r="N95"/>
      <c r="O95"/>
    </row>
    <row r="96" spans="1:15" x14ac:dyDescent="0.25">
      <c r="A96" s="6" t="s">
        <v>34</v>
      </c>
      <c r="B96" s="6" t="s">
        <v>43</v>
      </c>
      <c r="L96" s="21" t="s">
        <v>29</v>
      </c>
      <c r="M96">
        <v>2022</v>
      </c>
      <c r="N96"/>
      <c r="O96"/>
    </row>
    <row r="97" spans="12:15" x14ac:dyDescent="0.25">
      <c r="L97" s="22" t="s">
        <v>20</v>
      </c>
      <c r="M97" s="67">
        <v>2925</v>
      </c>
      <c r="N97"/>
      <c r="O97"/>
    </row>
    <row r="98" spans="12:15" x14ac:dyDescent="0.25">
      <c r="L98" s="22" t="s">
        <v>21</v>
      </c>
      <c r="M98" s="67">
        <v>9000</v>
      </c>
      <c r="N98"/>
      <c r="O98"/>
    </row>
    <row r="99" spans="12:15" x14ac:dyDescent="0.25">
      <c r="L99"/>
      <c r="M99"/>
      <c r="N99"/>
      <c r="O99"/>
    </row>
    <row r="100" spans="12:15" x14ac:dyDescent="0.25">
      <c r="L100"/>
      <c r="M100"/>
      <c r="N100"/>
      <c r="O100"/>
    </row>
    <row r="101" spans="12:15" x14ac:dyDescent="0.25">
      <c r="L101"/>
      <c r="M101"/>
      <c r="N101"/>
      <c r="O101"/>
    </row>
    <row r="102" spans="12:15" x14ac:dyDescent="0.25">
      <c r="L102"/>
      <c r="M102"/>
      <c r="N102"/>
      <c r="O102"/>
    </row>
    <row r="103" spans="12:15" x14ac:dyDescent="0.25">
      <c r="L103"/>
      <c r="M103"/>
      <c r="N103"/>
      <c r="O103"/>
    </row>
    <row r="104" spans="12:15" x14ac:dyDescent="0.25">
      <c r="L104"/>
      <c r="M104"/>
      <c r="N104"/>
      <c r="O104"/>
    </row>
    <row r="105" spans="12:15" x14ac:dyDescent="0.25">
      <c r="L105"/>
      <c r="M105"/>
      <c r="N105"/>
      <c r="O105"/>
    </row>
    <row r="106" spans="12:15" x14ac:dyDescent="0.25">
      <c r="L106"/>
      <c r="M106"/>
      <c r="N106"/>
      <c r="O106"/>
    </row>
    <row r="107" spans="12:15" x14ac:dyDescent="0.25">
      <c r="L107"/>
      <c r="M107"/>
      <c r="N107"/>
      <c r="O107"/>
    </row>
    <row r="108" spans="12:15" x14ac:dyDescent="0.25">
      <c r="L108"/>
      <c r="M108"/>
      <c r="N108"/>
      <c r="O108"/>
    </row>
    <row r="109" spans="12:15" x14ac:dyDescent="0.25">
      <c r="L109"/>
      <c r="M109"/>
      <c r="N109"/>
      <c r="O109"/>
    </row>
    <row r="110" spans="12:15" x14ac:dyDescent="0.25">
      <c r="L110"/>
      <c r="M110"/>
      <c r="N110"/>
      <c r="O110"/>
    </row>
    <row r="111" spans="12:15" x14ac:dyDescent="0.25">
      <c r="L111"/>
      <c r="M111"/>
      <c r="N111"/>
      <c r="O111"/>
    </row>
    <row r="112" spans="12:15" x14ac:dyDescent="0.25">
      <c r="L112"/>
      <c r="M112"/>
      <c r="N112"/>
      <c r="O112"/>
    </row>
    <row r="113" spans="2:15" x14ac:dyDescent="0.25">
      <c r="L113"/>
      <c r="M113"/>
      <c r="N113"/>
      <c r="O113"/>
    </row>
    <row r="114" spans="2:15" x14ac:dyDescent="0.25">
      <c r="L114"/>
      <c r="M114"/>
      <c r="N114"/>
      <c r="O114"/>
    </row>
    <row r="115" spans="2:15" x14ac:dyDescent="0.25">
      <c r="L115"/>
      <c r="M115"/>
      <c r="N115"/>
      <c r="O115"/>
    </row>
    <row r="116" spans="2:15" x14ac:dyDescent="0.25">
      <c r="L116"/>
      <c r="M116"/>
      <c r="N116"/>
      <c r="O116"/>
    </row>
    <row r="117" spans="2:15" x14ac:dyDescent="0.25">
      <c r="L117"/>
      <c r="M117"/>
      <c r="N117"/>
      <c r="O117"/>
    </row>
    <row r="118" spans="2:15" x14ac:dyDescent="0.25">
      <c r="L118"/>
      <c r="M118"/>
      <c r="N118"/>
      <c r="O118"/>
    </row>
    <row r="119" spans="2:15" x14ac:dyDescent="0.25">
      <c r="L119"/>
      <c r="M119"/>
      <c r="N119"/>
      <c r="O119"/>
    </row>
    <row r="120" spans="2:15" x14ac:dyDescent="0.25">
      <c r="L120"/>
      <c r="M120"/>
      <c r="N120"/>
      <c r="O120"/>
    </row>
    <row r="121" spans="2:15" x14ac:dyDescent="0.25">
      <c r="B121"/>
      <c r="C121"/>
      <c r="D121"/>
      <c r="L121"/>
      <c r="M121"/>
      <c r="N121"/>
      <c r="O121"/>
    </row>
    <row r="122" spans="2:15" x14ac:dyDescent="0.25">
      <c r="B122"/>
      <c r="C122"/>
      <c r="D122"/>
      <c r="L122"/>
      <c r="M122"/>
      <c r="N122"/>
      <c r="O122"/>
    </row>
    <row r="123" spans="2:15" x14ac:dyDescent="0.25">
      <c r="B123"/>
      <c r="C123"/>
      <c r="D123"/>
      <c r="L123"/>
      <c r="M123"/>
      <c r="N123"/>
      <c r="O123"/>
    </row>
    <row r="124" spans="2:15" x14ac:dyDescent="0.25">
      <c r="B124"/>
      <c r="C124"/>
      <c r="D124"/>
      <c r="L124"/>
      <c r="M124"/>
      <c r="N124"/>
      <c r="O124"/>
    </row>
    <row r="125" spans="2:15" x14ac:dyDescent="0.25">
      <c r="B125"/>
      <c r="C125"/>
      <c r="D125"/>
      <c r="L125"/>
      <c r="M125"/>
      <c r="N125"/>
      <c r="O125"/>
    </row>
    <row r="126" spans="2:15" x14ac:dyDescent="0.25">
      <c r="B126"/>
      <c r="C126"/>
      <c r="D126"/>
      <c r="L126"/>
      <c r="M126"/>
      <c r="N126"/>
      <c r="O126"/>
    </row>
    <row r="127" spans="2:15" x14ac:dyDescent="0.25">
      <c r="B127"/>
      <c r="C127"/>
      <c r="D127"/>
      <c r="L127"/>
      <c r="M127"/>
      <c r="N127"/>
      <c r="O127"/>
    </row>
    <row r="128" spans="2:15" x14ac:dyDescent="0.25">
      <c r="B128"/>
      <c r="C128"/>
      <c r="D128"/>
      <c r="L128"/>
      <c r="M128"/>
      <c r="N128"/>
      <c r="O128"/>
    </row>
    <row r="129" spans="2:15" x14ac:dyDescent="0.25">
      <c r="B129"/>
      <c r="C129"/>
      <c r="D129"/>
      <c r="L129"/>
      <c r="M129"/>
      <c r="N129"/>
      <c r="O129"/>
    </row>
    <row r="130" spans="2:15" x14ac:dyDescent="0.25">
      <c r="B130"/>
      <c r="C130"/>
      <c r="D130"/>
      <c r="L130"/>
      <c r="M130"/>
      <c r="N130"/>
      <c r="O130"/>
    </row>
    <row r="131" spans="2:15" x14ac:dyDescent="0.25">
      <c r="B131"/>
      <c r="C131"/>
      <c r="D131"/>
      <c r="L131"/>
      <c r="M131"/>
      <c r="N131"/>
      <c r="O131"/>
    </row>
    <row r="132" spans="2:15" x14ac:dyDescent="0.25">
      <c r="B132"/>
      <c r="C132"/>
      <c r="D132"/>
      <c r="L132"/>
      <c r="M132"/>
      <c r="N132"/>
      <c r="O132"/>
    </row>
    <row r="133" spans="2:15" x14ac:dyDescent="0.25">
      <c r="B133"/>
      <c r="C133"/>
      <c r="D133"/>
      <c r="L133"/>
      <c r="M133"/>
      <c r="N133"/>
      <c r="O133"/>
    </row>
    <row r="134" spans="2:15" x14ac:dyDescent="0.25">
      <c r="B134"/>
      <c r="C134"/>
      <c r="D134"/>
      <c r="L134"/>
      <c r="M134"/>
      <c r="N134"/>
      <c r="O134"/>
    </row>
    <row r="135" spans="2:15" x14ac:dyDescent="0.25">
      <c r="B135"/>
      <c r="C135"/>
      <c r="D135"/>
      <c r="L135"/>
      <c r="M135"/>
      <c r="N135"/>
      <c r="O135"/>
    </row>
    <row r="136" spans="2:15" x14ac:dyDescent="0.25">
      <c r="B136"/>
      <c r="C136"/>
      <c r="D136"/>
      <c r="L136"/>
      <c r="M136"/>
      <c r="N136"/>
      <c r="O136"/>
    </row>
    <row r="137" spans="2:15" x14ac:dyDescent="0.25">
      <c r="B137"/>
      <c r="C137"/>
      <c r="D137"/>
      <c r="L137"/>
      <c r="M137"/>
      <c r="N137"/>
      <c r="O137"/>
    </row>
    <row r="138" spans="2:15" x14ac:dyDescent="0.25">
      <c r="B138"/>
      <c r="C138"/>
      <c r="D138"/>
      <c r="L138"/>
      <c r="M138"/>
      <c r="N138"/>
      <c r="O138"/>
    </row>
    <row r="139" spans="2:15" x14ac:dyDescent="0.25">
      <c r="B139"/>
      <c r="C139"/>
      <c r="D139"/>
      <c r="L139"/>
      <c r="M139"/>
      <c r="N139"/>
      <c r="O139"/>
    </row>
    <row r="140" spans="2:15" x14ac:dyDescent="0.25">
      <c r="B140"/>
      <c r="C140"/>
      <c r="D140"/>
      <c r="L140"/>
      <c r="M140"/>
      <c r="N140"/>
      <c r="O140"/>
    </row>
    <row r="141" spans="2:15" x14ac:dyDescent="0.25">
      <c r="B141"/>
      <c r="C141"/>
      <c r="L141"/>
      <c r="M141"/>
      <c r="N141"/>
      <c r="O141"/>
    </row>
    <row r="142" spans="2:15" x14ac:dyDescent="0.25">
      <c r="L142"/>
      <c r="M142"/>
      <c r="N142"/>
      <c r="O142"/>
    </row>
    <row r="143" spans="2:15" x14ac:dyDescent="0.25">
      <c r="L143"/>
      <c r="M143"/>
      <c r="N143"/>
      <c r="O143"/>
    </row>
    <row r="144" spans="2:15" x14ac:dyDescent="0.25">
      <c r="L144"/>
      <c r="M144"/>
      <c r="N144"/>
      <c r="O144"/>
    </row>
    <row r="145" spans="12:15" x14ac:dyDescent="0.25">
      <c r="L145"/>
      <c r="M145"/>
      <c r="N145"/>
      <c r="O145"/>
    </row>
    <row r="146" spans="12:15" x14ac:dyDescent="0.25">
      <c r="L146"/>
      <c r="M146"/>
      <c r="N146"/>
      <c r="O146"/>
    </row>
    <row r="147" spans="12:15" x14ac:dyDescent="0.25">
      <c r="L147"/>
      <c r="M147"/>
      <c r="N147"/>
      <c r="O147"/>
    </row>
    <row r="148" spans="12:15" x14ac:dyDescent="0.25">
      <c r="L148"/>
      <c r="M148"/>
      <c r="N148"/>
      <c r="O148"/>
    </row>
    <row r="149" spans="12:15" x14ac:dyDescent="0.25">
      <c r="L149"/>
      <c r="M149"/>
      <c r="N149"/>
      <c r="O149"/>
    </row>
    <row r="150" spans="12:15" x14ac:dyDescent="0.25">
      <c r="L150"/>
      <c r="M150"/>
      <c r="N150"/>
      <c r="O150"/>
    </row>
    <row r="151" spans="12:15" x14ac:dyDescent="0.25">
      <c r="L151"/>
      <c r="M151"/>
      <c r="N151"/>
      <c r="O151"/>
    </row>
    <row r="152" spans="12:15" x14ac:dyDescent="0.25">
      <c r="L152"/>
      <c r="M152"/>
      <c r="N152"/>
      <c r="O152"/>
    </row>
    <row r="153" spans="12:15" x14ac:dyDescent="0.25">
      <c r="L153"/>
      <c r="M153"/>
      <c r="N153"/>
      <c r="O153"/>
    </row>
    <row r="154" spans="12:15" x14ac:dyDescent="0.25">
      <c r="L154"/>
      <c r="M154"/>
      <c r="N154"/>
      <c r="O154"/>
    </row>
    <row r="155" spans="12:15" x14ac:dyDescent="0.25">
      <c r="L155"/>
      <c r="M155"/>
      <c r="N155"/>
      <c r="O155"/>
    </row>
    <row r="156" spans="12:15" x14ac:dyDescent="0.25">
      <c r="L156"/>
      <c r="M156"/>
      <c r="N156"/>
      <c r="O156"/>
    </row>
    <row r="157" spans="12:15" x14ac:dyDescent="0.25">
      <c r="L157"/>
      <c r="M157"/>
      <c r="N157"/>
      <c r="O157"/>
    </row>
    <row r="158" spans="12:15" x14ac:dyDescent="0.25">
      <c r="L158"/>
      <c r="M158"/>
      <c r="N158"/>
      <c r="O158"/>
    </row>
    <row r="159" spans="12:15" x14ac:dyDescent="0.25">
      <c r="L159"/>
      <c r="M159"/>
      <c r="N159"/>
      <c r="O159"/>
    </row>
    <row r="160" spans="12:15" x14ac:dyDescent="0.25">
      <c r="L160"/>
      <c r="M160"/>
      <c r="N160"/>
      <c r="O160"/>
    </row>
    <row r="161" spans="12:15" x14ac:dyDescent="0.25">
      <c r="L161"/>
      <c r="M161"/>
      <c r="N161"/>
      <c r="O161"/>
    </row>
    <row r="162" spans="12:15" x14ac:dyDescent="0.25">
      <c r="L162"/>
      <c r="M162"/>
      <c r="N162"/>
      <c r="O162"/>
    </row>
    <row r="163" spans="12:15" x14ac:dyDescent="0.25">
      <c r="L163"/>
      <c r="M163"/>
      <c r="N163"/>
      <c r="O163"/>
    </row>
    <row r="164" spans="12:15" x14ac:dyDescent="0.25">
      <c r="L164"/>
      <c r="M164"/>
      <c r="N164"/>
      <c r="O164"/>
    </row>
    <row r="165" spans="12:15" x14ac:dyDescent="0.25">
      <c r="L165"/>
      <c r="M165"/>
      <c r="N165"/>
      <c r="O165"/>
    </row>
    <row r="166" spans="12:15" x14ac:dyDescent="0.25">
      <c r="L166"/>
      <c r="M166"/>
      <c r="N166"/>
      <c r="O166"/>
    </row>
    <row r="167" spans="12:15" x14ac:dyDescent="0.25">
      <c r="L167"/>
      <c r="M167"/>
      <c r="N167"/>
      <c r="O167"/>
    </row>
    <row r="168" spans="12:15" x14ac:dyDescent="0.25">
      <c r="L168"/>
      <c r="M168"/>
      <c r="N168"/>
      <c r="O168"/>
    </row>
    <row r="169" spans="12:15" x14ac:dyDescent="0.25">
      <c r="L169"/>
      <c r="M169"/>
      <c r="N169"/>
      <c r="O169"/>
    </row>
    <row r="170" spans="12:15" x14ac:dyDescent="0.25">
      <c r="L170"/>
      <c r="M170"/>
      <c r="N170"/>
      <c r="O170"/>
    </row>
    <row r="171" spans="12:15" x14ac:dyDescent="0.25">
      <c r="L171"/>
      <c r="M171"/>
      <c r="N171"/>
      <c r="O171"/>
    </row>
    <row r="172" spans="12:15" x14ac:dyDescent="0.25">
      <c r="L172"/>
      <c r="M172"/>
      <c r="N172"/>
      <c r="O172"/>
    </row>
    <row r="173" spans="12:15" x14ac:dyDescent="0.25">
      <c r="L173"/>
      <c r="M173"/>
      <c r="N173"/>
      <c r="O173"/>
    </row>
    <row r="174" spans="12:15" x14ac:dyDescent="0.25">
      <c r="L174"/>
      <c r="M174"/>
      <c r="N174"/>
      <c r="O174"/>
    </row>
    <row r="175" spans="12:15" x14ac:dyDescent="0.25">
      <c r="L175"/>
      <c r="M175"/>
      <c r="N175"/>
      <c r="O175"/>
    </row>
    <row r="176" spans="12:15" x14ac:dyDescent="0.25">
      <c r="L176"/>
      <c r="M176"/>
      <c r="N176"/>
      <c r="O176"/>
    </row>
    <row r="177" spans="12:15" x14ac:dyDescent="0.25">
      <c r="L177"/>
      <c r="M177"/>
      <c r="N177"/>
      <c r="O177"/>
    </row>
    <row r="178" spans="12:15" x14ac:dyDescent="0.25">
      <c r="L178"/>
      <c r="M178"/>
      <c r="N178"/>
      <c r="O178"/>
    </row>
    <row r="179" spans="12:15" x14ac:dyDescent="0.25">
      <c r="L179"/>
      <c r="M179"/>
      <c r="N179"/>
      <c r="O179"/>
    </row>
    <row r="180" spans="12:15" x14ac:dyDescent="0.25">
      <c r="L180"/>
      <c r="M180"/>
      <c r="N180"/>
      <c r="O180"/>
    </row>
    <row r="181" spans="12:15" x14ac:dyDescent="0.25">
      <c r="L181"/>
      <c r="M181"/>
      <c r="N181"/>
      <c r="O181"/>
    </row>
    <row r="182" spans="12:15" x14ac:dyDescent="0.25">
      <c r="L182"/>
      <c r="M182"/>
      <c r="N182"/>
      <c r="O182"/>
    </row>
    <row r="183" spans="12:15" x14ac:dyDescent="0.25">
      <c r="L183"/>
      <c r="M183"/>
      <c r="N183"/>
      <c r="O183"/>
    </row>
    <row r="184" spans="12:15" x14ac:dyDescent="0.25">
      <c r="L184"/>
      <c r="M184"/>
      <c r="N184"/>
      <c r="O184"/>
    </row>
    <row r="185" spans="12:15" x14ac:dyDescent="0.25">
      <c r="L185"/>
      <c r="M185"/>
      <c r="N185"/>
      <c r="O185"/>
    </row>
    <row r="186" spans="12:15" x14ac:dyDescent="0.25">
      <c r="L186"/>
      <c r="M186"/>
      <c r="N186"/>
      <c r="O186"/>
    </row>
    <row r="187" spans="12:15" x14ac:dyDescent="0.25">
      <c r="L187"/>
      <c r="M187"/>
      <c r="N187"/>
      <c r="O187"/>
    </row>
    <row r="188" spans="12:15" x14ac:dyDescent="0.25">
      <c r="L188"/>
      <c r="M188"/>
      <c r="N188"/>
      <c r="O188"/>
    </row>
    <row r="189" spans="12:15" x14ac:dyDescent="0.25">
      <c r="L189"/>
      <c r="M189"/>
      <c r="N189"/>
      <c r="O189"/>
    </row>
    <row r="190" spans="12:15" x14ac:dyDescent="0.25">
      <c r="L190"/>
      <c r="M190"/>
      <c r="N190"/>
      <c r="O190"/>
    </row>
    <row r="191" spans="12:15" x14ac:dyDescent="0.25">
      <c r="L191"/>
      <c r="M191"/>
      <c r="N191"/>
      <c r="O191"/>
    </row>
    <row r="192" spans="12:15" x14ac:dyDescent="0.25">
      <c r="L192"/>
      <c r="M192"/>
      <c r="N192"/>
      <c r="O192"/>
    </row>
    <row r="193" spans="12:15" x14ac:dyDescent="0.25">
      <c r="L193"/>
      <c r="M193"/>
      <c r="N193"/>
      <c r="O193"/>
    </row>
    <row r="194" spans="12:15" x14ac:dyDescent="0.25">
      <c r="L194"/>
      <c r="M194"/>
      <c r="N194"/>
      <c r="O194"/>
    </row>
    <row r="195" spans="12:15" x14ac:dyDescent="0.25">
      <c r="L195"/>
      <c r="M195"/>
      <c r="N195"/>
      <c r="O195"/>
    </row>
    <row r="196" spans="12:15" x14ac:dyDescent="0.25">
      <c r="L196"/>
      <c r="M196"/>
      <c r="N196"/>
      <c r="O196"/>
    </row>
    <row r="197" spans="12:15" x14ac:dyDescent="0.25">
      <c r="L197"/>
      <c r="M197"/>
      <c r="N197"/>
      <c r="O197"/>
    </row>
    <row r="198" spans="12:15" x14ac:dyDescent="0.25">
      <c r="L198"/>
      <c r="M198"/>
      <c r="N198"/>
      <c r="O198"/>
    </row>
    <row r="199" spans="12:15" x14ac:dyDescent="0.25">
      <c r="L199"/>
      <c r="M199"/>
      <c r="N199"/>
      <c r="O199"/>
    </row>
    <row r="200" spans="12:15" x14ac:dyDescent="0.25">
      <c r="L200"/>
      <c r="M200"/>
      <c r="N200"/>
      <c r="O200"/>
    </row>
    <row r="201" spans="12:15" x14ac:dyDescent="0.25">
      <c r="L201"/>
      <c r="M201"/>
      <c r="N201"/>
      <c r="O201"/>
    </row>
    <row r="202" spans="12:15" x14ac:dyDescent="0.25">
      <c r="L202"/>
      <c r="M202"/>
      <c r="N202"/>
      <c r="O202"/>
    </row>
    <row r="203" spans="12:15" x14ac:dyDescent="0.25">
      <c r="L203"/>
      <c r="M203"/>
      <c r="N203"/>
      <c r="O203"/>
    </row>
    <row r="204" spans="12:15" x14ac:dyDescent="0.25">
      <c r="L204"/>
      <c r="M204"/>
      <c r="N204"/>
      <c r="O204"/>
    </row>
    <row r="205" spans="12:15" x14ac:dyDescent="0.25">
      <c r="L205"/>
      <c r="M205"/>
      <c r="N205"/>
      <c r="O205"/>
    </row>
    <row r="206" spans="12:15" x14ac:dyDescent="0.25">
      <c r="L206"/>
      <c r="M206"/>
      <c r="N206"/>
      <c r="O206"/>
    </row>
    <row r="207" spans="12:15" x14ac:dyDescent="0.25">
      <c r="L207"/>
      <c r="M207"/>
      <c r="N207"/>
      <c r="O207"/>
    </row>
    <row r="208" spans="12:15" x14ac:dyDescent="0.25">
      <c r="L208"/>
      <c r="M208"/>
      <c r="N208"/>
      <c r="O208"/>
    </row>
    <row r="209" spans="12:15" x14ac:dyDescent="0.25">
      <c r="L209"/>
      <c r="M209"/>
      <c r="N209"/>
      <c r="O209"/>
    </row>
    <row r="210" spans="12:15" x14ac:dyDescent="0.25">
      <c r="L210"/>
      <c r="M210"/>
      <c r="N210"/>
      <c r="O210"/>
    </row>
    <row r="211" spans="12:15" x14ac:dyDescent="0.25">
      <c r="L211"/>
      <c r="M211"/>
      <c r="N211"/>
      <c r="O211"/>
    </row>
    <row r="212" spans="12:15" x14ac:dyDescent="0.25">
      <c r="L212"/>
      <c r="M212"/>
      <c r="N212"/>
      <c r="O212"/>
    </row>
    <row r="213" spans="12:15" x14ac:dyDescent="0.25">
      <c r="L213"/>
      <c r="M213"/>
      <c r="N213"/>
      <c r="O213"/>
    </row>
    <row r="214" spans="12:15" x14ac:dyDescent="0.25">
      <c r="L214"/>
      <c r="M214"/>
      <c r="N214"/>
      <c r="O214"/>
    </row>
    <row r="215" spans="12:15" x14ac:dyDescent="0.25">
      <c r="L215"/>
      <c r="M215"/>
      <c r="N215"/>
      <c r="O215"/>
    </row>
    <row r="216" spans="12:15" x14ac:dyDescent="0.25">
      <c r="L216"/>
      <c r="M216"/>
      <c r="N216"/>
      <c r="O216"/>
    </row>
    <row r="217" spans="12:15" x14ac:dyDescent="0.25">
      <c r="L217"/>
      <c r="M217"/>
      <c r="N217"/>
      <c r="O217"/>
    </row>
    <row r="218" spans="12:15" x14ac:dyDescent="0.25">
      <c r="L218"/>
      <c r="M218"/>
      <c r="N218"/>
      <c r="O218"/>
    </row>
    <row r="219" spans="12:15" x14ac:dyDescent="0.25">
      <c r="L219"/>
      <c r="M219"/>
      <c r="N219"/>
      <c r="O219"/>
    </row>
    <row r="220" spans="12:15" x14ac:dyDescent="0.25">
      <c r="L220"/>
      <c r="M220"/>
      <c r="N220"/>
      <c r="O220"/>
    </row>
    <row r="221" spans="12:15" x14ac:dyDescent="0.25">
      <c r="L221"/>
      <c r="M221"/>
      <c r="N221"/>
      <c r="O221"/>
    </row>
    <row r="222" spans="12:15" x14ac:dyDescent="0.25">
      <c r="L222"/>
      <c r="M222"/>
      <c r="N222"/>
      <c r="O222"/>
    </row>
    <row r="223" spans="12:15" x14ac:dyDescent="0.25">
      <c r="L223"/>
      <c r="M223"/>
      <c r="N223"/>
      <c r="O223"/>
    </row>
    <row r="224" spans="12:15" x14ac:dyDescent="0.25">
      <c r="L224"/>
      <c r="M224"/>
      <c r="N224"/>
      <c r="O224"/>
    </row>
    <row r="225" spans="12:15" x14ac:dyDescent="0.25">
      <c r="L225"/>
      <c r="M225"/>
      <c r="N225"/>
      <c r="O225"/>
    </row>
    <row r="226" spans="12:15" x14ac:dyDescent="0.25">
      <c r="L226"/>
      <c r="M226"/>
      <c r="N226"/>
      <c r="O226"/>
    </row>
    <row r="227" spans="12:15" x14ac:dyDescent="0.25">
      <c r="L227"/>
      <c r="M227"/>
      <c r="N227"/>
      <c r="O227"/>
    </row>
    <row r="228" spans="12:15" x14ac:dyDescent="0.25">
      <c r="L228"/>
      <c r="M228"/>
      <c r="N228"/>
      <c r="O228"/>
    </row>
    <row r="229" spans="12:15" x14ac:dyDescent="0.25">
      <c r="L229"/>
      <c r="M229"/>
      <c r="N229"/>
      <c r="O229"/>
    </row>
    <row r="230" spans="12:15" x14ac:dyDescent="0.25">
      <c r="L230"/>
      <c r="M230"/>
      <c r="N230"/>
      <c r="O230"/>
    </row>
    <row r="231" spans="12:15" x14ac:dyDescent="0.25">
      <c r="L231"/>
      <c r="M231"/>
      <c r="N231"/>
      <c r="O231"/>
    </row>
    <row r="232" spans="12:15" x14ac:dyDescent="0.25">
      <c r="L232"/>
      <c r="M232"/>
      <c r="N232"/>
      <c r="O232"/>
    </row>
    <row r="233" spans="12:15" x14ac:dyDescent="0.25">
      <c r="L233"/>
      <c r="M233"/>
      <c r="N233"/>
      <c r="O233"/>
    </row>
    <row r="234" spans="12:15" x14ac:dyDescent="0.25">
      <c r="L234"/>
      <c r="M234"/>
      <c r="N234"/>
      <c r="O234"/>
    </row>
    <row r="235" spans="12:15" x14ac:dyDescent="0.25">
      <c r="L235"/>
      <c r="M235"/>
      <c r="N235"/>
      <c r="O235"/>
    </row>
    <row r="236" spans="12:15" x14ac:dyDescent="0.25">
      <c r="L236"/>
      <c r="M236"/>
      <c r="N236"/>
      <c r="O236"/>
    </row>
    <row r="237" spans="12:15" x14ac:dyDescent="0.25">
      <c r="L237"/>
      <c r="M237"/>
      <c r="N237"/>
      <c r="O237"/>
    </row>
    <row r="238" spans="12:15" x14ac:dyDescent="0.25">
      <c r="L238"/>
      <c r="M238"/>
      <c r="N238"/>
      <c r="O238"/>
    </row>
    <row r="239" spans="12:15" x14ac:dyDescent="0.25">
      <c r="L239"/>
      <c r="M239"/>
      <c r="N239"/>
      <c r="O239"/>
    </row>
    <row r="240" spans="12:15" x14ac:dyDescent="0.25">
      <c r="L240"/>
      <c r="M240"/>
      <c r="N240"/>
      <c r="O240"/>
    </row>
    <row r="241" spans="12:15" x14ac:dyDescent="0.25">
      <c r="L241"/>
      <c r="M241"/>
      <c r="N241"/>
      <c r="O241"/>
    </row>
    <row r="242" spans="12:15" x14ac:dyDescent="0.25">
      <c r="L242"/>
      <c r="M242"/>
      <c r="N242"/>
      <c r="O242"/>
    </row>
    <row r="243" spans="12:15" x14ac:dyDescent="0.25">
      <c r="L243"/>
      <c r="M243"/>
      <c r="N243"/>
      <c r="O243"/>
    </row>
    <row r="244" spans="12:15" x14ac:dyDescent="0.25">
      <c r="L244"/>
      <c r="M244"/>
      <c r="N244"/>
      <c r="O244"/>
    </row>
    <row r="245" spans="12:15" x14ac:dyDescent="0.25">
      <c r="L245"/>
      <c r="M245"/>
      <c r="N245"/>
      <c r="O245"/>
    </row>
    <row r="246" spans="12:15" x14ac:dyDescent="0.25">
      <c r="L246"/>
      <c r="M246"/>
      <c r="N246"/>
      <c r="O246"/>
    </row>
    <row r="247" spans="12:15" x14ac:dyDescent="0.25">
      <c r="L247"/>
      <c r="M247"/>
      <c r="N247"/>
      <c r="O247"/>
    </row>
    <row r="248" spans="12:15" x14ac:dyDescent="0.25">
      <c r="L248"/>
      <c r="M248"/>
      <c r="N248"/>
      <c r="O248"/>
    </row>
    <row r="249" spans="12:15" x14ac:dyDescent="0.25">
      <c r="L249"/>
      <c r="M249"/>
      <c r="N249"/>
      <c r="O249"/>
    </row>
    <row r="250" spans="12:15" x14ac:dyDescent="0.25">
      <c r="L250"/>
      <c r="M250"/>
      <c r="N250"/>
      <c r="O250"/>
    </row>
    <row r="251" spans="12:15" x14ac:dyDescent="0.25">
      <c r="L251"/>
      <c r="M251"/>
      <c r="N251"/>
      <c r="O251"/>
    </row>
    <row r="252" spans="12:15" x14ac:dyDescent="0.25">
      <c r="L252"/>
      <c r="M252"/>
      <c r="N252"/>
      <c r="O252"/>
    </row>
    <row r="253" spans="12:15" x14ac:dyDescent="0.25">
      <c r="L253"/>
      <c r="M253"/>
      <c r="N253"/>
      <c r="O253"/>
    </row>
    <row r="254" spans="12:15" x14ac:dyDescent="0.25">
      <c r="L254"/>
      <c r="M254"/>
      <c r="N254"/>
      <c r="O254"/>
    </row>
    <row r="255" spans="12:15" x14ac:dyDescent="0.25">
      <c r="L255"/>
      <c r="M255"/>
      <c r="N255"/>
      <c r="O255"/>
    </row>
    <row r="256" spans="12:15" x14ac:dyDescent="0.25">
      <c r="L256"/>
      <c r="M256"/>
      <c r="N256"/>
      <c r="O256"/>
    </row>
    <row r="257" spans="12:15" x14ac:dyDescent="0.25">
      <c r="L257"/>
      <c r="M257"/>
      <c r="N257"/>
      <c r="O257"/>
    </row>
    <row r="258" spans="12:15" x14ac:dyDescent="0.25">
      <c r="L258"/>
      <c r="M258"/>
      <c r="N258"/>
      <c r="O258"/>
    </row>
    <row r="259" spans="12:15" x14ac:dyDescent="0.25">
      <c r="L259"/>
      <c r="M259"/>
      <c r="N259"/>
      <c r="O259"/>
    </row>
    <row r="260" spans="12:15" x14ac:dyDescent="0.25">
      <c r="L260"/>
      <c r="M260"/>
      <c r="N260"/>
      <c r="O260"/>
    </row>
    <row r="261" spans="12:15" x14ac:dyDescent="0.25">
      <c r="L261"/>
      <c r="M261"/>
      <c r="N261"/>
      <c r="O261"/>
    </row>
    <row r="262" spans="12:15" x14ac:dyDescent="0.25">
      <c r="L262"/>
      <c r="M262"/>
      <c r="N262"/>
      <c r="O262"/>
    </row>
    <row r="263" spans="12:15" x14ac:dyDescent="0.25">
      <c r="L263"/>
      <c r="M263"/>
      <c r="N263"/>
      <c r="O263"/>
    </row>
    <row r="264" spans="12:15" x14ac:dyDescent="0.25">
      <c r="L264"/>
      <c r="M264"/>
      <c r="N264"/>
      <c r="O264"/>
    </row>
    <row r="265" spans="12:15" x14ac:dyDescent="0.25">
      <c r="L265"/>
      <c r="M265"/>
      <c r="N265"/>
      <c r="O265"/>
    </row>
    <row r="266" spans="12:15" x14ac:dyDescent="0.25">
      <c r="L266"/>
      <c r="M266"/>
      <c r="N266"/>
      <c r="O266"/>
    </row>
    <row r="267" spans="12:15" x14ac:dyDescent="0.25">
      <c r="L267"/>
      <c r="M267"/>
      <c r="N267"/>
      <c r="O267"/>
    </row>
    <row r="268" spans="12:15" x14ac:dyDescent="0.25">
      <c r="L268"/>
      <c r="M268"/>
      <c r="N268"/>
      <c r="O268"/>
    </row>
    <row r="269" spans="12:15" x14ac:dyDescent="0.25">
      <c r="L269"/>
      <c r="M269"/>
      <c r="N269"/>
      <c r="O269"/>
    </row>
    <row r="270" spans="12:15" x14ac:dyDescent="0.25">
      <c r="L270"/>
      <c r="M270"/>
      <c r="N270"/>
      <c r="O270"/>
    </row>
    <row r="271" spans="12:15" x14ac:dyDescent="0.25">
      <c r="L271"/>
      <c r="M271"/>
      <c r="N271"/>
      <c r="O271"/>
    </row>
    <row r="272" spans="12:15" x14ac:dyDescent="0.25">
      <c r="L272"/>
      <c r="M272"/>
      <c r="N272"/>
      <c r="O272"/>
    </row>
    <row r="273" spans="12:15" x14ac:dyDescent="0.25">
      <c r="L273"/>
      <c r="M273"/>
      <c r="N273"/>
      <c r="O273"/>
    </row>
    <row r="274" spans="12:15" x14ac:dyDescent="0.25">
      <c r="L274"/>
      <c r="M274"/>
      <c r="N274"/>
      <c r="O274"/>
    </row>
    <row r="275" spans="12:15" x14ac:dyDescent="0.25">
      <c r="L275"/>
      <c r="M275"/>
      <c r="N275"/>
      <c r="O275"/>
    </row>
    <row r="276" spans="12:15" x14ac:dyDescent="0.25">
      <c r="L276"/>
      <c r="M276"/>
      <c r="N276"/>
      <c r="O276"/>
    </row>
    <row r="277" spans="12:15" x14ac:dyDescent="0.25">
      <c r="L277"/>
      <c r="M277"/>
      <c r="N277"/>
      <c r="O277"/>
    </row>
    <row r="278" spans="12:15" x14ac:dyDescent="0.25">
      <c r="L278"/>
      <c r="M278"/>
      <c r="N278"/>
      <c r="O278"/>
    </row>
    <row r="279" spans="12:15" x14ac:dyDescent="0.25">
      <c r="L279"/>
      <c r="M279"/>
      <c r="N279"/>
      <c r="O279"/>
    </row>
    <row r="280" spans="12:15" x14ac:dyDescent="0.25">
      <c r="L280"/>
      <c r="M280"/>
      <c r="N280"/>
      <c r="O280"/>
    </row>
    <row r="281" spans="12:15" x14ac:dyDescent="0.25">
      <c r="L281"/>
      <c r="M281"/>
      <c r="N281"/>
      <c r="O281"/>
    </row>
    <row r="282" spans="12:15" x14ac:dyDescent="0.25">
      <c r="L282"/>
      <c r="M282"/>
      <c r="N282"/>
      <c r="O282"/>
    </row>
    <row r="283" spans="12:15" x14ac:dyDescent="0.25">
      <c r="L283"/>
      <c r="M283"/>
      <c r="N283"/>
      <c r="O283"/>
    </row>
    <row r="284" spans="12:15" x14ac:dyDescent="0.25">
      <c r="L284"/>
      <c r="M284"/>
      <c r="N284"/>
      <c r="O284"/>
    </row>
    <row r="285" spans="12:15" x14ac:dyDescent="0.25">
      <c r="L285"/>
      <c r="M285"/>
      <c r="N285"/>
      <c r="O285"/>
    </row>
    <row r="286" spans="12:15" x14ac:dyDescent="0.25">
      <c r="L286"/>
      <c r="M286"/>
      <c r="N286"/>
      <c r="O286"/>
    </row>
    <row r="287" spans="12:15" x14ac:dyDescent="0.25">
      <c r="L287"/>
      <c r="M287"/>
      <c r="N287"/>
      <c r="O287"/>
    </row>
    <row r="288" spans="12:15" x14ac:dyDescent="0.25">
      <c r="L288"/>
      <c r="M288"/>
      <c r="N288"/>
      <c r="O288"/>
    </row>
    <row r="289" spans="12:15" x14ac:dyDescent="0.25">
      <c r="L289"/>
      <c r="M289"/>
      <c r="N289"/>
      <c r="O289"/>
    </row>
    <row r="290" spans="12:15" x14ac:dyDescent="0.25">
      <c r="L290"/>
      <c r="M290"/>
      <c r="N290"/>
      <c r="O290"/>
    </row>
    <row r="291" spans="12:15" x14ac:dyDescent="0.25">
      <c r="L291"/>
      <c r="M291"/>
      <c r="N291"/>
      <c r="O291"/>
    </row>
    <row r="292" spans="12:15" x14ac:dyDescent="0.25">
      <c r="L292"/>
      <c r="M292"/>
      <c r="N292"/>
      <c r="O292"/>
    </row>
    <row r="293" spans="12:15" x14ac:dyDescent="0.25">
      <c r="L293"/>
      <c r="M293"/>
      <c r="N293"/>
      <c r="O293"/>
    </row>
    <row r="294" spans="12:15" x14ac:dyDescent="0.25">
      <c r="L294"/>
      <c r="M294"/>
      <c r="N294"/>
      <c r="O294"/>
    </row>
    <row r="295" spans="12:15" x14ac:dyDescent="0.25">
      <c r="L295"/>
      <c r="M295"/>
      <c r="N295"/>
      <c r="O295"/>
    </row>
    <row r="296" spans="12:15" x14ac:dyDescent="0.25">
      <c r="L296"/>
      <c r="M296"/>
      <c r="N296"/>
      <c r="O296"/>
    </row>
    <row r="297" spans="12:15" x14ac:dyDescent="0.25">
      <c r="L297"/>
      <c r="M297"/>
      <c r="N297"/>
      <c r="O297"/>
    </row>
    <row r="298" spans="12:15" x14ac:dyDescent="0.25">
      <c r="L298"/>
      <c r="M298"/>
      <c r="N298"/>
      <c r="O298"/>
    </row>
    <row r="299" spans="12:15" x14ac:dyDescent="0.25">
      <c r="L299"/>
      <c r="M299"/>
      <c r="N299"/>
      <c r="O299"/>
    </row>
    <row r="300" spans="12:15" x14ac:dyDescent="0.25">
      <c r="L300"/>
      <c r="M300"/>
      <c r="N300"/>
      <c r="O300"/>
    </row>
    <row r="301" spans="12:15" x14ac:dyDescent="0.25">
      <c r="L301"/>
      <c r="M301"/>
      <c r="N301"/>
      <c r="O301"/>
    </row>
    <row r="302" spans="12:15" x14ac:dyDescent="0.25">
      <c r="L302"/>
      <c r="M302"/>
      <c r="N302"/>
      <c r="O302"/>
    </row>
    <row r="303" spans="12:15" x14ac:dyDescent="0.25">
      <c r="L303"/>
      <c r="M303"/>
      <c r="N303"/>
      <c r="O303"/>
    </row>
    <row r="304" spans="12:15" x14ac:dyDescent="0.25">
      <c r="L304"/>
      <c r="M304"/>
      <c r="N304"/>
      <c r="O304"/>
    </row>
    <row r="305" spans="12:15" x14ac:dyDescent="0.25">
      <c r="L305"/>
      <c r="M305"/>
      <c r="N305"/>
      <c r="O305"/>
    </row>
    <row r="306" spans="12:15" x14ac:dyDescent="0.25">
      <c r="L306"/>
      <c r="M306"/>
      <c r="N306"/>
      <c r="O306"/>
    </row>
    <row r="307" spans="12:15" x14ac:dyDescent="0.25">
      <c r="L307"/>
      <c r="M307"/>
      <c r="N307"/>
      <c r="O307"/>
    </row>
    <row r="308" spans="12:15" x14ac:dyDescent="0.25">
      <c r="L308"/>
      <c r="M308"/>
      <c r="N308"/>
      <c r="O308"/>
    </row>
    <row r="309" spans="12:15" x14ac:dyDescent="0.25">
      <c r="L309"/>
      <c r="M309"/>
      <c r="N309"/>
      <c r="O309"/>
    </row>
    <row r="310" spans="12:15" x14ac:dyDescent="0.25">
      <c r="L310"/>
      <c r="M310"/>
      <c r="N310"/>
      <c r="O310"/>
    </row>
    <row r="311" spans="12:15" x14ac:dyDescent="0.25">
      <c r="L311"/>
      <c r="M311"/>
      <c r="N311"/>
      <c r="O311"/>
    </row>
    <row r="312" spans="12:15" x14ac:dyDescent="0.25">
      <c r="L312"/>
      <c r="M312"/>
      <c r="N312"/>
      <c r="O312"/>
    </row>
    <row r="313" spans="12:15" x14ac:dyDescent="0.25">
      <c r="L313"/>
      <c r="M313"/>
      <c r="N313"/>
      <c r="O313"/>
    </row>
    <row r="314" spans="12:15" x14ac:dyDescent="0.25">
      <c r="L314"/>
      <c r="M314"/>
      <c r="N314"/>
      <c r="O314"/>
    </row>
    <row r="315" spans="12:15" x14ac:dyDescent="0.25">
      <c r="L315"/>
      <c r="M315"/>
      <c r="N315"/>
      <c r="O315"/>
    </row>
    <row r="316" spans="12:15" x14ac:dyDescent="0.25">
      <c r="L316"/>
      <c r="M316"/>
      <c r="N316"/>
      <c r="O316"/>
    </row>
    <row r="317" spans="12:15" x14ac:dyDescent="0.25">
      <c r="L317"/>
      <c r="M317"/>
      <c r="N317"/>
      <c r="O317"/>
    </row>
    <row r="318" spans="12:15" x14ac:dyDescent="0.25">
      <c r="L318"/>
      <c r="M318"/>
      <c r="N318"/>
      <c r="O318"/>
    </row>
    <row r="319" spans="12:15" x14ac:dyDescent="0.25">
      <c r="L319"/>
      <c r="M319"/>
      <c r="N319"/>
      <c r="O319"/>
    </row>
    <row r="320" spans="12:15" x14ac:dyDescent="0.25">
      <c r="L320"/>
      <c r="M320"/>
      <c r="N320"/>
      <c r="O320"/>
    </row>
    <row r="321" spans="12:15" x14ac:dyDescent="0.25">
      <c r="L321"/>
      <c r="M321"/>
      <c r="N321"/>
      <c r="O321"/>
    </row>
    <row r="322" spans="12:15" x14ac:dyDescent="0.25">
      <c r="L322"/>
      <c r="M322"/>
      <c r="N322"/>
      <c r="O322"/>
    </row>
    <row r="323" spans="12:15" x14ac:dyDescent="0.25">
      <c r="L323"/>
      <c r="M323"/>
      <c r="N323"/>
      <c r="O323"/>
    </row>
    <row r="324" spans="12:15" x14ac:dyDescent="0.25">
      <c r="L324"/>
      <c r="M324"/>
      <c r="N324"/>
      <c r="O324"/>
    </row>
    <row r="325" spans="12:15" x14ac:dyDescent="0.25">
      <c r="L325"/>
      <c r="M325"/>
      <c r="N325"/>
      <c r="O325"/>
    </row>
    <row r="326" spans="12:15" x14ac:dyDescent="0.25">
      <c r="L326"/>
      <c r="M326"/>
      <c r="N326"/>
      <c r="O326"/>
    </row>
    <row r="327" spans="12:15" x14ac:dyDescent="0.25">
      <c r="L327"/>
      <c r="M327"/>
      <c r="N327"/>
      <c r="O327"/>
    </row>
    <row r="328" spans="12:15" x14ac:dyDescent="0.25">
      <c r="L328"/>
      <c r="M328"/>
      <c r="N328"/>
      <c r="O328"/>
    </row>
    <row r="329" spans="12:15" x14ac:dyDescent="0.25">
      <c r="L329"/>
      <c r="M329"/>
      <c r="N329"/>
      <c r="O329"/>
    </row>
    <row r="330" spans="12:15" x14ac:dyDescent="0.25">
      <c r="L330"/>
      <c r="M330"/>
      <c r="N330"/>
      <c r="O330"/>
    </row>
    <row r="331" spans="12:15" x14ac:dyDescent="0.25">
      <c r="L331"/>
      <c r="M331"/>
      <c r="N331"/>
      <c r="O331"/>
    </row>
    <row r="332" spans="12:15" x14ac:dyDescent="0.25">
      <c r="L332"/>
      <c r="M332"/>
      <c r="N332"/>
      <c r="O332"/>
    </row>
    <row r="333" spans="12:15" x14ac:dyDescent="0.25">
      <c r="L333"/>
      <c r="M333"/>
      <c r="N333"/>
      <c r="O333"/>
    </row>
    <row r="334" spans="12:15" x14ac:dyDescent="0.25">
      <c r="L334"/>
      <c r="M334"/>
      <c r="N334"/>
      <c r="O334"/>
    </row>
    <row r="335" spans="12:15" x14ac:dyDescent="0.25">
      <c r="L335"/>
      <c r="M335"/>
      <c r="N335"/>
      <c r="O335"/>
    </row>
    <row r="336" spans="12:15" x14ac:dyDescent="0.25">
      <c r="L336"/>
      <c r="M336"/>
      <c r="N336"/>
      <c r="O336"/>
    </row>
    <row r="337" spans="12:15" x14ac:dyDescent="0.25">
      <c r="L337"/>
      <c r="M337"/>
      <c r="N337"/>
      <c r="O337"/>
    </row>
    <row r="338" spans="12:15" x14ac:dyDescent="0.25">
      <c r="L338"/>
      <c r="M338"/>
      <c r="N338"/>
      <c r="O338"/>
    </row>
    <row r="339" spans="12:15" x14ac:dyDescent="0.25">
      <c r="L339"/>
      <c r="M339"/>
      <c r="N339"/>
      <c r="O339"/>
    </row>
    <row r="340" spans="12:15" x14ac:dyDescent="0.25">
      <c r="L340"/>
      <c r="M340"/>
      <c r="N340"/>
      <c r="O340"/>
    </row>
    <row r="341" spans="12:15" x14ac:dyDescent="0.25">
      <c r="L341"/>
      <c r="M341"/>
      <c r="N341"/>
      <c r="O341"/>
    </row>
    <row r="342" spans="12:15" x14ac:dyDescent="0.25">
      <c r="L342"/>
      <c r="M342"/>
      <c r="N342"/>
      <c r="O342"/>
    </row>
    <row r="343" spans="12:15" x14ac:dyDescent="0.25">
      <c r="L343"/>
      <c r="M343"/>
      <c r="N343"/>
      <c r="O343"/>
    </row>
    <row r="344" spans="12:15" x14ac:dyDescent="0.25">
      <c r="L344"/>
      <c r="M344"/>
      <c r="N344"/>
      <c r="O344"/>
    </row>
    <row r="345" spans="12:15" x14ac:dyDescent="0.25">
      <c r="L345"/>
      <c r="M345"/>
      <c r="N345"/>
      <c r="O345"/>
    </row>
    <row r="346" spans="12:15" x14ac:dyDescent="0.25">
      <c r="L346"/>
      <c r="M346"/>
      <c r="N346"/>
      <c r="O346"/>
    </row>
    <row r="347" spans="12:15" x14ac:dyDescent="0.25">
      <c r="L347"/>
      <c r="M347"/>
      <c r="N347"/>
      <c r="O347"/>
    </row>
    <row r="348" spans="12:15" x14ac:dyDescent="0.25">
      <c r="L348"/>
      <c r="M348"/>
      <c r="N348"/>
      <c r="O348"/>
    </row>
    <row r="349" spans="12:15" x14ac:dyDescent="0.25">
      <c r="L349"/>
      <c r="M349"/>
      <c r="N349"/>
      <c r="O349"/>
    </row>
    <row r="350" spans="12:15" x14ac:dyDescent="0.25">
      <c r="L350"/>
      <c r="M350"/>
      <c r="N350"/>
      <c r="O350"/>
    </row>
    <row r="351" spans="12:15" x14ac:dyDescent="0.25">
      <c r="L351"/>
      <c r="M351"/>
      <c r="N351"/>
      <c r="O351"/>
    </row>
    <row r="352" spans="12:15" x14ac:dyDescent="0.25">
      <c r="L352"/>
      <c r="M352"/>
      <c r="N352"/>
      <c r="O352"/>
    </row>
    <row r="353" spans="12:15" x14ac:dyDescent="0.25">
      <c r="L353"/>
      <c r="M353"/>
      <c r="N353"/>
      <c r="O353"/>
    </row>
    <row r="354" spans="12:15" x14ac:dyDescent="0.25">
      <c r="L354"/>
      <c r="M354"/>
      <c r="N354"/>
      <c r="O354"/>
    </row>
    <row r="355" spans="12:15" x14ac:dyDescent="0.25">
      <c r="L355"/>
      <c r="M355"/>
      <c r="N355"/>
      <c r="O355"/>
    </row>
    <row r="356" spans="12:15" x14ac:dyDescent="0.25">
      <c r="L356"/>
      <c r="M356"/>
      <c r="N356"/>
      <c r="O356"/>
    </row>
    <row r="357" spans="12:15" x14ac:dyDescent="0.25">
      <c r="L357"/>
      <c r="M357"/>
      <c r="N357"/>
      <c r="O357"/>
    </row>
    <row r="358" spans="12:15" x14ac:dyDescent="0.25">
      <c r="L358"/>
      <c r="M358"/>
      <c r="N358"/>
      <c r="O358"/>
    </row>
    <row r="359" spans="12:15" x14ac:dyDescent="0.25">
      <c r="L359"/>
      <c r="M359"/>
      <c r="N359"/>
      <c r="O359"/>
    </row>
    <row r="360" spans="12:15" x14ac:dyDescent="0.25">
      <c r="L360"/>
      <c r="M360"/>
      <c r="N360"/>
      <c r="O360"/>
    </row>
    <row r="361" spans="12:15" x14ac:dyDescent="0.25">
      <c r="L361"/>
      <c r="M361"/>
      <c r="N361"/>
      <c r="O361"/>
    </row>
    <row r="362" spans="12:15" x14ac:dyDescent="0.25">
      <c r="L362"/>
      <c r="M362"/>
      <c r="N362"/>
      <c r="O362"/>
    </row>
    <row r="363" spans="12:15" x14ac:dyDescent="0.25">
      <c r="L363"/>
      <c r="M363"/>
      <c r="N363"/>
      <c r="O363"/>
    </row>
    <row r="364" spans="12:15" x14ac:dyDescent="0.25">
      <c r="L364"/>
      <c r="M364"/>
      <c r="N364"/>
      <c r="O364"/>
    </row>
    <row r="365" spans="12:15" x14ac:dyDescent="0.25">
      <c r="L365"/>
      <c r="M365"/>
      <c r="N365"/>
      <c r="O365"/>
    </row>
    <row r="366" spans="12:15" x14ac:dyDescent="0.25">
      <c r="L366"/>
      <c r="M366"/>
      <c r="N366"/>
      <c r="O366"/>
    </row>
    <row r="367" spans="12:15" x14ac:dyDescent="0.25">
      <c r="L367"/>
      <c r="M367"/>
      <c r="N367"/>
      <c r="O367"/>
    </row>
    <row r="368" spans="12:15" x14ac:dyDescent="0.25">
      <c r="L368"/>
      <c r="M368"/>
      <c r="N368"/>
      <c r="O368"/>
    </row>
    <row r="369" spans="12:15" x14ac:dyDescent="0.25">
      <c r="L369"/>
      <c r="M369"/>
      <c r="N369"/>
      <c r="O369"/>
    </row>
    <row r="370" spans="12:15" x14ac:dyDescent="0.25">
      <c r="L370"/>
      <c r="M370"/>
      <c r="N370"/>
      <c r="O370"/>
    </row>
    <row r="371" spans="12:15" x14ac:dyDescent="0.25">
      <c r="L371"/>
      <c r="M371"/>
      <c r="N371"/>
      <c r="O371"/>
    </row>
    <row r="372" spans="12:15" x14ac:dyDescent="0.25">
      <c r="L372"/>
      <c r="M372"/>
      <c r="N372"/>
      <c r="O372"/>
    </row>
    <row r="373" spans="12:15" x14ac:dyDescent="0.25">
      <c r="L373"/>
      <c r="M373"/>
      <c r="N373"/>
      <c r="O373"/>
    </row>
    <row r="374" spans="12:15" x14ac:dyDescent="0.25">
      <c r="L374"/>
      <c r="M374"/>
      <c r="N374"/>
      <c r="O374"/>
    </row>
    <row r="375" spans="12:15" x14ac:dyDescent="0.25">
      <c r="L375"/>
      <c r="M375"/>
      <c r="N375"/>
      <c r="O375"/>
    </row>
    <row r="376" spans="12:15" x14ac:dyDescent="0.25">
      <c r="L376"/>
      <c r="M376"/>
      <c r="N376"/>
      <c r="O376"/>
    </row>
    <row r="377" spans="12:15" x14ac:dyDescent="0.25">
      <c r="L377"/>
      <c r="M377"/>
      <c r="N377"/>
      <c r="O377"/>
    </row>
    <row r="378" spans="12:15" x14ac:dyDescent="0.25">
      <c r="L378"/>
      <c r="M378"/>
      <c r="N378"/>
      <c r="O378"/>
    </row>
    <row r="379" spans="12:15" x14ac:dyDescent="0.25">
      <c r="L379"/>
      <c r="M379"/>
      <c r="N379"/>
      <c r="O379"/>
    </row>
    <row r="380" spans="12:15" x14ac:dyDescent="0.25">
      <c r="L380"/>
      <c r="M380"/>
      <c r="N380"/>
      <c r="O380"/>
    </row>
    <row r="381" spans="12:15" x14ac:dyDescent="0.25">
      <c r="L381"/>
      <c r="M381"/>
      <c r="N381"/>
      <c r="O381"/>
    </row>
    <row r="382" spans="12:15" x14ac:dyDescent="0.25">
      <c r="L382"/>
      <c r="M382"/>
      <c r="N382"/>
      <c r="O382"/>
    </row>
    <row r="383" spans="12:15" x14ac:dyDescent="0.25">
      <c r="L383"/>
      <c r="M383"/>
      <c r="N383"/>
      <c r="O383"/>
    </row>
    <row r="384" spans="12:15" x14ac:dyDescent="0.25">
      <c r="L384"/>
      <c r="M384"/>
      <c r="N384"/>
      <c r="O384"/>
    </row>
    <row r="385" spans="12:15" x14ac:dyDescent="0.25">
      <c r="L385"/>
      <c r="M385"/>
      <c r="N385"/>
      <c r="O385"/>
    </row>
    <row r="386" spans="12:15" x14ac:dyDescent="0.25">
      <c r="L386"/>
      <c r="M386"/>
      <c r="N386"/>
      <c r="O386"/>
    </row>
    <row r="387" spans="12:15" x14ac:dyDescent="0.25">
      <c r="L387"/>
      <c r="M387"/>
      <c r="N387"/>
      <c r="O387"/>
    </row>
    <row r="388" spans="12:15" x14ac:dyDescent="0.25">
      <c r="L388"/>
      <c r="M388"/>
      <c r="N388"/>
      <c r="O388"/>
    </row>
    <row r="389" spans="12:15" x14ac:dyDescent="0.25">
      <c r="L389"/>
      <c r="M389"/>
      <c r="N389"/>
      <c r="O389"/>
    </row>
    <row r="390" spans="12:15" x14ac:dyDescent="0.25">
      <c r="L390"/>
      <c r="M390"/>
      <c r="N390"/>
      <c r="O390"/>
    </row>
    <row r="391" spans="12:15" x14ac:dyDescent="0.25">
      <c r="L391"/>
      <c r="M391"/>
      <c r="N391"/>
      <c r="O391"/>
    </row>
    <row r="392" spans="12:15" x14ac:dyDescent="0.25">
      <c r="L392"/>
      <c r="M392"/>
      <c r="N392"/>
      <c r="O392"/>
    </row>
    <row r="393" spans="12:15" x14ac:dyDescent="0.25">
      <c r="L393"/>
      <c r="M393"/>
      <c r="N393"/>
      <c r="O393"/>
    </row>
    <row r="394" spans="12:15" x14ac:dyDescent="0.25">
      <c r="L394"/>
      <c r="M394"/>
      <c r="N394"/>
      <c r="O394"/>
    </row>
    <row r="395" spans="12:15" x14ac:dyDescent="0.25">
      <c r="L395"/>
      <c r="M395"/>
      <c r="N395"/>
      <c r="O395"/>
    </row>
    <row r="396" spans="12:15" x14ac:dyDescent="0.25">
      <c r="L396"/>
      <c r="M396"/>
      <c r="N396"/>
      <c r="O396"/>
    </row>
    <row r="397" spans="12:15" x14ac:dyDescent="0.25">
      <c r="L397"/>
      <c r="M397"/>
      <c r="N397"/>
      <c r="O397"/>
    </row>
    <row r="398" spans="12:15" x14ac:dyDescent="0.25">
      <c r="L398"/>
      <c r="M398"/>
      <c r="N398"/>
      <c r="O398"/>
    </row>
    <row r="399" spans="12:15" x14ac:dyDescent="0.25">
      <c r="L399"/>
      <c r="M399"/>
      <c r="N399"/>
      <c r="O399"/>
    </row>
    <row r="400" spans="12:15" x14ac:dyDescent="0.25">
      <c r="L400"/>
      <c r="M400"/>
      <c r="N400"/>
      <c r="O400"/>
    </row>
    <row r="401" spans="12:15" x14ac:dyDescent="0.25">
      <c r="L401"/>
      <c r="M401"/>
      <c r="N401"/>
      <c r="O401"/>
    </row>
    <row r="402" spans="12:15" x14ac:dyDescent="0.25">
      <c r="L402"/>
      <c r="M402"/>
    </row>
  </sheetData>
  <mergeCells count="9">
    <mergeCell ref="A91:B92"/>
    <mergeCell ref="B54:C54"/>
    <mergeCell ref="K1:L1"/>
    <mergeCell ref="N1:O1"/>
    <mergeCell ref="Q1:R1"/>
    <mergeCell ref="A2:B2"/>
    <mergeCell ref="A51:B52"/>
    <mergeCell ref="E54:F54"/>
    <mergeCell ref="H54:I54"/>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E66E9-A056-4965-97C6-23D5D0FE6D9F}">
  <sheetPr codeName="Tabelle3"/>
  <dimension ref="A1:Y49"/>
  <sheetViews>
    <sheetView showRowColHeaders="0" tabSelected="1" workbookViewId="0">
      <selection activeCell="O18" sqref="O18"/>
    </sheetView>
  </sheetViews>
  <sheetFormatPr baseColWidth="10" defaultColWidth="0" defaultRowHeight="15" zeroHeight="1" x14ac:dyDescent="0.25"/>
  <cols>
    <col min="1" max="25" width="11.42578125" style="3" customWidth="1"/>
    <col min="26" max="16384" width="11.42578125" style="3" hidden="1"/>
  </cols>
  <sheetData>
    <row r="1" ht="75.75" customHeight="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pageMargins left="0.7" right="0.7" top="0.78740157499999996" bottom="0.78740157499999996" header="0.3" footer="0.3"/>
  <pageSetup paperSize="9" orientation="portrait" horizontalDpi="200" verticalDpi="200"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8D498-DFF4-4C21-BF4D-88E1EBB0F120}">
  <sheetPr codeName="Tabelle20">
    <pageSetUpPr autoPageBreaks="0"/>
  </sheetPr>
  <dimension ref="A1:K1033"/>
  <sheetViews>
    <sheetView showRowColHeaders="0" workbookViewId="0">
      <selection sqref="A1:XFD1048576"/>
    </sheetView>
  </sheetViews>
  <sheetFormatPr baseColWidth="10" defaultRowHeight="15" x14ac:dyDescent="0.25"/>
  <cols>
    <col min="1" max="1" width="10.85546875" style="12" bestFit="1" customWidth="1"/>
    <col min="2" max="2" width="40.7109375" style="12" customWidth="1"/>
    <col min="3" max="3" width="34.7109375" style="12" customWidth="1"/>
    <col min="4" max="4" width="100" style="12" customWidth="1"/>
    <col min="5" max="5" width="9" style="12" bestFit="1" customWidth="1"/>
    <col min="6" max="6" width="11.42578125" style="12" bestFit="1" customWidth="1"/>
    <col min="7" max="7" width="15" style="12" bestFit="1" customWidth="1"/>
    <col min="8" max="8" width="9.140625" style="12" bestFit="1" customWidth="1"/>
    <col min="9" max="9" width="6.85546875" style="12" bestFit="1" customWidth="1"/>
    <col min="10" max="10" width="17.42578125" style="12" bestFit="1" customWidth="1"/>
    <col min="11" max="11" width="6.42578125" style="12" bestFit="1" customWidth="1"/>
    <col min="12" max="16384" width="11.42578125" style="12"/>
  </cols>
  <sheetData>
    <row r="1" spans="1:11" ht="66.75" customHeight="1" x14ac:dyDescent="0.25">
      <c r="D1" s="16"/>
    </row>
    <row r="3" spans="1:11" ht="15.75" thickBot="1" x14ac:dyDescent="0.3">
      <c r="A3" s="36"/>
      <c r="B3" s="36"/>
      <c r="C3" s="36"/>
      <c r="D3" s="36"/>
      <c r="E3" s="36"/>
      <c r="F3" s="36"/>
      <c r="G3" s="36"/>
      <c r="H3" s="36"/>
      <c r="I3" s="37"/>
      <c r="J3" s="69"/>
      <c r="K3" s="36"/>
    </row>
    <row r="4" spans="1:11" x14ac:dyDescent="0.25">
      <c r="A4" s="13"/>
      <c r="B4" s="14"/>
      <c r="C4" s="14"/>
      <c r="D4" s="14"/>
      <c r="E4" s="14"/>
      <c r="F4" s="14"/>
      <c r="G4" s="14"/>
      <c r="H4" s="14"/>
      <c r="I4" s="14"/>
      <c r="J4" s="4"/>
      <c r="K4" s="14"/>
    </row>
    <row r="5" spans="1:11" x14ac:dyDescent="0.25">
      <c r="A5" s="13"/>
      <c r="B5" s="14"/>
      <c r="C5" s="14"/>
      <c r="D5" s="14"/>
      <c r="E5" s="14"/>
      <c r="F5" s="14"/>
      <c r="G5" s="14"/>
      <c r="H5" s="14"/>
      <c r="I5" s="14"/>
      <c r="J5" s="4"/>
      <c r="K5" s="14"/>
    </row>
    <row r="6" spans="1:11" x14ac:dyDescent="0.25">
      <c r="A6" s="13"/>
      <c r="B6" s="14"/>
      <c r="C6" s="14"/>
      <c r="D6" s="14"/>
      <c r="E6" s="14"/>
      <c r="F6" s="14"/>
      <c r="G6" s="14"/>
      <c r="H6" s="14"/>
      <c r="I6" s="14"/>
      <c r="J6" s="4"/>
      <c r="K6" s="14"/>
    </row>
    <row r="7" spans="1:11" x14ac:dyDescent="0.25">
      <c r="A7" s="13"/>
      <c r="B7" s="14"/>
      <c r="C7" s="14"/>
      <c r="D7" s="14"/>
      <c r="E7" s="14"/>
      <c r="F7" s="14"/>
      <c r="G7" s="14"/>
      <c r="H7" s="14"/>
      <c r="I7" s="14"/>
      <c r="J7" s="4"/>
      <c r="K7" s="14"/>
    </row>
    <row r="8" spans="1:11" x14ac:dyDescent="0.25">
      <c r="A8" s="13"/>
      <c r="B8" s="14"/>
      <c r="C8" s="14"/>
      <c r="D8" s="14"/>
      <c r="E8" s="14"/>
      <c r="F8" s="14"/>
      <c r="G8" s="14"/>
      <c r="H8" s="14"/>
      <c r="I8" s="14"/>
      <c r="J8" s="4"/>
      <c r="K8" s="14"/>
    </row>
    <row r="9" spans="1:11" x14ac:dyDescent="0.25">
      <c r="A9" s="13"/>
      <c r="B9" s="14"/>
      <c r="C9" s="14"/>
      <c r="D9" s="35"/>
      <c r="E9" s="14"/>
      <c r="F9" s="14"/>
      <c r="G9" s="14"/>
      <c r="H9" s="14"/>
      <c r="I9" s="14"/>
      <c r="J9" s="4"/>
      <c r="K9" s="14"/>
    </row>
    <row r="10" spans="1:11" x14ac:dyDescent="0.25">
      <c r="A10" s="15"/>
      <c r="J10" s="5"/>
    </row>
    <row r="11" spans="1:11" x14ac:dyDescent="0.25">
      <c r="A11" s="13"/>
      <c r="B11" s="14"/>
      <c r="C11" s="14"/>
      <c r="D11" s="14"/>
      <c r="E11" s="14"/>
      <c r="F11" s="14"/>
      <c r="G11" s="14"/>
      <c r="H11" s="14"/>
      <c r="I11" s="14"/>
      <c r="J11" s="4"/>
      <c r="K11" s="14"/>
    </row>
    <row r="12" spans="1:11" x14ac:dyDescent="0.25">
      <c r="A12" s="15"/>
      <c r="J12" s="5"/>
    </row>
    <row r="13" spans="1:11" x14ac:dyDescent="0.25">
      <c r="A13" s="13"/>
      <c r="B13" s="14"/>
      <c r="C13" s="14"/>
      <c r="D13" s="14"/>
      <c r="E13" s="14"/>
      <c r="F13" s="14"/>
      <c r="G13" s="14"/>
      <c r="H13" s="14"/>
      <c r="I13" s="14"/>
      <c r="J13" s="4"/>
      <c r="K13" s="14"/>
    </row>
    <row r="14" spans="1:11" x14ac:dyDescent="0.25">
      <c r="A14" s="13"/>
      <c r="B14" s="14"/>
      <c r="C14" s="14"/>
      <c r="D14" s="14"/>
      <c r="E14" s="14"/>
      <c r="F14" s="14"/>
      <c r="G14" s="14"/>
      <c r="H14" s="14"/>
      <c r="I14" s="14"/>
      <c r="J14" s="4"/>
      <c r="K14" s="14"/>
    </row>
    <row r="15" spans="1:11" x14ac:dyDescent="0.25">
      <c r="A15" s="13"/>
      <c r="B15" s="14"/>
      <c r="C15" s="14"/>
      <c r="D15" s="14"/>
      <c r="E15" s="14"/>
      <c r="F15" s="14"/>
      <c r="G15" s="14"/>
      <c r="H15" s="14"/>
      <c r="I15" s="14"/>
      <c r="J15" s="4"/>
      <c r="K15" s="14"/>
    </row>
    <row r="16" spans="1:11" x14ac:dyDescent="0.25">
      <c r="A16" s="15"/>
      <c r="J16" s="5"/>
    </row>
    <row r="17" spans="1:11" x14ac:dyDescent="0.25">
      <c r="A17" s="13"/>
      <c r="B17" s="14"/>
      <c r="C17" s="14"/>
      <c r="D17" s="14"/>
      <c r="E17" s="14"/>
      <c r="F17" s="14"/>
      <c r="G17" s="14"/>
      <c r="H17" s="14"/>
      <c r="I17" s="14"/>
      <c r="J17" s="4"/>
      <c r="K17" s="14"/>
    </row>
    <row r="18" spans="1:11" x14ac:dyDescent="0.25">
      <c r="A18" s="15"/>
      <c r="J18" s="5"/>
    </row>
    <row r="19" spans="1:11" x14ac:dyDescent="0.25">
      <c r="A19" s="13"/>
      <c r="B19" s="14"/>
      <c r="C19" s="14"/>
      <c r="D19" s="14"/>
      <c r="E19" s="14"/>
      <c r="F19" s="14"/>
      <c r="G19" s="14"/>
      <c r="H19" s="14"/>
      <c r="I19" s="14"/>
      <c r="J19" s="4"/>
      <c r="K19" s="14"/>
    </row>
    <row r="20" spans="1:11" x14ac:dyDescent="0.25">
      <c r="A20" s="15"/>
      <c r="J20" s="5"/>
    </row>
    <row r="21" spans="1:11" x14ac:dyDescent="0.25">
      <c r="A21" s="15"/>
      <c r="J21" s="5"/>
    </row>
    <row r="22" spans="1:11" x14ac:dyDescent="0.25">
      <c r="A22" s="15"/>
      <c r="J22" s="5"/>
    </row>
    <row r="23" spans="1:11" x14ac:dyDescent="0.25">
      <c r="A23" s="15"/>
      <c r="J23" s="5"/>
    </row>
    <row r="24" spans="1:11" x14ac:dyDescent="0.25">
      <c r="A24" s="13"/>
      <c r="B24" s="14"/>
      <c r="C24" s="14"/>
      <c r="D24" s="14"/>
      <c r="E24" s="14"/>
      <c r="F24" s="14"/>
      <c r="G24" s="14"/>
      <c r="H24" s="14"/>
      <c r="I24" s="14"/>
      <c r="J24" s="4"/>
      <c r="K24" s="14"/>
    </row>
    <row r="25" spans="1:11" x14ac:dyDescent="0.25">
      <c r="A25" s="13"/>
      <c r="B25" s="14"/>
      <c r="C25" s="14"/>
      <c r="D25" s="14"/>
      <c r="E25" s="14"/>
      <c r="F25" s="14"/>
      <c r="G25" s="14"/>
      <c r="H25" s="14"/>
      <c r="I25" s="14"/>
      <c r="J25" s="4"/>
      <c r="K25" s="14"/>
    </row>
    <row r="26" spans="1:11" x14ac:dyDescent="0.25">
      <c r="A26" s="15"/>
      <c r="J26" s="5"/>
    </row>
    <row r="27" spans="1:11" x14ac:dyDescent="0.25">
      <c r="A27" s="13"/>
      <c r="B27" s="14"/>
      <c r="C27" s="14"/>
      <c r="D27" s="14"/>
      <c r="E27" s="14"/>
      <c r="F27" s="14"/>
      <c r="G27" s="14"/>
      <c r="H27" s="14"/>
      <c r="I27" s="14"/>
      <c r="J27" s="4"/>
      <c r="K27" s="14"/>
    </row>
    <row r="28" spans="1:11" x14ac:dyDescent="0.25">
      <c r="A28" s="15"/>
      <c r="J28" s="5"/>
    </row>
    <row r="29" spans="1:11" x14ac:dyDescent="0.25">
      <c r="A29" s="13"/>
      <c r="B29" s="14"/>
      <c r="C29" s="14"/>
      <c r="D29" s="14"/>
      <c r="E29" s="14"/>
      <c r="F29" s="14"/>
      <c r="G29" s="14"/>
      <c r="H29" s="14"/>
      <c r="I29" s="14"/>
      <c r="J29" s="4"/>
      <c r="K29" s="14"/>
    </row>
    <row r="30" spans="1:11" x14ac:dyDescent="0.25">
      <c r="A30" s="15"/>
      <c r="J30" s="5"/>
    </row>
    <row r="31" spans="1:11" x14ac:dyDescent="0.25">
      <c r="A31" s="15"/>
      <c r="J31" s="5"/>
    </row>
    <row r="32" spans="1:11" x14ac:dyDescent="0.25">
      <c r="A32" s="15"/>
      <c r="J32" s="5"/>
    </row>
    <row r="33" spans="1:11" x14ac:dyDescent="0.25">
      <c r="A33" s="15"/>
      <c r="J33" s="5"/>
    </row>
    <row r="34" spans="1:11" x14ac:dyDescent="0.25">
      <c r="A34" s="13"/>
      <c r="B34" s="14"/>
      <c r="C34" s="14"/>
      <c r="D34" s="14"/>
      <c r="E34" s="14"/>
      <c r="F34" s="14"/>
      <c r="G34" s="14"/>
      <c r="H34" s="14"/>
      <c r="I34" s="14"/>
      <c r="J34" s="4"/>
      <c r="K34" s="14"/>
    </row>
    <row r="35" spans="1:11" x14ac:dyDescent="0.25">
      <c r="A35" s="15"/>
      <c r="J35" s="5"/>
    </row>
    <row r="36" spans="1:11" x14ac:dyDescent="0.25">
      <c r="A36" s="15"/>
      <c r="J36" s="5"/>
    </row>
    <row r="37" spans="1:11" x14ac:dyDescent="0.25">
      <c r="A37" s="15"/>
      <c r="J37" s="5"/>
    </row>
    <row r="38" spans="1:11" x14ac:dyDescent="0.25">
      <c r="A38" s="15"/>
      <c r="J38" s="5"/>
    </row>
    <row r="39" spans="1:11" x14ac:dyDescent="0.25">
      <c r="A39" s="15"/>
      <c r="J39" s="5"/>
    </row>
    <row r="40" spans="1:11" x14ac:dyDescent="0.25">
      <c r="A40" s="13"/>
      <c r="B40" s="14"/>
      <c r="C40" s="14"/>
      <c r="D40" s="14"/>
      <c r="E40" s="14"/>
      <c r="F40" s="14"/>
      <c r="G40" s="14"/>
      <c r="H40" s="14"/>
      <c r="I40" s="14"/>
      <c r="J40" s="4"/>
      <c r="K40" s="14"/>
    </row>
    <row r="41" spans="1:11" x14ac:dyDescent="0.25">
      <c r="A41" s="13"/>
      <c r="B41" s="14"/>
      <c r="C41" s="14"/>
      <c r="D41" s="14"/>
      <c r="E41" s="14"/>
      <c r="F41" s="14"/>
      <c r="G41" s="14"/>
      <c r="H41" s="14"/>
      <c r="I41" s="14"/>
      <c r="J41" s="4"/>
      <c r="K41" s="14"/>
    </row>
    <row r="42" spans="1:11" x14ac:dyDescent="0.25">
      <c r="A42" s="15"/>
      <c r="J42" s="5"/>
    </row>
    <row r="43" spans="1:11" x14ac:dyDescent="0.25">
      <c r="A43" s="15"/>
      <c r="J43" s="5"/>
    </row>
    <row r="44" spans="1:11" x14ac:dyDescent="0.25">
      <c r="A44" s="13"/>
      <c r="B44" s="14"/>
      <c r="C44" s="14"/>
      <c r="D44" s="14"/>
      <c r="E44" s="14"/>
      <c r="F44" s="14"/>
      <c r="G44" s="14"/>
      <c r="H44" s="14"/>
      <c r="I44" s="14"/>
      <c r="J44" s="4"/>
      <c r="K44" s="14"/>
    </row>
    <row r="45" spans="1:11" x14ac:dyDescent="0.25">
      <c r="A45" s="15"/>
      <c r="J45" s="5"/>
    </row>
    <row r="46" spans="1:11" x14ac:dyDescent="0.25">
      <c r="A46" s="15"/>
      <c r="J46" s="5"/>
    </row>
    <row r="47" spans="1:11" x14ac:dyDescent="0.25">
      <c r="A47" s="15"/>
      <c r="J47" s="5"/>
    </row>
    <row r="48" spans="1:11" x14ac:dyDescent="0.25">
      <c r="A48" s="15"/>
      <c r="J48" s="5"/>
    </row>
    <row r="49" spans="1:10" x14ac:dyDescent="0.25">
      <c r="A49" s="15"/>
      <c r="J49" s="5"/>
    </row>
    <row r="50" spans="1:10" x14ac:dyDescent="0.25">
      <c r="A50" s="15"/>
      <c r="J50" s="5"/>
    </row>
    <row r="51" spans="1:10" x14ac:dyDescent="0.25">
      <c r="A51" s="15"/>
      <c r="J51" s="5"/>
    </row>
    <row r="52" spans="1:10" x14ac:dyDescent="0.25">
      <c r="A52" s="15"/>
      <c r="J52" s="5"/>
    </row>
    <row r="53" spans="1:10" x14ac:dyDescent="0.25">
      <c r="A53" s="15"/>
      <c r="J53" s="5"/>
    </row>
    <row r="54" spans="1:10" x14ac:dyDescent="0.25">
      <c r="A54" s="15"/>
      <c r="J54" s="5"/>
    </row>
    <row r="55" spans="1:10" x14ac:dyDescent="0.25">
      <c r="A55" s="15"/>
      <c r="J55" s="5"/>
    </row>
    <row r="56" spans="1:10" x14ac:dyDescent="0.25">
      <c r="A56" s="15"/>
      <c r="J56" s="5"/>
    </row>
    <row r="57" spans="1:10" x14ac:dyDescent="0.25">
      <c r="A57" s="15"/>
      <c r="J57" s="5"/>
    </row>
    <row r="58" spans="1:10" x14ac:dyDescent="0.25">
      <c r="A58" s="15"/>
      <c r="J58" s="5"/>
    </row>
    <row r="59" spans="1:10" x14ac:dyDescent="0.25">
      <c r="A59" s="15"/>
      <c r="J59" s="5"/>
    </row>
    <row r="60" spans="1:10" x14ac:dyDescent="0.25">
      <c r="A60" s="15"/>
      <c r="J60" s="5"/>
    </row>
    <row r="61" spans="1:10" x14ac:dyDescent="0.25">
      <c r="A61" s="15"/>
      <c r="J61" s="5"/>
    </row>
    <row r="62" spans="1:10" x14ac:dyDescent="0.25">
      <c r="A62" s="15"/>
      <c r="J62" s="5"/>
    </row>
    <row r="63" spans="1:10" x14ac:dyDescent="0.25">
      <c r="A63" s="15"/>
      <c r="J63" s="5"/>
    </row>
    <row r="64" spans="1:10" x14ac:dyDescent="0.25">
      <c r="A64" s="15"/>
      <c r="J64" s="5"/>
    </row>
    <row r="65" spans="1:10" x14ac:dyDescent="0.25">
      <c r="A65" s="15"/>
      <c r="J65" s="5"/>
    </row>
    <row r="66" spans="1:10" x14ac:dyDescent="0.25">
      <c r="A66" s="15"/>
      <c r="J66" s="5"/>
    </row>
    <row r="67" spans="1:10" x14ac:dyDescent="0.25">
      <c r="A67" s="15"/>
      <c r="J67" s="5"/>
    </row>
    <row r="68" spans="1:10" x14ac:dyDescent="0.25">
      <c r="A68" s="15"/>
      <c r="J68" s="5"/>
    </row>
    <row r="69" spans="1:10" x14ac:dyDescent="0.25">
      <c r="A69" s="15"/>
      <c r="J69" s="5"/>
    </row>
    <row r="70" spans="1:10" x14ac:dyDescent="0.25">
      <c r="A70" s="15"/>
      <c r="J70" s="5"/>
    </row>
    <row r="71" spans="1:10" x14ac:dyDescent="0.25">
      <c r="A71" s="15"/>
      <c r="J71" s="5"/>
    </row>
    <row r="72" spans="1:10" x14ac:dyDescent="0.25">
      <c r="A72" s="15"/>
      <c r="J72" s="5"/>
    </row>
    <row r="73" spans="1:10" x14ac:dyDescent="0.25">
      <c r="A73" s="15"/>
      <c r="J73" s="5"/>
    </row>
    <row r="74" spans="1:10" x14ac:dyDescent="0.25">
      <c r="A74" s="15"/>
      <c r="J74" s="5"/>
    </row>
    <row r="75" spans="1:10" x14ac:dyDescent="0.25">
      <c r="A75" s="15"/>
      <c r="J75" s="5"/>
    </row>
    <row r="76" spans="1:10" x14ac:dyDescent="0.25">
      <c r="A76" s="15"/>
      <c r="J76" s="5"/>
    </row>
    <row r="77" spans="1:10" x14ac:dyDescent="0.25">
      <c r="A77" s="15"/>
      <c r="J77" s="5"/>
    </row>
    <row r="78" spans="1:10" x14ac:dyDescent="0.25">
      <c r="A78" s="15"/>
      <c r="J78" s="5"/>
    </row>
    <row r="79" spans="1:10" x14ac:dyDescent="0.25">
      <c r="A79" s="15"/>
      <c r="J79" s="5"/>
    </row>
    <row r="80" spans="1:10" x14ac:dyDescent="0.25">
      <c r="A80" s="15"/>
      <c r="J80" s="5"/>
    </row>
    <row r="81" spans="1:10" x14ac:dyDescent="0.25">
      <c r="A81" s="15"/>
      <c r="J81" s="5"/>
    </row>
    <row r="82" spans="1:10" x14ac:dyDescent="0.25">
      <c r="A82" s="15"/>
      <c r="J82" s="5"/>
    </row>
    <row r="83" spans="1:10" x14ac:dyDescent="0.25">
      <c r="A83" s="15"/>
      <c r="J83" s="5"/>
    </row>
    <row r="84" spans="1:10" x14ac:dyDescent="0.25">
      <c r="A84" s="15"/>
      <c r="J84" s="5"/>
    </row>
    <row r="85" spans="1:10" x14ac:dyDescent="0.25">
      <c r="A85" s="15"/>
      <c r="J85" s="5"/>
    </row>
    <row r="86" spans="1:10" x14ac:dyDescent="0.25">
      <c r="A86" s="15"/>
      <c r="J86" s="5"/>
    </row>
    <row r="87" spans="1:10" x14ac:dyDescent="0.25">
      <c r="A87" s="15"/>
      <c r="J87" s="5"/>
    </row>
    <row r="88" spans="1:10" x14ac:dyDescent="0.25">
      <c r="A88" s="15"/>
      <c r="J88" s="5"/>
    </row>
    <row r="89" spans="1:10" x14ac:dyDescent="0.25">
      <c r="A89" s="15"/>
      <c r="J89" s="5"/>
    </row>
    <row r="90" spans="1:10" x14ac:dyDescent="0.25">
      <c r="A90" s="15"/>
      <c r="J90" s="5"/>
    </row>
    <row r="91" spans="1:10" x14ac:dyDescent="0.25">
      <c r="A91" s="15"/>
      <c r="J91" s="5"/>
    </row>
    <row r="92" spans="1:10" x14ac:dyDescent="0.25">
      <c r="A92" s="15"/>
      <c r="J92" s="5"/>
    </row>
    <row r="93" spans="1:10" x14ac:dyDescent="0.25">
      <c r="A93" s="15"/>
      <c r="J93" s="5"/>
    </row>
    <row r="94" spans="1:10" x14ac:dyDescent="0.25">
      <c r="A94" s="15"/>
      <c r="J94" s="5"/>
    </row>
    <row r="95" spans="1:10" x14ac:dyDescent="0.25">
      <c r="A95" s="15"/>
      <c r="J95" s="5"/>
    </row>
    <row r="96" spans="1:10" x14ac:dyDescent="0.25">
      <c r="A96" s="15"/>
      <c r="J96" s="5"/>
    </row>
    <row r="97" spans="1:10" x14ac:dyDescent="0.25">
      <c r="A97" s="15"/>
      <c r="J97" s="5"/>
    </row>
    <row r="98" spans="1:10" x14ac:dyDescent="0.25">
      <c r="A98" s="15"/>
      <c r="J98" s="5"/>
    </row>
    <row r="99" spans="1:10" x14ac:dyDescent="0.25">
      <c r="A99" s="15"/>
      <c r="J99" s="5"/>
    </row>
    <row r="100" spans="1:10" x14ac:dyDescent="0.25">
      <c r="A100" s="15"/>
      <c r="J100" s="5"/>
    </row>
    <row r="101" spans="1:10" x14ac:dyDescent="0.25">
      <c r="A101" s="15"/>
      <c r="J101" s="5"/>
    </row>
    <row r="102" spans="1:10" x14ac:dyDescent="0.25">
      <c r="A102" s="15"/>
      <c r="J102" s="5"/>
    </row>
    <row r="103" spans="1:10" x14ac:dyDescent="0.25">
      <c r="A103" s="15"/>
      <c r="J103" s="5"/>
    </row>
    <row r="104" spans="1:10" x14ac:dyDescent="0.25">
      <c r="A104" s="15"/>
      <c r="J104" s="5"/>
    </row>
    <row r="105" spans="1:10" x14ac:dyDescent="0.25">
      <c r="A105" s="15"/>
      <c r="J105" s="5"/>
    </row>
    <row r="106" spans="1:10" x14ac:dyDescent="0.25">
      <c r="A106" s="15"/>
      <c r="J106" s="5"/>
    </row>
    <row r="107" spans="1:10" x14ac:dyDescent="0.25">
      <c r="A107" s="15"/>
      <c r="J107" s="5"/>
    </row>
    <row r="108" spans="1:10" x14ac:dyDescent="0.25">
      <c r="A108" s="15"/>
      <c r="J108" s="5"/>
    </row>
    <row r="109" spans="1:10" x14ac:dyDescent="0.25">
      <c r="A109" s="15"/>
      <c r="J109" s="5"/>
    </row>
    <row r="110" spans="1:10" x14ac:dyDescent="0.25">
      <c r="A110" s="15"/>
      <c r="J110" s="5"/>
    </row>
    <row r="111" spans="1:10" x14ac:dyDescent="0.25">
      <c r="A111" s="15"/>
      <c r="J111" s="5"/>
    </row>
    <row r="112" spans="1:10" x14ac:dyDescent="0.25">
      <c r="A112" s="15"/>
      <c r="J112" s="5"/>
    </row>
    <row r="113" spans="1:10" x14ac:dyDescent="0.25">
      <c r="A113" s="15"/>
      <c r="J113" s="5"/>
    </row>
    <row r="114" spans="1:10" x14ac:dyDescent="0.25">
      <c r="A114" s="15"/>
      <c r="J114" s="5"/>
    </row>
    <row r="115" spans="1:10" x14ac:dyDescent="0.25">
      <c r="A115" s="15"/>
      <c r="J115" s="5"/>
    </row>
    <row r="116" spans="1:10" x14ac:dyDescent="0.25">
      <c r="A116" s="15"/>
      <c r="J116" s="5"/>
    </row>
    <row r="117" spans="1:10" x14ac:dyDescent="0.25">
      <c r="A117" s="15"/>
      <c r="J117" s="5"/>
    </row>
    <row r="118" spans="1:10" x14ac:dyDescent="0.25">
      <c r="A118" s="15"/>
      <c r="J118" s="5"/>
    </row>
    <row r="119" spans="1:10" x14ac:dyDescent="0.25">
      <c r="A119" s="15"/>
      <c r="J119" s="5"/>
    </row>
    <row r="120" spans="1:10" x14ac:dyDescent="0.25">
      <c r="A120" s="15"/>
      <c r="J120" s="5"/>
    </row>
    <row r="121" spans="1:10" x14ac:dyDescent="0.25">
      <c r="A121" s="15"/>
      <c r="J121" s="5"/>
    </row>
    <row r="122" spans="1:10" x14ac:dyDescent="0.25">
      <c r="A122" s="15"/>
      <c r="J122" s="5"/>
    </row>
    <row r="123" spans="1:10" x14ac:dyDescent="0.25">
      <c r="A123" s="15"/>
      <c r="J123" s="5"/>
    </row>
    <row r="124" spans="1:10" x14ac:dyDescent="0.25">
      <c r="A124" s="15"/>
      <c r="J124" s="5"/>
    </row>
    <row r="125" spans="1:10" x14ac:dyDescent="0.25">
      <c r="A125" s="15"/>
      <c r="J125" s="5"/>
    </row>
    <row r="126" spans="1:10" x14ac:dyDescent="0.25">
      <c r="A126" s="15"/>
      <c r="J126" s="5"/>
    </row>
    <row r="127" spans="1:10" x14ac:dyDescent="0.25">
      <c r="A127" s="15"/>
      <c r="J127" s="5"/>
    </row>
    <row r="128" spans="1:10" x14ac:dyDescent="0.25">
      <c r="A128" s="15"/>
      <c r="J128" s="5"/>
    </row>
    <row r="129" spans="1:10" x14ac:dyDescent="0.25">
      <c r="A129" s="15"/>
      <c r="J129" s="5"/>
    </row>
    <row r="130" spans="1:10" x14ac:dyDescent="0.25">
      <c r="A130" s="15"/>
      <c r="J130" s="5"/>
    </row>
    <row r="131" spans="1:10" x14ac:dyDescent="0.25">
      <c r="A131" s="15"/>
      <c r="J131" s="5"/>
    </row>
    <row r="132" spans="1:10" x14ac:dyDescent="0.25">
      <c r="A132" s="15"/>
      <c r="J132" s="5"/>
    </row>
    <row r="133" spans="1:10" x14ac:dyDescent="0.25">
      <c r="A133" s="15"/>
      <c r="J133" s="5"/>
    </row>
    <row r="134" spans="1:10" x14ac:dyDescent="0.25">
      <c r="A134" s="15"/>
      <c r="J134" s="5"/>
    </row>
    <row r="135" spans="1:10" x14ac:dyDescent="0.25">
      <c r="A135" s="15"/>
      <c r="J135" s="5"/>
    </row>
    <row r="136" spans="1:10" x14ac:dyDescent="0.25">
      <c r="A136" s="15"/>
      <c r="J136" s="5"/>
    </row>
    <row r="137" spans="1:10" x14ac:dyDescent="0.25">
      <c r="A137" s="15"/>
      <c r="J137" s="5"/>
    </row>
    <row r="138" spans="1:10" x14ac:dyDescent="0.25">
      <c r="A138" s="15"/>
      <c r="J138" s="5"/>
    </row>
    <row r="139" spans="1:10" x14ac:dyDescent="0.25">
      <c r="A139" s="15"/>
      <c r="J139" s="5"/>
    </row>
    <row r="140" spans="1:10" x14ac:dyDescent="0.25">
      <c r="A140" s="15"/>
      <c r="J140" s="5"/>
    </row>
    <row r="141" spans="1:10" x14ac:dyDescent="0.25">
      <c r="A141" s="15"/>
      <c r="J141" s="5"/>
    </row>
    <row r="142" spans="1:10" x14ac:dyDescent="0.25">
      <c r="A142" s="15"/>
      <c r="J142" s="5"/>
    </row>
    <row r="143" spans="1:10" x14ac:dyDescent="0.25">
      <c r="A143" s="15"/>
      <c r="J143" s="5"/>
    </row>
    <row r="144" spans="1:10" x14ac:dyDescent="0.25">
      <c r="A144" s="15"/>
      <c r="J144" s="5"/>
    </row>
    <row r="145" spans="1:10" x14ac:dyDescent="0.25">
      <c r="A145" s="15"/>
      <c r="J145" s="5"/>
    </row>
    <row r="146" spans="1:10" x14ac:dyDescent="0.25">
      <c r="A146" s="15"/>
      <c r="J146" s="5"/>
    </row>
    <row r="147" spans="1:10" x14ac:dyDescent="0.25">
      <c r="A147" s="15"/>
      <c r="J147" s="5"/>
    </row>
    <row r="148" spans="1:10" x14ac:dyDescent="0.25">
      <c r="A148" s="15"/>
      <c r="J148" s="5"/>
    </row>
    <row r="149" spans="1:10" x14ac:dyDescent="0.25">
      <c r="A149" s="15"/>
      <c r="J149" s="5"/>
    </row>
    <row r="150" spans="1:10" x14ac:dyDescent="0.25">
      <c r="A150" s="15"/>
      <c r="J150" s="5"/>
    </row>
    <row r="151" spans="1:10" x14ac:dyDescent="0.25">
      <c r="A151" s="15"/>
      <c r="J151" s="5"/>
    </row>
    <row r="152" spans="1:10" x14ac:dyDescent="0.25">
      <c r="A152" s="15"/>
      <c r="J152" s="5"/>
    </row>
    <row r="153" spans="1:10" x14ac:dyDescent="0.25">
      <c r="A153" s="15"/>
      <c r="J153" s="5"/>
    </row>
    <row r="154" spans="1:10" x14ac:dyDescent="0.25">
      <c r="A154" s="15"/>
      <c r="J154" s="5"/>
    </row>
    <row r="155" spans="1:10" x14ac:dyDescent="0.25">
      <c r="A155" s="15"/>
      <c r="J155" s="5"/>
    </row>
    <row r="156" spans="1:10" x14ac:dyDescent="0.25">
      <c r="A156" s="15"/>
      <c r="J156" s="5"/>
    </row>
    <row r="157" spans="1:10" x14ac:dyDescent="0.25">
      <c r="A157" s="15"/>
      <c r="J157" s="5"/>
    </row>
    <row r="158" spans="1:10" x14ac:dyDescent="0.25">
      <c r="A158" s="15"/>
      <c r="J158" s="5"/>
    </row>
    <row r="159" spans="1:10" x14ac:dyDescent="0.25">
      <c r="A159" s="15"/>
      <c r="J159" s="5"/>
    </row>
    <row r="160" spans="1:10" x14ac:dyDescent="0.25">
      <c r="A160" s="15"/>
      <c r="J160" s="5"/>
    </row>
    <row r="161" spans="1:10" x14ac:dyDescent="0.25">
      <c r="A161" s="15"/>
      <c r="J161" s="5"/>
    </row>
    <row r="162" spans="1:10" x14ac:dyDescent="0.25">
      <c r="A162" s="15"/>
      <c r="J162" s="5"/>
    </row>
    <row r="163" spans="1:10" x14ac:dyDescent="0.25">
      <c r="A163" s="15"/>
      <c r="J163" s="5"/>
    </row>
    <row r="164" spans="1:10" x14ac:dyDescent="0.25">
      <c r="A164" s="15"/>
      <c r="J164" s="5"/>
    </row>
    <row r="165" spans="1:10" x14ac:dyDescent="0.25">
      <c r="A165" s="15"/>
      <c r="J165" s="5"/>
    </row>
    <row r="166" spans="1:10" x14ac:dyDescent="0.25">
      <c r="A166" s="15"/>
      <c r="J166" s="5"/>
    </row>
    <row r="167" spans="1:10" x14ac:dyDescent="0.25">
      <c r="A167" s="15"/>
      <c r="J167" s="5"/>
    </row>
    <row r="168" spans="1:10" x14ac:dyDescent="0.25">
      <c r="A168" s="15"/>
      <c r="J168" s="5"/>
    </row>
    <row r="169" spans="1:10" x14ac:dyDescent="0.25">
      <c r="A169" s="15"/>
      <c r="J169" s="5"/>
    </row>
    <row r="170" spans="1:10" x14ac:dyDescent="0.25">
      <c r="A170" s="15"/>
      <c r="J170" s="5"/>
    </row>
    <row r="171" spans="1:10" x14ac:dyDescent="0.25">
      <c r="A171" s="15"/>
      <c r="J171" s="5"/>
    </row>
    <row r="172" spans="1:10" x14ac:dyDescent="0.25">
      <c r="A172" s="15"/>
      <c r="J172" s="5"/>
    </row>
    <row r="173" spans="1:10" x14ac:dyDescent="0.25">
      <c r="A173" s="15"/>
      <c r="J173" s="5"/>
    </row>
    <row r="174" spans="1:10" x14ac:dyDescent="0.25">
      <c r="A174" s="15"/>
      <c r="J174" s="5"/>
    </row>
    <row r="175" spans="1:10" x14ac:dyDescent="0.25">
      <c r="A175" s="15"/>
      <c r="J175" s="5"/>
    </row>
    <row r="176" spans="1:10" x14ac:dyDescent="0.25">
      <c r="A176" s="15"/>
      <c r="J176" s="5"/>
    </row>
    <row r="177" spans="1:10" x14ac:dyDescent="0.25">
      <c r="A177" s="15"/>
      <c r="J177" s="5"/>
    </row>
    <row r="178" spans="1:10" x14ac:dyDescent="0.25">
      <c r="A178" s="15"/>
      <c r="J178" s="5"/>
    </row>
    <row r="179" spans="1:10" x14ac:dyDescent="0.25">
      <c r="A179" s="15"/>
      <c r="J179" s="5"/>
    </row>
    <row r="180" spans="1:10" x14ac:dyDescent="0.25">
      <c r="A180" s="15"/>
      <c r="J180" s="5"/>
    </row>
    <row r="181" spans="1:10" x14ac:dyDescent="0.25">
      <c r="A181" s="15"/>
      <c r="J181" s="5"/>
    </row>
    <row r="182" spans="1:10" x14ac:dyDescent="0.25">
      <c r="A182" s="15"/>
      <c r="J182" s="5"/>
    </row>
    <row r="183" spans="1:10" x14ac:dyDescent="0.25">
      <c r="A183" s="15"/>
      <c r="J183" s="5"/>
    </row>
    <row r="184" spans="1:10" x14ac:dyDescent="0.25">
      <c r="A184" s="15"/>
      <c r="J184" s="5"/>
    </row>
    <row r="185" spans="1:10" x14ac:dyDescent="0.25">
      <c r="A185" s="15"/>
      <c r="J185" s="5"/>
    </row>
    <row r="186" spans="1:10" x14ac:dyDescent="0.25">
      <c r="A186" s="15"/>
      <c r="J186" s="5"/>
    </row>
    <row r="187" spans="1:10" x14ac:dyDescent="0.25">
      <c r="A187" s="15"/>
      <c r="J187" s="5"/>
    </row>
    <row r="188" spans="1:10" x14ac:dyDescent="0.25">
      <c r="A188" s="15"/>
      <c r="J188" s="5"/>
    </row>
    <row r="189" spans="1:10" x14ac:dyDescent="0.25">
      <c r="A189" s="15"/>
      <c r="J189" s="5"/>
    </row>
    <row r="190" spans="1:10" x14ac:dyDescent="0.25">
      <c r="A190" s="15"/>
      <c r="J190" s="5"/>
    </row>
    <row r="191" spans="1:10" x14ac:dyDescent="0.25">
      <c r="A191" s="15"/>
      <c r="J191" s="5"/>
    </row>
    <row r="192" spans="1:10" x14ac:dyDescent="0.25">
      <c r="A192" s="15"/>
      <c r="J192" s="5"/>
    </row>
    <row r="193" spans="1:10" x14ac:dyDescent="0.25">
      <c r="A193" s="15"/>
      <c r="J193" s="5"/>
    </row>
    <row r="194" spans="1:10" x14ac:dyDescent="0.25">
      <c r="A194" s="15"/>
      <c r="J194" s="5"/>
    </row>
    <row r="195" spans="1:10" x14ac:dyDescent="0.25">
      <c r="A195" s="15"/>
      <c r="J195" s="5"/>
    </row>
    <row r="196" spans="1:10" x14ac:dyDescent="0.25">
      <c r="A196" s="15"/>
      <c r="J196" s="5"/>
    </row>
    <row r="197" spans="1:10" x14ac:dyDescent="0.25">
      <c r="A197" s="15"/>
      <c r="J197" s="5"/>
    </row>
    <row r="198" spans="1:10" x14ac:dyDescent="0.25">
      <c r="A198" s="15"/>
      <c r="J198" s="5"/>
    </row>
    <row r="199" spans="1:10" x14ac:dyDescent="0.25">
      <c r="A199" s="15"/>
      <c r="J199" s="5"/>
    </row>
    <row r="200" spans="1:10" x14ac:dyDescent="0.25">
      <c r="A200" s="15"/>
      <c r="J200" s="5"/>
    </row>
    <row r="201" spans="1:10" x14ac:dyDescent="0.25">
      <c r="A201" s="15"/>
      <c r="J201" s="5"/>
    </row>
    <row r="202" spans="1:10" x14ac:dyDescent="0.25">
      <c r="A202" s="15"/>
      <c r="J202" s="5"/>
    </row>
    <row r="203" spans="1:10" x14ac:dyDescent="0.25">
      <c r="A203" s="15"/>
      <c r="J203" s="5"/>
    </row>
    <row r="204" spans="1:10" x14ac:dyDescent="0.25">
      <c r="A204" s="15"/>
      <c r="J204" s="5"/>
    </row>
    <row r="205" spans="1:10" x14ac:dyDescent="0.25">
      <c r="A205" s="15"/>
      <c r="J205" s="5"/>
    </row>
    <row r="206" spans="1:10" x14ac:dyDescent="0.25">
      <c r="A206" s="15"/>
      <c r="J206" s="5"/>
    </row>
    <row r="207" spans="1:10" x14ac:dyDescent="0.25">
      <c r="A207" s="15"/>
      <c r="J207" s="5"/>
    </row>
    <row r="208" spans="1:10" x14ac:dyDescent="0.25">
      <c r="A208" s="15"/>
      <c r="J208" s="5"/>
    </row>
    <row r="209" spans="1:10" x14ac:dyDescent="0.25">
      <c r="A209" s="15"/>
      <c r="J209" s="5"/>
    </row>
    <row r="210" spans="1:10" x14ac:dyDescent="0.25">
      <c r="A210" s="15"/>
      <c r="J210" s="5"/>
    </row>
    <row r="211" spans="1:10" x14ac:dyDescent="0.25">
      <c r="A211" s="15"/>
      <c r="J211" s="5"/>
    </row>
    <row r="212" spans="1:10" x14ac:dyDescent="0.25">
      <c r="A212" s="15"/>
      <c r="J212" s="5"/>
    </row>
    <row r="213" spans="1:10" x14ac:dyDescent="0.25">
      <c r="A213" s="15"/>
      <c r="J213" s="5"/>
    </row>
    <row r="214" spans="1:10" x14ac:dyDescent="0.25">
      <c r="A214" s="15"/>
      <c r="J214" s="5"/>
    </row>
    <row r="215" spans="1:10" x14ac:dyDescent="0.25">
      <c r="A215" s="15"/>
      <c r="J215" s="5"/>
    </row>
    <row r="216" spans="1:10" x14ac:dyDescent="0.25">
      <c r="A216" s="15"/>
      <c r="J216" s="5"/>
    </row>
    <row r="217" spans="1:10" x14ac:dyDescent="0.25">
      <c r="A217" s="15"/>
      <c r="J217" s="5"/>
    </row>
    <row r="218" spans="1:10" x14ac:dyDescent="0.25">
      <c r="A218" s="15"/>
      <c r="J218" s="5"/>
    </row>
    <row r="219" spans="1:10" x14ac:dyDescent="0.25">
      <c r="A219" s="15"/>
      <c r="J219" s="5"/>
    </row>
    <row r="220" spans="1:10" x14ac:dyDescent="0.25">
      <c r="A220" s="15"/>
      <c r="J220" s="5"/>
    </row>
    <row r="221" spans="1:10" x14ac:dyDescent="0.25">
      <c r="A221" s="15"/>
      <c r="J221" s="5"/>
    </row>
    <row r="222" spans="1:10" x14ac:dyDescent="0.25">
      <c r="A222" s="15"/>
      <c r="J222" s="5"/>
    </row>
    <row r="223" spans="1:10" x14ac:dyDescent="0.25">
      <c r="A223" s="15"/>
      <c r="J223" s="5"/>
    </row>
    <row r="224" spans="1:10" x14ac:dyDescent="0.25">
      <c r="A224" s="15"/>
      <c r="J224" s="5"/>
    </row>
    <row r="225" spans="1:10" x14ac:dyDescent="0.25">
      <c r="A225" s="15"/>
      <c r="J225" s="5"/>
    </row>
    <row r="226" spans="1:10" x14ac:dyDescent="0.25">
      <c r="A226" s="15"/>
      <c r="J226" s="5"/>
    </row>
    <row r="227" spans="1:10" x14ac:dyDescent="0.25">
      <c r="A227" s="15"/>
      <c r="J227" s="5"/>
    </row>
    <row r="228" spans="1:10" x14ac:dyDescent="0.25">
      <c r="A228" s="15"/>
      <c r="J228" s="5"/>
    </row>
    <row r="229" spans="1:10" x14ac:dyDescent="0.25">
      <c r="A229" s="15"/>
      <c r="J229" s="5"/>
    </row>
    <row r="230" spans="1:10" x14ac:dyDescent="0.25">
      <c r="A230" s="15"/>
      <c r="J230" s="5"/>
    </row>
    <row r="231" spans="1:10" x14ac:dyDescent="0.25">
      <c r="A231" s="15"/>
      <c r="J231" s="5"/>
    </row>
    <row r="232" spans="1:10" x14ac:dyDescent="0.25">
      <c r="A232" s="15"/>
      <c r="J232" s="5"/>
    </row>
    <row r="233" spans="1:10" x14ac:dyDescent="0.25">
      <c r="A233" s="15"/>
      <c r="J233" s="5"/>
    </row>
    <row r="234" spans="1:10" x14ac:dyDescent="0.25">
      <c r="A234" s="15"/>
      <c r="J234" s="5"/>
    </row>
    <row r="235" spans="1:10" x14ac:dyDescent="0.25">
      <c r="A235" s="15"/>
      <c r="J235" s="5"/>
    </row>
    <row r="236" spans="1:10" x14ac:dyDescent="0.25">
      <c r="A236" s="15"/>
      <c r="J236" s="5"/>
    </row>
    <row r="237" spans="1:10" x14ac:dyDescent="0.25">
      <c r="A237" s="15"/>
      <c r="J237" s="5"/>
    </row>
    <row r="238" spans="1:10" x14ac:dyDescent="0.25">
      <c r="A238" s="15"/>
      <c r="J238" s="5"/>
    </row>
    <row r="239" spans="1:10" x14ac:dyDescent="0.25">
      <c r="A239" s="15"/>
      <c r="J239" s="5"/>
    </row>
    <row r="240" spans="1:10" x14ac:dyDescent="0.25">
      <c r="A240" s="15"/>
      <c r="J240" s="5"/>
    </row>
    <row r="241" spans="1:10" x14ac:dyDescent="0.25">
      <c r="A241" s="15"/>
      <c r="J241" s="5"/>
    </row>
    <row r="242" spans="1:10" x14ac:dyDescent="0.25">
      <c r="A242" s="15"/>
      <c r="J242" s="5"/>
    </row>
    <row r="243" spans="1:10" x14ac:dyDescent="0.25">
      <c r="A243" s="15"/>
      <c r="J243" s="5"/>
    </row>
    <row r="244" spans="1:10" x14ac:dyDescent="0.25">
      <c r="A244" s="15"/>
      <c r="J244" s="5"/>
    </row>
    <row r="245" spans="1:10" x14ac:dyDescent="0.25">
      <c r="A245" s="15"/>
      <c r="J245" s="5"/>
    </row>
    <row r="246" spans="1:10" x14ac:dyDescent="0.25">
      <c r="A246" s="15"/>
      <c r="J246" s="5"/>
    </row>
    <row r="247" spans="1:10" x14ac:dyDescent="0.25">
      <c r="A247" s="15"/>
      <c r="J247" s="5"/>
    </row>
    <row r="248" spans="1:10" x14ac:dyDescent="0.25">
      <c r="A248" s="15"/>
      <c r="J248" s="5"/>
    </row>
    <row r="249" spans="1:10" x14ac:dyDescent="0.25">
      <c r="A249" s="15"/>
      <c r="J249" s="5"/>
    </row>
    <row r="250" spans="1:10" x14ac:dyDescent="0.25">
      <c r="A250" s="15"/>
      <c r="J250" s="5"/>
    </row>
    <row r="251" spans="1:10" x14ac:dyDescent="0.25">
      <c r="A251" s="15"/>
      <c r="J251" s="5"/>
    </row>
    <row r="252" spans="1:10" x14ac:dyDescent="0.25">
      <c r="A252" s="15"/>
      <c r="J252" s="5"/>
    </row>
    <row r="253" spans="1:10" x14ac:dyDescent="0.25">
      <c r="A253" s="15"/>
      <c r="J253" s="5"/>
    </row>
    <row r="254" spans="1:10" x14ac:dyDescent="0.25">
      <c r="A254" s="15"/>
      <c r="J254" s="5"/>
    </row>
    <row r="255" spans="1:10" x14ac:dyDescent="0.25">
      <c r="A255" s="15"/>
      <c r="J255" s="5"/>
    </row>
    <row r="256" spans="1:10" x14ac:dyDescent="0.25">
      <c r="A256" s="15"/>
      <c r="J256" s="5"/>
    </row>
    <row r="257" spans="1:10" x14ac:dyDescent="0.25">
      <c r="A257" s="15"/>
      <c r="J257" s="5"/>
    </row>
    <row r="258" spans="1:10" x14ac:dyDescent="0.25">
      <c r="A258" s="15"/>
      <c r="J258" s="5"/>
    </row>
    <row r="259" spans="1:10" x14ac:dyDescent="0.25">
      <c r="A259" s="15"/>
      <c r="J259" s="5"/>
    </row>
    <row r="260" spans="1:10" x14ac:dyDescent="0.25">
      <c r="A260" s="15"/>
      <c r="J260" s="5"/>
    </row>
    <row r="261" spans="1:10" x14ac:dyDescent="0.25">
      <c r="A261" s="15"/>
      <c r="J261" s="5"/>
    </row>
    <row r="262" spans="1:10" x14ac:dyDescent="0.25">
      <c r="A262" s="15"/>
      <c r="J262" s="5"/>
    </row>
    <row r="263" spans="1:10" x14ac:dyDescent="0.25">
      <c r="A263" s="15"/>
      <c r="J263" s="5"/>
    </row>
    <row r="264" spans="1:10" x14ac:dyDescent="0.25">
      <c r="A264" s="15"/>
      <c r="J264" s="5"/>
    </row>
    <row r="265" spans="1:10" x14ac:dyDescent="0.25">
      <c r="A265" s="15"/>
      <c r="J265" s="5"/>
    </row>
    <row r="266" spans="1:10" x14ac:dyDescent="0.25">
      <c r="A266" s="15"/>
      <c r="J266" s="5"/>
    </row>
    <row r="267" spans="1:10" x14ac:dyDescent="0.25">
      <c r="A267" s="15"/>
      <c r="J267" s="5"/>
    </row>
    <row r="268" spans="1:10" x14ac:dyDescent="0.25">
      <c r="A268" s="15"/>
      <c r="J268" s="5"/>
    </row>
    <row r="269" spans="1:10" x14ac:dyDescent="0.25">
      <c r="A269" s="15"/>
      <c r="J269" s="5"/>
    </row>
    <row r="270" spans="1:10" x14ac:dyDescent="0.25">
      <c r="A270" s="15"/>
      <c r="J270" s="5"/>
    </row>
    <row r="271" spans="1:10" x14ac:dyDescent="0.25">
      <c r="A271" s="15"/>
      <c r="J271" s="5"/>
    </row>
    <row r="272" spans="1:10" x14ac:dyDescent="0.25">
      <c r="A272" s="15"/>
      <c r="J272" s="5"/>
    </row>
    <row r="273" spans="1:10" x14ac:dyDescent="0.25">
      <c r="A273" s="15"/>
      <c r="J273" s="5"/>
    </row>
    <row r="274" spans="1:10" x14ac:dyDescent="0.25">
      <c r="A274" s="15"/>
      <c r="J274" s="5"/>
    </row>
    <row r="275" spans="1:10" x14ac:dyDescent="0.25">
      <c r="A275" s="15"/>
      <c r="J275" s="5"/>
    </row>
    <row r="276" spans="1:10" x14ac:dyDescent="0.25">
      <c r="A276" s="15"/>
      <c r="J276" s="5"/>
    </row>
    <row r="277" spans="1:10" x14ac:dyDescent="0.25">
      <c r="A277" s="15"/>
      <c r="J277" s="5"/>
    </row>
    <row r="278" spans="1:10" x14ac:dyDescent="0.25">
      <c r="A278" s="15"/>
      <c r="J278" s="5"/>
    </row>
    <row r="279" spans="1:10" x14ac:dyDescent="0.25">
      <c r="A279" s="15"/>
      <c r="J279" s="5"/>
    </row>
    <row r="280" spans="1:10" x14ac:dyDescent="0.25">
      <c r="A280" s="15"/>
      <c r="J280" s="5"/>
    </row>
    <row r="281" spans="1:10" x14ac:dyDescent="0.25">
      <c r="A281" s="15"/>
      <c r="J281" s="5"/>
    </row>
    <row r="282" spans="1:10" x14ac:dyDescent="0.25">
      <c r="A282" s="15"/>
      <c r="J282" s="5"/>
    </row>
    <row r="283" spans="1:10" x14ac:dyDescent="0.25">
      <c r="A283" s="15"/>
      <c r="J283" s="5"/>
    </row>
    <row r="284" spans="1:10" x14ac:dyDescent="0.25">
      <c r="A284" s="15"/>
      <c r="J284" s="5"/>
    </row>
    <row r="285" spans="1:10" x14ac:dyDescent="0.25">
      <c r="A285" s="15"/>
      <c r="J285" s="5"/>
    </row>
    <row r="286" spans="1:10" x14ac:dyDescent="0.25">
      <c r="A286" s="15"/>
      <c r="J286" s="5"/>
    </row>
    <row r="287" spans="1:10" x14ac:dyDescent="0.25">
      <c r="A287" s="15"/>
      <c r="J287" s="5"/>
    </row>
    <row r="288" spans="1:10" x14ac:dyDescent="0.25">
      <c r="A288" s="15"/>
      <c r="J288" s="5"/>
    </row>
    <row r="289" spans="1:10" x14ac:dyDescent="0.25">
      <c r="A289" s="15"/>
      <c r="J289" s="5"/>
    </row>
    <row r="290" spans="1:10" x14ac:dyDescent="0.25">
      <c r="A290" s="15"/>
      <c r="J290" s="5"/>
    </row>
    <row r="291" spans="1:10" x14ac:dyDescent="0.25">
      <c r="A291" s="15"/>
      <c r="J291" s="5"/>
    </row>
    <row r="292" spans="1:10" x14ac:dyDescent="0.25">
      <c r="A292" s="15"/>
      <c r="J292" s="5"/>
    </row>
    <row r="293" spans="1:10" x14ac:dyDescent="0.25">
      <c r="A293" s="15"/>
      <c r="J293" s="5"/>
    </row>
    <row r="294" spans="1:10" x14ac:dyDescent="0.25">
      <c r="A294" s="15"/>
      <c r="J294" s="5"/>
    </row>
    <row r="295" spans="1:10" x14ac:dyDescent="0.25">
      <c r="A295" s="15"/>
      <c r="J295" s="5"/>
    </row>
    <row r="296" spans="1:10" x14ac:dyDescent="0.25">
      <c r="A296" s="15"/>
      <c r="J296" s="5"/>
    </row>
    <row r="297" spans="1:10" x14ac:dyDescent="0.25">
      <c r="A297" s="15"/>
      <c r="J297" s="5"/>
    </row>
    <row r="298" spans="1:10" x14ac:dyDescent="0.25">
      <c r="A298" s="15"/>
      <c r="J298" s="5"/>
    </row>
    <row r="299" spans="1:10" x14ac:dyDescent="0.25">
      <c r="A299" s="15"/>
      <c r="J299" s="5"/>
    </row>
    <row r="300" spans="1:10" x14ac:dyDescent="0.25">
      <c r="A300" s="15"/>
      <c r="J300" s="5"/>
    </row>
    <row r="301" spans="1:10" x14ac:dyDescent="0.25">
      <c r="A301" s="15"/>
      <c r="J301" s="5"/>
    </row>
    <row r="302" spans="1:10" x14ac:dyDescent="0.25">
      <c r="A302" s="15"/>
      <c r="J302" s="5"/>
    </row>
    <row r="303" spans="1:10" x14ac:dyDescent="0.25">
      <c r="A303" s="15"/>
      <c r="J303" s="5"/>
    </row>
    <row r="304" spans="1:10" x14ac:dyDescent="0.25">
      <c r="A304" s="15"/>
      <c r="J304" s="5"/>
    </row>
    <row r="305" spans="1:10" x14ac:dyDescent="0.25">
      <c r="A305" s="15"/>
      <c r="J305" s="5"/>
    </row>
    <row r="306" spans="1:10" x14ac:dyDescent="0.25">
      <c r="A306" s="15"/>
      <c r="J306" s="5"/>
    </row>
    <row r="307" spans="1:10" x14ac:dyDescent="0.25">
      <c r="A307" s="15"/>
      <c r="J307" s="5"/>
    </row>
    <row r="308" spans="1:10" x14ac:dyDescent="0.25">
      <c r="A308" s="15"/>
      <c r="J308" s="5"/>
    </row>
    <row r="309" spans="1:10" x14ac:dyDescent="0.25">
      <c r="A309" s="15"/>
      <c r="J309" s="5"/>
    </row>
    <row r="310" spans="1:10" x14ac:dyDescent="0.25">
      <c r="A310" s="15"/>
      <c r="J310" s="5"/>
    </row>
    <row r="311" spans="1:10" x14ac:dyDescent="0.25">
      <c r="A311" s="15"/>
      <c r="J311" s="5"/>
    </row>
    <row r="312" spans="1:10" x14ac:dyDescent="0.25">
      <c r="A312" s="15"/>
      <c r="J312" s="5"/>
    </row>
    <row r="313" spans="1:10" x14ac:dyDescent="0.25">
      <c r="A313" s="15"/>
      <c r="J313" s="5"/>
    </row>
    <row r="314" spans="1:10" x14ac:dyDescent="0.25">
      <c r="A314" s="15"/>
      <c r="J314" s="5"/>
    </row>
    <row r="315" spans="1:10" x14ac:dyDescent="0.25">
      <c r="A315" s="15"/>
      <c r="J315" s="5"/>
    </row>
    <row r="316" spans="1:10" x14ac:dyDescent="0.25">
      <c r="A316" s="15"/>
      <c r="J316" s="5"/>
    </row>
    <row r="317" spans="1:10" x14ac:dyDescent="0.25">
      <c r="A317" s="15"/>
      <c r="J317" s="5"/>
    </row>
    <row r="318" spans="1:10" x14ac:dyDescent="0.25">
      <c r="A318" s="15"/>
      <c r="J318" s="5"/>
    </row>
    <row r="319" spans="1:10" x14ac:dyDescent="0.25">
      <c r="A319" s="15"/>
      <c r="J319" s="5"/>
    </row>
    <row r="320" spans="1:10" x14ac:dyDescent="0.25">
      <c r="A320" s="15"/>
      <c r="J320" s="5"/>
    </row>
    <row r="321" spans="1:10" x14ac:dyDescent="0.25">
      <c r="A321" s="15"/>
      <c r="J321" s="5"/>
    </row>
    <row r="322" spans="1:10" x14ac:dyDescent="0.25">
      <c r="A322" s="15"/>
      <c r="J322" s="5"/>
    </row>
    <row r="323" spans="1:10" x14ac:dyDescent="0.25">
      <c r="A323" s="15"/>
      <c r="J323" s="5"/>
    </row>
    <row r="324" spans="1:10" x14ac:dyDescent="0.25">
      <c r="A324" s="15"/>
      <c r="J324" s="5"/>
    </row>
    <row r="325" spans="1:10" x14ac:dyDescent="0.25">
      <c r="A325" s="15"/>
      <c r="J325" s="5"/>
    </row>
    <row r="326" spans="1:10" x14ac:dyDescent="0.25">
      <c r="A326" s="15"/>
      <c r="J326" s="5"/>
    </row>
    <row r="327" spans="1:10" x14ac:dyDescent="0.25">
      <c r="A327" s="15"/>
      <c r="J327" s="5"/>
    </row>
    <row r="328" spans="1:10" x14ac:dyDescent="0.25">
      <c r="A328" s="15"/>
      <c r="J328" s="5"/>
    </row>
    <row r="329" spans="1:10" x14ac:dyDescent="0.25">
      <c r="A329" s="15"/>
      <c r="J329" s="5"/>
    </row>
    <row r="330" spans="1:10" x14ac:dyDescent="0.25">
      <c r="A330" s="15"/>
      <c r="J330" s="5"/>
    </row>
    <row r="331" spans="1:10" x14ac:dyDescent="0.25">
      <c r="A331" s="15"/>
      <c r="J331" s="5"/>
    </row>
    <row r="332" spans="1:10" x14ac:dyDescent="0.25">
      <c r="A332" s="15"/>
      <c r="J332" s="5"/>
    </row>
    <row r="333" spans="1:10" x14ac:dyDescent="0.25">
      <c r="A333" s="15"/>
      <c r="J333" s="5"/>
    </row>
    <row r="334" spans="1:10" x14ac:dyDescent="0.25">
      <c r="A334" s="15"/>
      <c r="J334" s="5"/>
    </row>
    <row r="335" spans="1:10" x14ac:dyDescent="0.25">
      <c r="A335" s="15"/>
      <c r="J335" s="5"/>
    </row>
    <row r="336" spans="1:10" x14ac:dyDescent="0.25">
      <c r="A336" s="15"/>
      <c r="J336" s="5"/>
    </row>
    <row r="337" spans="1:10" x14ac:dyDescent="0.25">
      <c r="A337" s="15"/>
      <c r="J337" s="5"/>
    </row>
    <row r="338" spans="1:10" x14ac:dyDescent="0.25">
      <c r="A338" s="15"/>
      <c r="J338" s="5"/>
    </row>
    <row r="339" spans="1:10" x14ac:dyDescent="0.25">
      <c r="A339" s="15"/>
      <c r="J339" s="5"/>
    </row>
    <row r="340" spans="1:10" x14ac:dyDescent="0.25">
      <c r="A340" s="15"/>
      <c r="J340" s="5"/>
    </row>
    <row r="341" spans="1:10" x14ac:dyDescent="0.25">
      <c r="A341" s="15"/>
      <c r="J341" s="5"/>
    </row>
    <row r="342" spans="1:10" x14ac:dyDescent="0.25">
      <c r="A342" s="15"/>
      <c r="J342" s="5"/>
    </row>
    <row r="343" spans="1:10" x14ac:dyDescent="0.25">
      <c r="A343" s="15"/>
      <c r="J343" s="5"/>
    </row>
    <row r="344" spans="1:10" x14ac:dyDescent="0.25">
      <c r="A344" s="15"/>
      <c r="J344" s="5"/>
    </row>
    <row r="345" spans="1:10" x14ac:dyDescent="0.25">
      <c r="A345" s="15"/>
      <c r="J345" s="5"/>
    </row>
    <row r="346" spans="1:10" x14ac:dyDescent="0.25">
      <c r="A346" s="15"/>
      <c r="J346" s="5"/>
    </row>
    <row r="347" spans="1:10" x14ac:dyDescent="0.25">
      <c r="A347" s="15"/>
      <c r="J347" s="5"/>
    </row>
    <row r="348" spans="1:10" x14ac:dyDescent="0.25">
      <c r="A348" s="15"/>
      <c r="J348" s="5"/>
    </row>
    <row r="349" spans="1:10" x14ac:dyDescent="0.25">
      <c r="A349" s="15"/>
      <c r="J349" s="5"/>
    </row>
    <row r="350" spans="1:10" x14ac:dyDescent="0.25">
      <c r="A350" s="15"/>
      <c r="J350" s="5"/>
    </row>
    <row r="351" spans="1:10" x14ac:dyDescent="0.25">
      <c r="A351" s="15"/>
      <c r="J351" s="5"/>
    </row>
    <row r="352" spans="1:10" x14ac:dyDescent="0.25">
      <c r="A352" s="15"/>
      <c r="J352" s="5"/>
    </row>
    <row r="353" spans="1:10" x14ac:dyDescent="0.25">
      <c r="A353" s="15"/>
      <c r="J353" s="5"/>
    </row>
    <row r="354" spans="1:10" x14ac:dyDescent="0.25">
      <c r="A354" s="15"/>
      <c r="J354" s="5"/>
    </row>
    <row r="355" spans="1:10" x14ac:dyDescent="0.25">
      <c r="A355" s="15"/>
      <c r="J355" s="5"/>
    </row>
    <row r="356" spans="1:10" x14ac:dyDescent="0.25">
      <c r="A356" s="15"/>
      <c r="J356" s="5"/>
    </row>
    <row r="357" spans="1:10" x14ac:dyDescent="0.25">
      <c r="A357" s="15"/>
      <c r="J357" s="5"/>
    </row>
    <row r="358" spans="1:10" x14ac:dyDescent="0.25">
      <c r="A358" s="15"/>
      <c r="J358" s="5"/>
    </row>
    <row r="359" spans="1:10" x14ac:dyDescent="0.25">
      <c r="A359" s="15"/>
      <c r="J359" s="5"/>
    </row>
    <row r="360" spans="1:10" x14ac:dyDescent="0.25">
      <c r="A360" s="15"/>
      <c r="J360" s="5"/>
    </row>
    <row r="361" spans="1:10" x14ac:dyDescent="0.25">
      <c r="A361" s="15"/>
      <c r="J361" s="5"/>
    </row>
    <row r="362" spans="1:10" x14ac:dyDescent="0.25">
      <c r="A362" s="15"/>
      <c r="J362" s="5"/>
    </row>
    <row r="363" spans="1:10" x14ac:dyDescent="0.25">
      <c r="A363" s="15"/>
      <c r="J363" s="5"/>
    </row>
    <row r="364" spans="1:10" x14ac:dyDescent="0.25">
      <c r="A364" s="15"/>
      <c r="J364" s="5"/>
    </row>
    <row r="365" spans="1:10" x14ac:dyDescent="0.25">
      <c r="A365" s="15"/>
      <c r="J365" s="5"/>
    </row>
    <row r="366" spans="1:10" x14ac:dyDescent="0.25">
      <c r="A366" s="15"/>
      <c r="J366" s="5"/>
    </row>
    <row r="367" spans="1:10" x14ac:dyDescent="0.25">
      <c r="A367" s="15"/>
      <c r="J367" s="5"/>
    </row>
    <row r="368" spans="1:10" x14ac:dyDescent="0.25">
      <c r="A368" s="15"/>
      <c r="J368" s="5"/>
    </row>
    <row r="369" spans="1:10" x14ac:dyDescent="0.25">
      <c r="A369" s="15"/>
      <c r="J369" s="5"/>
    </row>
    <row r="370" spans="1:10" x14ac:dyDescent="0.25">
      <c r="A370" s="15"/>
      <c r="J370" s="5"/>
    </row>
    <row r="371" spans="1:10" x14ac:dyDescent="0.25">
      <c r="A371" s="15"/>
      <c r="J371" s="5"/>
    </row>
    <row r="372" spans="1:10" x14ac:dyDescent="0.25">
      <c r="A372" s="15"/>
      <c r="J372" s="5"/>
    </row>
    <row r="373" spans="1:10" x14ac:dyDescent="0.25">
      <c r="A373" s="15"/>
      <c r="J373" s="5"/>
    </row>
    <row r="374" spans="1:10" x14ac:dyDescent="0.25">
      <c r="A374" s="15"/>
      <c r="J374" s="5"/>
    </row>
    <row r="375" spans="1:10" x14ac:dyDescent="0.25">
      <c r="A375" s="15"/>
      <c r="J375" s="5"/>
    </row>
    <row r="376" spans="1:10" x14ac:dyDescent="0.25">
      <c r="A376" s="15"/>
      <c r="J376" s="5"/>
    </row>
    <row r="377" spans="1:10" x14ac:dyDescent="0.25">
      <c r="A377" s="15"/>
      <c r="J377" s="5"/>
    </row>
    <row r="378" spans="1:10" x14ac:dyDescent="0.25">
      <c r="A378" s="15"/>
      <c r="J378" s="5"/>
    </row>
    <row r="379" spans="1:10" x14ac:dyDescent="0.25">
      <c r="A379" s="15"/>
      <c r="J379" s="5"/>
    </row>
    <row r="380" spans="1:10" x14ac:dyDescent="0.25">
      <c r="A380" s="15"/>
      <c r="J380" s="5"/>
    </row>
    <row r="381" spans="1:10" x14ac:dyDescent="0.25">
      <c r="A381" s="15"/>
      <c r="J381" s="5"/>
    </row>
    <row r="382" spans="1:10" x14ac:dyDescent="0.25">
      <c r="A382" s="15"/>
      <c r="J382" s="5"/>
    </row>
    <row r="383" spans="1:10" x14ac:dyDescent="0.25">
      <c r="A383" s="15"/>
      <c r="J383" s="5"/>
    </row>
    <row r="384" spans="1:10" x14ac:dyDescent="0.25">
      <c r="A384" s="15"/>
      <c r="J384" s="5"/>
    </row>
    <row r="385" spans="1:10" x14ac:dyDescent="0.25">
      <c r="A385" s="15"/>
      <c r="J385" s="5"/>
    </row>
    <row r="386" spans="1:10" x14ac:dyDescent="0.25">
      <c r="A386" s="15"/>
      <c r="J386" s="5"/>
    </row>
    <row r="387" spans="1:10" x14ac:dyDescent="0.25">
      <c r="A387" s="15"/>
      <c r="J387" s="5"/>
    </row>
    <row r="388" spans="1:10" x14ac:dyDescent="0.25">
      <c r="A388" s="15"/>
      <c r="J388" s="5"/>
    </row>
    <row r="389" spans="1:10" x14ac:dyDescent="0.25">
      <c r="A389" s="15"/>
      <c r="J389" s="5"/>
    </row>
    <row r="390" spans="1:10" x14ac:dyDescent="0.25">
      <c r="A390" s="15"/>
      <c r="J390" s="5"/>
    </row>
    <row r="391" spans="1:10" x14ac:dyDescent="0.25">
      <c r="A391" s="15"/>
      <c r="J391" s="5"/>
    </row>
    <row r="392" spans="1:10" x14ac:dyDescent="0.25">
      <c r="A392" s="15"/>
      <c r="J392" s="5"/>
    </row>
    <row r="393" spans="1:10" x14ac:dyDescent="0.25">
      <c r="A393" s="15"/>
      <c r="J393" s="5"/>
    </row>
    <row r="394" spans="1:10" x14ac:dyDescent="0.25">
      <c r="A394" s="15"/>
      <c r="J394" s="5"/>
    </row>
    <row r="395" spans="1:10" x14ac:dyDescent="0.25">
      <c r="A395" s="15"/>
      <c r="J395" s="5"/>
    </row>
    <row r="396" spans="1:10" x14ac:dyDescent="0.25">
      <c r="A396" s="15"/>
      <c r="J396" s="5"/>
    </row>
    <row r="397" spans="1:10" x14ac:dyDescent="0.25">
      <c r="A397" s="15"/>
      <c r="J397" s="5"/>
    </row>
    <row r="398" spans="1:10" x14ac:dyDescent="0.25">
      <c r="A398" s="15"/>
      <c r="J398" s="5"/>
    </row>
    <row r="399" spans="1:10" x14ac:dyDescent="0.25">
      <c r="A399" s="15"/>
      <c r="J399" s="5"/>
    </row>
    <row r="400" spans="1:10" x14ac:dyDescent="0.25">
      <c r="A400" s="15"/>
      <c r="J400" s="5"/>
    </row>
    <row r="401" spans="1:10" x14ac:dyDescent="0.25">
      <c r="A401" s="15"/>
      <c r="J401" s="5"/>
    </row>
    <row r="402" spans="1:10" x14ac:dyDescent="0.25">
      <c r="A402" s="15"/>
      <c r="J402" s="5"/>
    </row>
    <row r="403" spans="1:10" x14ac:dyDescent="0.25">
      <c r="A403" s="15"/>
      <c r="J403" s="5"/>
    </row>
    <row r="404" spans="1:10" x14ac:dyDescent="0.25">
      <c r="A404" s="15"/>
      <c r="J404" s="5"/>
    </row>
    <row r="405" spans="1:10" x14ac:dyDescent="0.25">
      <c r="A405" s="15"/>
      <c r="J405" s="5"/>
    </row>
    <row r="406" spans="1:10" x14ac:dyDescent="0.25">
      <c r="A406" s="15"/>
      <c r="J406" s="5"/>
    </row>
    <row r="407" spans="1:10" x14ac:dyDescent="0.25">
      <c r="A407" s="15"/>
      <c r="J407" s="5"/>
    </row>
    <row r="408" spans="1:10" x14ac:dyDescent="0.25">
      <c r="A408" s="15"/>
      <c r="J408" s="5"/>
    </row>
    <row r="409" spans="1:10" x14ac:dyDescent="0.25">
      <c r="A409" s="15"/>
      <c r="J409" s="5"/>
    </row>
    <row r="410" spans="1:10" x14ac:dyDescent="0.25">
      <c r="A410" s="15"/>
      <c r="J410" s="5"/>
    </row>
    <row r="411" spans="1:10" x14ac:dyDescent="0.25">
      <c r="A411" s="15"/>
      <c r="J411" s="5"/>
    </row>
    <row r="412" spans="1:10" x14ac:dyDescent="0.25">
      <c r="A412" s="15"/>
      <c r="J412" s="5"/>
    </row>
    <row r="413" spans="1:10" x14ac:dyDescent="0.25">
      <c r="A413" s="15"/>
      <c r="J413" s="5"/>
    </row>
    <row r="414" spans="1:10" x14ac:dyDescent="0.25">
      <c r="A414" s="15"/>
      <c r="J414" s="5"/>
    </row>
    <row r="415" spans="1:10" x14ac:dyDescent="0.25">
      <c r="A415" s="15"/>
      <c r="J415" s="5"/>
    </row>
    <row r="416" spans="1:10" x14ac:dyDescent="0.25">
      <c r="A416" s="15"/>
      <c r="J416" s="5"/>
    </row>
    <row r="417" spans="1:10" x14ac:dyDescent="0.25">
      <c r="A417" s="15"/>
      <c r="J417" s="5"/>
    </row>
    <row r="418" spans="1:10" x14ac:dyDescent="0.25">
      <c r="A418" s="15"/>
      <c r="J418" s="5"/>
    </row>
    <row r="419" spans="1:10" x14ac:dyDescent="0.25">
      <c r="A419" s="15"/>
      <c r="J419" s="5"/>
    </row>
    <row r="420" spans="1:10" x14ac:dyDescent="0.25">
      <c r="A420" s="15"/>
      <c r="J420" s="5"/>
    </row>
    <row r="421" spans="1:10" x14ac:dyDescent="0.25">
      <c r="A421" s="15"/>
      <c r="J421" s="5"/>
    </row>
    <row r="422" spans="1:10" x14ac:dyDescent="0.25">
      <c r="A422" s="15"/>
      <c r="J422" s="5"/>
    </row>
    <row r="423" spans="1:10" x14ac:dyDescent="0.25">
      <c r="A423" s="15"/>
      <c r="J423" s="5"/>
    </row>
    <row r="424" spans="1:10" x14ac:dyDescent="0.25">
      <c r="A424" s="15"/>
      <c r="J424" s="5"/>
    </row>
    <row r="425" spans="1:10" x14ac:dyDescent="0.25">
      <c r="A425" s="15"/>
      <c r="J425" s="5"/>
    </row>
    <row r="426" spans="1:10" x14ac:dyDescent="0.25">
      <c r="A426" s="15"/>
      <c r="J426" s="5"/>
    </row>
    <row r="427" spans="1:10" x14ac:dyDescent="0.25">
      <c r="A427" s="15"/>
      <c r="J427" s="5"/>
    </row>
    <row r="428" spans="1:10" x14ac:dyDescent="0.25">
      <c r="A428" s="15"/>
      <c r="J428" s="5"/>
    </row>
    <row r="429" spans="1:10" x14ac:dyDescent="0.25">
      <c r="A429" s="15"/>
      <c r="J429" s="5"/>
    </row>
    <row r="430" spans="1:10" x14ac:dyDescent="0.25">
      <c r="A430" s="15"/>
      <c r="J430" s="5"/>
    </row>
    <row r="431" spans="1:10" x14ac:dyDescent="0.25">
      <c r="A431" s="15"/>
      <c r="J431" s="5"/>
    </row>
    <row r="432" spans="1:10" x14ac:dyDescent="0.25">
      <c r="A432" s="15"/>
      <c r="J432" s="5"/>
    </row>
    <row r="433" spans="1:10" x14ac:dyDescent="0.25">
      <c r="A433" s="15"/>
      <c r="J433" s="5"/>
    </row>
    <row r="434" spans="1:10" x14ac:dyDescent="0.25">
      <c r="A434" s="15"/>
      <c r="J434" s="5"/>
    </row>
    <row r="435" spans="1:10" x14ac:dyDescent="0.25">
      <c r="A435" s="15"/>
      <c r="J435" s="5"/>
    </row>
    <row r="436" spans="1:10" x14ac:dyDescent="0.25">
      <c r="A436" s="15"/>
      <c r="J436" s="5"/>
    </row>
    <row r="437" spans="1:10" x14ac:dyDescent="0.25">
      <c r="A437" s="15"/>
      <c r="J437" s="5"/>
    </row>
    <row r="438" spans="1:10" x14ac:dyDescent="0.25">
      <c r="A438" s="15"/>
      <c r="J438" s="5"/>
    </row>
    <row r="439" spans="1:10" x14ac:dyDescent="0.25">
      <c r="A439" s="15"/>
      <c r="J439" s="5"/>
    </row>
    <row r="440" spans="1:10" x14ac:dyDescent="0.25">
      <c r="A440" s="15"/>
      <c r="J440" s="5"/>
    </row>
    <row r="441" spans="1:10" x14ac:dyDescent="0.25">
      <c r="A441" s="15"/>
      <c r="J441" s="5"/>
    </row>
    <row r="442" spans="1:10" x14ac:dyDescent="0.25">
      <c r="A442" s="15"/>
      <c r="J442" s="5"/>
    </row>
    <row r="443" spans="1:10" x14ac:dyDescent="0.25">
      <c r="A443" s="15"/>
      <c r="J443" s="5"/>
    </row>
    <row r="444" spans="1:10" x14ac:dyDescent="0.25">
      <c r="A444" s="15"/>
      <c r="J444" s="5"/>
    </row>
    <row r="445" spans="1:10" x14ac:dyDescent="0.25">
      <c r="A445" s="15"/>
      <c r="J445" s="5"/>
    </row>
    <row r="446" spans="1:10" x14ac:dyDescent="0.25">
      <c r="A446" s="15"/>
      <c r="J446" s="5"/>
    </row>
    <row r="447" spans="1:10" x14ac:dyDescent="0.25">
      <c r="A447" s="15"/>
      <c r="J447" s="5"/>
    </row>
    <row r="448" spans="1:10" x14ac:dyDescent="0.25">
      <c r="A448" s="15"/>
      <c r="J448" s="5"/>
    </row>
    <row r="449" spans="1:10" x14ac:dyDescent="0.25">
      <c r="A449" s="15"/>
      <c r="J449" s="5"/>
    </row>
    <row r="450" spans="1:10" x14ac:dyDescent="0.25">
      <c r="A450" s="15"/>
      <c r="J450" s="5"/>
    </row>
    <row r="451" spans="1:10" x14ac:dyDescent="0.25">
      <c r="A451" s="15"/>
      <c r="J451" s="5"/>
    </row>
    <row r="452" spans="1:10" x14ac:dyDescent="0.25">
      <c r="A452" s="15"/>
      <c r="J452" s="5"/>
    </row>
    <row r="453" spans="1:10" x14ac:dyDescent="0.25">
      <c r="A453" s="15"/>
      <c r="J453" s="5"/>
    </row>
    <row r="454" spans="1:10" x14ac:dyDescent="0.25">
      <c r="A454" s="15"/>
      <c r="J454" s="5"/>
    </row>
    <row r="455" spans="1:10" x14ac:dyDescent="0.25">
      <c r="A455" s="15"/>
      <c r="J455" s="5"/>
    </row>
    <row r="456" spans="1:10" x14ac:dyDescent="0.25">
      <c r="A456" s="15"/>
      <c r="J456" s="5"/>
    </row>
    <row r="457" spans="1:10" x14ac:dyDescent="0.25">
      <c r="A457" s="15"/>
      <c r="J457" s="5"/>
    </row>
    <row r="458" spans="1:10" x14ac:dyDescent="0.25">
      <c r="A458" s="15"/>
      <c r="J458" s="5"/>
    </row>
    <row r="459" spans="1:10" x14ac:dyDescent="0.25">
      <c r="A459" s="15"/>
      <c r="J459" s="5"/>
    </row>
    <row r="460" spans="1:10" x14ac:dyDescent="0.25">
      <c r="A460" s="15"/>
      <c r="J460" s="5"/>
    </row>
    <row r="461" spans="1:10" x14ac:dyDescent="0.25">
      <c r="A461" s="15"/>
      <c r="J461" s="5"/>
    </row>
    <row r="462" spans="1:10" x14ac:dyDescent="0.25">
      <c r="A462" s="15"/>
      <c r="J462" s="5"/>
    </row>
    <row r="463" spans="1:10" x14ac:dyDescent="0.25">
      <c r="A463" s="15"/>
      <c r="J463" s="5"/>
    </row>
    <row r="464" spans="1:10" x14ac:dyDescent="0.25">
      <c r="A464" s="15"/>
      <c r="J464" s="5"/>
    </row>
    <row r="465" spans="1:10" x14ac:dyDescent="0.25">
      <c r="A465" s="15"/>
      <c r="J465" s="5"/>
    </row>
    <row r="466" spans="1:10" x14ac:dyDescent="0.25">
      <c r="A466" s="15"/>
      <c r="J466" s="5"/>
    </row>
    <row r="467" spans="1:10" x14ac:dyDescent="0.25">
      <c r="A467" s="15"/>
      <c r="J467" s="5"/>
    </row>
    <row r="468" spans="1:10" x14ac:dyDescent="0.25">
      <c r="A468" s="15"/>
      <c r="J468" s="5"/>
    </row>
    <row r="469" spans="1:10" x14ac:dyDescent="0.25">
      <c r="A469" s="15"/>
      <c r="J469" s="5"/>
    </row>
    <row r="470" spans="1:10" x14ac:dyDescent="0.25">
      <c r="A470" s="15"/>
      <c r="J470" s="5"/>
    </row>
    <row r="471" spans="1:10" x14ac:dyDescent="0.25">
      <c r="A471" s="15"/>
      <c r="J471" s="5"/>
    </row>
    <row r="472" spans="1:10" x14ac:dyDescent="0.25">
      <c r="A472" s="15"/>
      <c r="J472" s="5"/>
    </row>
    <row r="473" spans="1:10" x14ac:dyDescent="0.25">
      <c r="A473" s="15"/>
      <c r="J473" s="5"/>
    </row>
    <row r="474" spans="1:10" x14ac:dyDescent="0.25">
      <c r="A474" s="15"/>
      <c r="J474" s="5"/>
    </row>
    <row r="475" spans="1:10" x14ac:dyDescent="0.25">
      <c r="A475" s="15"/>
      <c r="J475" s="5"/>
    </row>
    <row r="476" spans="1:10" x14ac:dyDescent="0.25">
      <c r="A476" s="15"/>
      <c r="J476" s="5"/>
    </row>
    <row r="477" spans="1:10" x14ac:dyDescent="0.25">
      <c r="A477" s="15"/>
      <c r="J477" s="5"/>
    </row>
    <row r="478" spans="1:10" x14ac:dyDescent="0.25">
      <c r="A478" s="15"/>
      <c r="J478" s="5"/>
    </row>
    <row r="479" spans="1:10" x14ac:dyDescent="0.25">
      <c r="A479" s="15"/>
      <c r="J479" s="5"/>
    </row>
    <row r="480" spans="1:10" x14ac:dyDescent="0.25">
      <c r="A480" s="15"/>
      <c r="J480" s="5"/>
    </row>
    <row r="481" spans="1:10" x14ac:dyDescent="0.25">
      <c r="A481" s="15"/>
      <c r="J481" s="5"/>
    </row>
    <row r="482" spans="1:10" x14ac:dyDescent="0.25">
      <c r="A482" s="15"/>
      <c r="J482" s="5"/>
    </row>
    <row r="483" spans="1:10" x14ac:dyDescent="0.25">
      <c r="A483" s="15"/>
      <c r="J483" s="5"/>
    </row>
    <row r="484" spans="1:10" x14ac:dyDescent="0.25">
      <c r="A484" s="15"/>
      <c r="J484" s="5"/>
    </row>
    <row r="485" spans="1:10" x14ac:dyDescent="0.25">
      <c r="A485" s="15"/>
      <c r="J485" s="5"/>
    </row>
    <row r="486" spans="1:10" x14ac:dyDescent="0.25">
      <c r="A486" s="15"/>
      <c r="J486" s="5"/>
    </row>
    <row r="487" spans="1:10" x14ac:dyDescent="0.25">
      <c r="A487" s="15"/>
      <c r="J487" s="5"/>
    </row>
    <row r="488" spans="1:10" x14ac:dyDescent="0.25">
      <c r="A488" s="15"/>
      <c r="J488" s="5"/>
    </row>
    <row r="489" spans="1:10" x14ac:dyDescent="0.25">
      <c r="A489" s="15"/>
      <c r="J489" s="5"/>
    </row>
    <row r="490" spans="1:10" x14ac:dyDescent="0.25">
      <c r="A490" s="15"/>
      <c r="J490" s="5"/>
    </row>
    <row r="491" spans="1:10" x14ac:dyDescent="0.25">
      <c r="A491" s="15"/>
      <c r="J491" s="5"/>
    </row>
    <row r="492" spans="1:10" x14ac:dyDescent="0.25">
      <c r="A492" s="15"/>
      <c r="J492" s="5"/>
    </row>
    <row r="493" spans="1:10" x14ac:dyDescent="0.25">
      <c r="A493" s="15"/>
      <c r="J493" s="5"/>
    </row>
    <row r="494" spans="1:10" x14ac:dyDescent="0.25">
      <c r="A494" s="15"/>
      <c r="J494" s="5"/>
    </row>
    <row r="495" spans="1:10" x14ac:dyDescent="0.25">
      <c r="A495" s="15"/>
      <c r="J495" s="5"/>
    </row>
    <row r="496" spans="1:10" x14ac:dyDescent="0.25">
      <c r="A496" s="15"/>
      <c r="J496" s="5"/>
    </row>
    <row r="497" spans="1:10" x14ac:dyDescent="0.25">
      <c r="A497" s="15"/>
      <c r="J497" s="5"/>
    </row>
    <row r="498" spans="1:10" x14ac:dyDescent="0.25">
      <c r="A498" s="15"/>
      <c r="J498" s="5"/>
    </row>
    <row r="499" spans="1:10" x14ac:dyDescent="0.25">
      <c r="A499" s="15"/>
      <c r="J499" s="5"/>
    </row>
    <row r="500" spans="1:10" x14ac:dyDescent="0.25">
      <c r="A500" s="15"/>
      <c r="J500" s="5"/>
    </row>
    <row r="501" spans="1:10" x14ac:dyDescent="0.25">
      <c r="A501" s="15"/>
      <c r="J501" s="5"/>
    </row>
    <row r="502" spans="1:10" x14ac:dyDescent="0.25">
      <c r="A502" s="15"/>
      <c r="J502" s="5"/>
    </row>
    <row r="503" spans="1:10" x14ac:dyDescent="0.25">
      <c r="A503" s="15"/>
      <c r="J503" s="5"/>
    </row>
    <row r="504" spans="1:10" x14ac:dyDescent="0.25">
      <c r="A504" s="15"/>
      <c r="J504" s="5"/>
    </row>
    <row r="505" spans="1:10" x14ac:dyDescent="0.25">
      <c r="A505" s="15"/>
      <c r="J505" s="5"/>
    </row>
    <row r="506" spans="1:10" x14ac:dyDescent="0.25">
      <c r="A506" s="15"/>
      <c r="J506" s="5"/>
    </row>
    <row r="507" spans="1:10" x14ac:dyDescent="0.25">
      <c r="A507" s="15"/>
      <c r="J507" s="5"/>
    </row>
    <row r="508" spans="1:10" x14ac:dyDescent="0.25">
      <c r="A508" s="15"/>
      <c r="J508" s="5"/>
    </row>
    <row r="509" spans="1:10" x14ac:dyDescent="0.25">
      <c r="A509" s="15"/>
      <c r="J509" s="5"/>
    </row>
    <row r="510" spans="1:10" x14ac:dyDescent="0.25">
      <c r="A510" s="15"/>
      <c r="J510" s="5"/>
    </row>
    <row r="511" spans="1:10" x14ac:dyDescent="0.25">
      <c r="A511" s="15"/>
      <c r="J511" s="5"/>
    </row>
    <row r="512" spans="1:10" x14ac:dyDescent="0.25">
      <c r="A512" s="15"/>
      <c r="J512" s="5"/>
    </row>
    <row r="513" spans="1:10" x14ac:dyDescent="0.25">
      <c r="A513" s="15"/>
      <c r="J513" s="5"/>
    </row>
    <row r="514" spans="1:10" x14ac:dyDescent="0.25">
      <c r="A514" s="15"/>
      <c r="J514" s="5"/>
    </row>
    <row r="515" spans="1:10" x14ac:dyDescent="0.25">
      <c r="A515" s="15"/>
      <c r="J515" s="5"/>
    </row>
    <row r="516" spans="1:10" x14ac:dyDescent="0.25">
      <c r="A516" s="15"/>
      <c r="J516" s="5"/>
    </row>
    <row r="517" spans="1:10" x14ac:dyDescent="0.25">
      <c r="A517" s="15"/>
      <c r="J517" s="5"/>
    </row>
    <row r="518" spans="1:10" x14ac:dyDescent="0.25">
      <c r="A518" s="15"/>
      <c r="J518" s="5"/>
    </row>
    <row r="519" spans="1:10" x14ac:dyDescent="0.25">
      <c r="A519" s="15"/>
      <c r="J519" s="5"/>
    </row>
    <row r="520" spans="1:10" x14ac:dyDescent="0.25">
      <c r="A520" s="15"/>
      <c r="J520" s="5"/>
    </row>
    <row r="521" spans="1:10" x14ac:dyDescent="0.25">
      <c r="A521" s="15"/>
      <c r="J521" s="5"/>
    </row>
    <row r="522" spans="1:10" x14ac:dyDescent="0.25">
      <c r="A522" s="15"/>
      <c r="J522" s="5"/>
    </row>
    <row r="523" spans="1:10" x14ac:dyDescent="0.25">
      <c r="A523" s="15"/>
      <c r="J523" s="5"/>
    </row>
    <row r="524" spans="1:10" x14ac:dyDescent="0.25">
      <c r="A524" s="15"/>
      <c r="J524" s="5"/>
    </row>
    <row r="525" spans="1:10" x14ac:dyDescent="0.25">
      <c r="A525" s="15"/>
      <c r="J525" s="5"/>
    </row>
    <row r="526" spans="1:10" x14ac:dyDescent="0.25">
      <c r="A526" s="15"/>
      <c r="J526" s="5"/>
    </row>
    <row r="527" spans="1:10" x14ac:dyDescent="0.25">
      <c r="A527" s="15"/>
      <c r="J527" s="5"/>
    </row>
    <row r="528" spans="1:10" x14ac:dyDescent="0.25">
      <c r="A528" s="15"/>
      <c r="J528" s="5"/>
    </row>
    <row r="529" spans="1:10" x14ac:dyDescent="0.25">
      <c r="A529" s="15"/>
      <c r="J529" s="5"/>
    </row>
    <row r="530" spans="1:10" x14ac:dyDescent="0.25">
      <c r="A530" s="15"/>
      <c r="J530" s="5"/>
    </row>
    <row r="531" spans="1:10" x14ac:dyDescent="0.25">
      <c r="A531" s="15"/>
      <c r="J531" s="5"/>
    </row>
    <row r="532" spans="1:10" x14ac:dyDescent="0.25">
      <c r="A532" s="15"/>
      <c r="J532" s="5"/>
    </row>
    <row r="533" spans="1:10" x14ac:dyDescent="0.25">
      <c r="A533" s="15"/>
      <c r="J533" s="5"/>
    </row>
    <row r="534" spans="1:10" x14ac:dyDescent="0.25">
      <c r="A534" s="15"/>
      <c r="J534" s="5"/>
    </row>
    <row r="535" spans="1:10" x14ac:dyDescent="0.25">
      <c r="A535" s="15"/>
      <c r="J535" s="5"/>
    </row>
    <row r="536" spans="1:10" x14ac:dyDescent="0.25">
      <c r="A536" s="15"/>
      <c r="J536" s="5"/>
    </row>
    <row r="537" spans="1:10" x14ac:dyDescent="0.25">
      <c r="A537" s="15"/>
      <c r="J537" s="5"/>
    </row>
    <row r="538" spans="1:10" x14ac:dyDescent="0.25">
      <c r="A538" s="15"/>
      <c r="J538" s="5"/>
    </row>
    <row r="539" spans="1:10" x14ac:dyDescent="0.25">
      <c r="A539" s="15"/>
      <c r="J539" s="5"/>
    </row>
    <row r="540" spans="1:10" x14ac:dyDescent="0.25">
      <c r="A540" s="15"/>
      <c r="J540" s="5"/>
    </row>
    <row r="541" spans="1:10" x14ac:dyDescent="0.25">
      <c r="A541" s="15"/>
      <c r="J541" s="5"/>
    </row>
    <row r="542" spans="1:10" x14ac:dyDescent="0.25">
      <c r="A542" s="15"/>
      <c r="J542" s="5"/>
    </row>
    <row r="543" spans="1:10" x14ac:dyDescent="0.25">
      <c r="A543" s="15"/>
      <c r="J543" s="5"/>
    </row>
    <row r="544" spans="1:10" x14ac:dyDescent="0.25">
      <c r="A544" s="15"/>
      <c r="J544" s="5"/>
    </row>
    <row r="545" spans="1:10" x14ac:dyDescent="0.25">
      <c r="A545" s="15"/>
      <c r="J545" s="5"/>
    </row>
    <row r="546" spans="1:10" x14ac:dyDescent="0.25">
      <c r="A546" s="15"/>
      <c r="J546" s="5"/>
    </row>
    <row r="547" spans="1:10" x14ac:dyDescent="0.25">
      <c r="A547" s="15"/>
      <c r="J547" s="5"/>
    </row>
    <row r="548" spans="1:10" x14ac:dyDescent="0.25">
      <c r="A548" s="15"/>
      <c r="J548" s="5"/>
    </row>
    <row r="549" spans="1:10" x14ac:dyDescent="0.25">
      <c r="A549" s="15"/>
      <c r="J549" s="5"/>
    </row>
    <row r="550" spans="1:10" x14ac:dyDescent="0.25">
      <c r="A550" s="15"/>
      <c r="J550" s="5"/>
    </row>
    <row r="551" spans="1:10" x14ac:dyDescent="0.25">
      <c r="A551" s="15"/>
      <c r="J551" s="5"/>
    </row>
    <row r="552" spans="1:10" x14ac:dyDescent="0.25">
      <c r="A552" s="15"/>
      <c r="J552" s="5"/>
    </row>
    <row r="553" spans="1:10" x14ac:dyDescent="0.25">
      <c r="A553" s="15"/>
      <c r="J553" s="5"/>
    </row>
    <row r="554" spans="1:10" x14ac:dyDescent="0.25">
      <c r="A554" s="15"/>
      <c r="J554" s="5"/>
    </row>
    <row r="555" spans="1:10" x14ac:dyDescent="0.25">
      <c r="A555" s="15"/>
      <c r="J555" s="5"/>
    </row>
    <row r="556" spans="1:10" x14ac:dyDescent="0.25">
      <c r="A556" s="15"/>
      <c r="J556" s="5"/>
    </row>
    <row r="557" spans="1:10" x14ac:dyDescent="0.25">
      <c r="A557" s="15"/>
      <c r="J557" s="5"/>
    </row>
    <row r="558" spans="1:10" x14ac:dyDescent="0.25">
      <c r="A558" s="15"/>
      <c r="J558" s="5"/>
    </row>
    <row r="559" spans="1:10" x14ac:dyDescent="0.25">
      <c r="A559" s="15"/>
      <c r="J559" s="5"/>
    </row>
    <row r="560" spans="1:10" x14ac:dyDescent="0.25">
      <c r="A560" s="15"/>
      <c r="J560" s="5"/>
    </row>
    <row r="561" spans="1:10" x14ac:dyDescent="0.25">
      <c r="A561" s="15"/>
      <c r="J561" s="5"/>
    </row>
    <row r="562" spans="1:10" x14ac:dyDescent="0.25">
      <c r="A562" s="15"/>
      <c r="J562" s="5"/>
    </row>
    <row r="563" spans="1:10" x14ac:dyDescent="0.25">
      <c r="A563" s="15"/>
      <c r="J563" s="5"/>
    </row>
    <row r="564" spans="1:10" x14ac:dyDescent="0.25">
      <c r="A564" s="15"/>
      <c r="J564" s="5"/>
    </row>
    <row r="565" spans="1:10" x14ac:dyDescent="0.25">
      <c r="A565" s="15"/>
      <c r="J565" s="5"/>
    </row>
    <row r="566" spans="1:10" x14ac:dyDescent="0.25">
      <c r="A566" s="15"/>
      <c r="J566" s="5"/>
    </row>
    <row r="567" spans="1:10" x14ac:dyDescent="0.25">
      <c r="A567" s="15"/>
      <c r="J567" s="5"/>
    </row>
    <row r="568" spans="1:10" x14ac:dyDescent="0.25">
      <c r="A568" s="15"/>
      <c r="J568" s="5"/>
    </row>
    <row r="569" spans="1:10" x14ac:dyDescent="0.25">
      <c r="A569" s="15"/>
      <c r="J569" s="5"/>
    </row>
    <row r="570" spans="1:10" x14ac:dyDescent="0.25">
      <c r="A570" s="15"/>
      <c r="J570" s="5"/>
    </row>
    <row r="571" spans="1:10" x14ac:dyDescent="0.25">
      <c r="A571" s="15"/>
      <c r="J571" s="5"/>
    </row>
    <row r="572" spans="1:10" x14ac:dyDescent="0.25">
      <c r="A572" s="15"/>
      <c r="J572" s="5"/>
    </row>
    <row r="573" spans="1:10" x14ac:dyDescent="0.25">
      <c r="A573" s="15"/>
      <c r="J573" s="5"/>
    </row>
    <row r="574" spans="1:10" x14ac:dyDescent="0.25">
      <c r="A574" s="15"/>
      <c r="J574" s="5"/>
    </row>
    <row r="575" spans="1:10" x14ac:dyDescent="0.25">
      <c r="A575" s="15"/>
      <c r="J575" s="5"/>
    </row>
    <row r="576" spans="1:10" x14ac:dyDescent="0.25">
      <c r="A576" s="15"/>
      <c r="J576" s="5"/>
    </row>
    <row r="577" spans="1:10" x14ac:dyDescent="0.25">
      <c r="A577" s="15"/>
      <c r="J577" s="5"/>
    </row>
    <row r="578" spans="1:10" x14ac:dyDescent="0.25">
      <c r="A578" s="15"/>
      <c r="J578" s="5"/>
    </row>
    <row r="579" spans="1:10" x14ac:dyDescent="0.25">
      <c r="A579" s="15"/>
      <c r="J579" s="5"/>
    </row>
    <row r="580" spans="1:10" x14ac:dyDescent="0.25">
      <c r="A580" s="15"/>
      <c r="J580" s="5"/>
    </row>
    <row r="581" spans="1:10" x14ac:dyDescent="0.25">
      <c r="A581" s="15"/>
      <c r="J581" s="5"/>
    </row>
    <row r="582" spans="1:10" x14ac:dyDescent="0.25">
      <c r="A582" s="15"/>
      <c r="J582" s="5"/>
    </row>
    <row r="583" spans="1:10" x14ac:dyDescent="0.25">
      <c r="A583" s="15"/>
      <c r="J583" s="5"/>
    </row>
    <row r="584" spans="1:10" x14ac:dyDescent="0.25">
      <c r="A584" s="15"/>
      <c r="J584" s="5"/>
    </row>
    <row r="585" spans="1:10" x14ac:dyDescent="0.25">
      <c r="A585" s="15"/>
      <c r="J585" s="5"/>
    </row>
    <row r="586" spans="1:10" x14ac:dyDescent="0.25">
      <c r="A586" s="15"/>
      <c r="J586" s="5"/>
    </row>
    <row r="587" spans="1:10" x14ac:dyDescent="0.25">
      <c r="A587" s="15"/>
      <c r="J587" s="5"/>
    </row>
    <row r="588" spans="1:10" x14ac:dyDescent="0.25">
      <c r="A588" s="15"/>
      <c r="J588" s="5"/>
    </row>
    <row r="589" spans="1:10" x14ac:dyDescent="0.25">
      <c r="A589" s="15"/>
      <c r="J589" s="5"/>
    </row>
    <row r="590" spans="1:10" x14ac:dyDescent="0.25">
      <c r="A590" s="15"/>
      <c r="J590" s="5"/>
    </row>
    <row r="591" spans="1:10" x14ac:dyDescent="0.25">
      <c r="A591" s="15"/>
      <c r="J591" s="5"/>
    </row>
    <row r="592" spans="1:10" x14ac:dyDescent="0.25">
      <c r="A592" s="15"/>
      <c r="J592" s="5"/>
    </row>
    <row r="593" spans="1:10" x14ac:dyDescent="0.25">
      <c r="A593" s="15"/>
      <c r="J593" s="5"/>
    </row>
    <row r="594" spans="1:10" x14ac:dyDescent="0.25">
      <c r="A594" s="15"/>
      <c r="J594" s="5"/>
    </row>
    <row r="595" spans="1:10" x14ac:dyDescent="0.25">
      <c r="A595" s="15"/>
      <c r="J595" s="5"/>
    </row>
    <row r="596" spans="1:10" x14ac:dyDescent="0.25">
      <c r="A596" s="15"/>
      <c r="J596" s="5"/>
    </row>
    <row r="597" spans="1:10" x14ac:dyDescent="0.25">
      <c r="A597" s="15"/>
      <c r="J597" s="5"/>
    </row>
    <row r="598" spans="1:10" x14ac:dyDescent="0.25">
      <c r="A598" s="15"/>
      <c r="J598" s="5"/>
    </row>
    <row r="599" spans="1:10" x14ac:dyDescent="0.25">
      <c r="A599" s="15"/>
      <c r="J599" s="5"/>
    </row>
    <row r="600" spans="1:10" x14ac:dyDescent="0.25">
      <c r="A600" s="15"/>
      <c r="J600" s="5"/>
    </row>
    <row r="601" spans="1:10" x14ac:dyDescent="0.25">
      <c r="A601" s="15"/>
      <c r="J601" s="5"/>
    </row>
    <row r="602" spans="1:10" x14ac:dyDescent="0.25">
      <c r="A602" s="15"/>
      <c r="J602" s="5"/>
    </row>
    <row r="603" spans="1:10" x14ac:dyDescent="0.25">
      <c r="A603" s="15"/>
      <c r="J603" s="5"/>
    </row>
    <row r="604" spans="1:10" x14ac:dyDescent="0.25">
      <c r="A604" s="15"/>
      <c r="J604" s="5"/>
    </row>
    <row r="605" spans="1:10" x14ac:dyDescent="0.25">
      <c r="A605" s="15"/>
      <c r="J605" s="5"/>
    </row>
    <row r="606" spans="1:10" x14ac:dyDescent="0.25">
      <c r="A606" s="15"/>
      <c r="J606" s="5"/>
    </row>
    <row r="607" spans="1:10" x14ac:dyDescent="0.25">
      <c r="A607" s="15"/>
      <c r="J607" s="5"/>
    </row>
    <row r="608" spans="1:10" x14ac:dyDescent="0.25">
      <c r="A608" s="15"/>
      <c r="J608" s="5"/>
    </row>
    <row r="609" spans="1:10" x14ac:dyDescent="0.25">
      <c r="A609" s="15"/>
      <c r="J609" s="5"/>
    </row>
    <row r="610" spans="1:10" x14ac:dyDescent="0.25">
      <c r="A610" s="15"/>
      <c r="J610" s="5"/>
    </row>
    <row r="611" spans="1:10" x14ac:dyDescent="0.25">
      <c r="A611" s="15"/>
      <c r="J611" s="5"/>
    </row>
    <row r="612" spans="1:10" x14ac:dyDescent="0.25">
      <c r="A612" s="15"/>
      <c r="J612" s="5"/>
    </row>
    <row r="613" spans="1:10" x14ac:dyDescent="0.25">
      <c r="A613" s="15"/>
      <c r="J613" s="5"/>
    </row>
    <row r="614" spans="1:10" x14ac:dyDescent="0.25">
      <c r="A614" s="15"/>
      <c r="J614" s="5"/>
    </row>
    <row r="615" spans="1:10" x14ac:dyDescent="0.25">
      <c r="A615" s="15"/>
      <c r="J615" s="5"/>
    </row>
    <row r="616" spans="1:10" x14ac:dyDescent="0.25">
      <c r="A616" s="15"/>
      <c r="J616" s="5"/>
    </row>
    <row r="617" spans="1:10" x14ac:dyDescent="0.25">
      <c r="A617" s="15"/>
      <c r="J617" s="5"/>
    </row>
    <row r="618" spans="1:10" x14ac:dyDescent="0.25">
      <c r="A618" s="15"/>
      <c r="J618" s="5"/>
    </row>
    <row r="619" spans="1:10" x14ac:dyDescent="0.25">
      <c r="A619" s="15"/>
      <c r="J619" s="5"/>
    </row>
    <row r="620" spans="1:10" x14ac:dyDescent="0.25">
      <c r="A620" s="15"/>
      <c r="J620" s="5"/>
    </row>
    <row r="621" spans="1:10" x14ac:dyDescent="0.25">
      <c r="A621" s="15"/>
      <c r="J621" s="5"/>
    </row>
    <row r="622" spans="1:10" x14ac:dyDescent="0.25">
      <c r="A622" s="15"/>
      <c r="J622" s="5"/>
    </row>
    <row r="623" spans="1:10" x14ac:dyDescent="0.25">
      <c r="A623" s="15"/>
      <c r="J623" s="5"/>
    </row>
    <row r="624" spans="1:10" x14ac:dyDescent="0.25">
      <c r="A624" s="15"/>
      <c r="J624" s="5"/>
    </row>
    <row r="625" spans="1:10" x14ac:dyDescent="0.25">
      <c r="A625" s="15"/>
      <c r="J625" s="5"/>
    </row>
    <row r="626" spans="1:10" x14ac:dyDescent="0.25">
      <c r="A626" s="15"/>
      <c r="J626" s="5"/>
    </row>
    <row r="627" spans="1:10" x14ac:dyDescent="0.25">
      <c r="A627" s="15"/>
      <c r="J627" s="5"/>
    </row>
    <row r="628" spans="1:10" x14ac:dyDescent="0.25">
      <c r="A628" s="15"/>
      <c r="J628" s="5"/>
    </row>
    <row r="629" spans="1:10" x14ac:dyDescent="0.25">
      <c r="A629" s="15"/>
      <c r="J629" s="5"/>
    </row>
    <row r="630" spans="1:10" x14ac:dyDescent="0.25">
      <c r="A630" s="15"/>
      <c r="J630" s="5"/>
    </row>
    <row r="631" spans="1:10" x14ac:dyDescent="0.25">
      <c r="A631" s="15"/>
      <c r="J631" s="5"/>
    </row>
    <row r="632" spans="1:10" x14ac:dyDescent="0.25">
      <c r="A632" s="15"/>
      <c r="J632" s="5"/>
    </row>
    <row r="633" spans="1:10" x14ac:dyDescent="0.25">
      <c r="A633" s="15"/>
      <c r="J633" s="5"/>
    </row>
    <row r="634" spans="1:10" x14ac:dyDescent="0.25">
      <c r="A634" s="15"/>
      <c r="J634" s="5"/>
    </row>
    <row r="635" spans="1:10" x14ac:dyDescent="0.25">
      <c r="A635" s="15"/>
      <c r="J635" s="5"/>
    </row>
    <row r="636" spans="1:10" x14ac:dyDescent="0.25">
      <c r="A636" s="15"/>
      <c r="J636" s="5"/>
    </row>
    <row r="637" spans="1:10" x14ac:dyDescent="0.25">
      <c r="A637" s="15"/>
      <c r="J637" s="5"/>
    </row>
    <row r="638" spans="1:10" x14ac:dyDescent="0.25">
      <c r="A638" s="15"/>
      <c r="J638" s="5"/>
    </row>
    <row r="639" spans="1:10" x14ac:dyDescent="0.25">
      <c r="A639" s="15"/>
      <c r="J639" s="5"/>
    </row>
    <row r="640" spans="1:10" x14ac:dyDescent="0.25">
      <c r="A640" s="15"/>
      <c r="J640" s="5"/>
    </row>
    <row r="641" spans="1:10" x14ac:dyDescent="0.25">
      <c r="A641" s="15"/>
      <c r="J641" s="5"/>
    </row>
    <row r="642" spans="1:10" x14ac:dyDescent="0.25">
      <c r="A642" s="15"/>
      <c r="J642" s="5"/>
    </row>
    <row r="643" spans="1:10" x14ac:dyDescent="0.25">
      <c r="A643" s="15"/>
      <c r="J643" s="5"/>
    </row>
    <row r="644" spans="1:10" x14ac:dyDescent="0.25">
      <c r="A644" s="15"/>
      <c r="J644" s="5"/>
    </row>
    <row r="645" spans="1:10" x14ac:dyDescent="0.25">
      <c r="A645" s="15"/>
      <c r="J645" s="5"/>
    </row>
    <row r="646" spans="1:10" x14ac:dyDescent="0.25">
      <c r="A646" s="15"/>
      <c r="J646" s="5"/>
    </row>
    <row r="647" spans="1:10" x14ac:dyDescent="0.25">
      <c r="A647" s="15"/>
      <c r="J647" s="5"/>
    </row>
    <row r="648" spans="1:10" x14ac:dyDescent="0.25">
      <c r="A648" s="15"/>
      <c r="J648" s="5"/>
    </row>
    <row r="649" spans="1:10" x14ac:dyDescent="0.25">
      <c r="A649" s="15"/>
      <c r="J649" s="5"/>
    </row>
    <row r="650" spans="1:10" x14ac:dyDescent="0.25">
      <c r="A650" s="15"/>
      <c r="J650" s="5"/>
    </row>
    <row r="651" spans="1:10" x14ac:dyDescent="0.25">
      <c r="A651" s="15"/>
      <c r="J651" s="5"/>
    </row>
    <row r="652" spans="1:10" x14ac:dyDescent="0.25">
      <c r="A652" s="15"/>
      <c r="J652" s="5"/>
    </row>
    <row r="653" spans="1:10" x14ac:dyDescent="0.25">
      <c r="A653" s="15"/>
      <c r="J653" s="5"/>
    </row>
    <row r="654" spans="1:10" x14ac:dyDescent="0.25">
      <c r="A654" s="15"/>
      <c r="J654" s="5"/>
    </row>
    <row r="655" spans="1:10" x14ac:dyDescent="0.25">
      <c r="A655" s="15"/>
      <c r="J655" s="5"/>
    </row>
    <row r="656" spans="1:10" x14ac:dyDescent="0.25">
      <c r="A656" s="15"/>
      <c r="J656" s="5"/>
    </row>
    <row r="657" spans="1:10" x14ac:dyDescent="0.25">
      <c r="A657" s="15"/>
      <c r="J657" s="5"/>
    </row>
    <row r="658" spans="1:10" x14ac:dyDescent="0.25">
      <c r="A658" s="15"/>
      <c r="J658" s="5"/>
    </row>
    <row r="659" spans="1:10" x14ac:dyDescent="0.25">
      <c r="A659" s="15"/>
      <c r="J659" s="5"/>
    </row>
    <row r="660" spans="1:10" x14ac:dyDescent="0.25">
      <c r="A660" s="15"/>
      <c r="J660" s="5"/>
    </row>
    <row r="661" spans="1:10" x14ac:dyDescent="0.25">
      <c r="A661" s="15"/>
      <c r="J661" s="5"/>
    </row>
    <row r="662" spans="1:10" x14ac:dyDescent="0.25">
      <c r="A662" s="15"/>
      <c r="J662" s="5"/>
    </row>
    <row r="663" spans="1:10" x14ac:dyDescent="0.25">
      <c r="A663" s="15"/>
      <c r="J663" s="5"/>
    </row>
    <row r="664" spans="1:10" x14ac:dyDescent="0.25">
      <c r="A664" s="15"/>
      <c r="J664" s="5"/>
    </row>
    <row r="665" spans="1:10" x14ac:dyDescent="0.25">
      <c r="A665" s="15"/>
      <c r="J665" s="5"/>
    </row>
    <row r="666" spans="1:10" x14ac:dyDescent="0.25">
      <c r="A666" s="15"/>
      <c r="J666" s="5"/>
    </row>
    <row r="667" spans="1:10" x14ac:dyDescent="0.25">
      <c r="A667" s="15"/>
      <c r="J667" s="5"/>
    </row>
    <row r="668" spans="1:10" x14ac:dyDescent="0.25">
      <c r="A668" s="15"/>
      <c r="J668" s="5"/>
    </row>
    <row r="669" spans="1:10" x14ac:dyDescent="0.25">
      <c r="A669" s="15"/>
      <c r="J669" s="5"/>
    </row>
    <row r="670" spans="1:10" x14ac:dyDescent="0.25">
      <c r="A670" s="15"/>
      <c r="J670" s="5"/>
    </row>
    <row r="671" spans="1:10" x14ac:dyDescent="0.25">
      <c r="A671" s="15"/>
      <c r="J671" s="5"/>
    </row>
    <row r="672" spans="1:10" x14ac:dyDescent="0.25">
      <c r="A672" s="15"/>
      <c r="J672" s="5"/>
    </row>
    <row r="673" spans="1:10" x14ac:dyDescent="0.25">
      <c r="A673" s="15"/>
      <c r="J673" s="5"/>
    </row>
    <row r="674" spans="1:10" x14ac:dyDescent="0.25">
      <c r="A674" s="15"/>
      <c r="J674" s="5"/>
    </row>
    <row r="675" spans="1:10" x14ac:dyDescent="0.25">
      <c r="A675" s="15"/>
      <c r="J675" s="5"/>
    </row>
    <row r="676" spans="1:10" x14ac:dyDescent="0.25">
      <c r="A676" s="15"/>
      <c r="J676" s="5"/>
    </row>
    <row r="677" spans="1:10" x14ac:dyDescent="0.25">
      <c r="A677" s="15"/>
      <c r="J677" s="5"/>
    </row>
    <row r="678" spans="1:10" x14ac:dyDescent="0.25">
      <c r="A678" s="15"/>
      <c r="J678" s="5"/>
    </row>
    <row r="679" spans="1:10" x14ac:dyDescent="0.25">
      <c r="A679" s="15"/>
      <c r="J679" s="5"/>
    </row>
    <row r="680" spans="1:10" x14ac:dyDescent="0.25">
      <c r="A680" s="15"/>
      <c r="J680" s="5"/>
    </row>
    <row r="681" spans="1:10" x14ac:dyDescent="0.25">
      <c r="A681" s="15"/>
      <c r="J681" s="5"/>
    </row>
    <row r="682" spans="1:10" x14ac:dyDescent="0.25">
      <c r="A682" s="15"/>
      <c r="J682" s="5"/>
    </row>
    <row r="683" spans="1:10" x14ac:dyDescent="0.25">
      <c r="A683" s="15"/>
      <c r="J683" s="5"/>
    </row>
    <row r="684" spans="1:10" x14ac:dyDescent="0.25">
      <c r="A684" s="15"/>
      <c r="J684" s="5"/>
    </row>
    <row r="685" spans="1:10" x14ac:dyDescent="0.25">
      <c r="A685" s="15"/>
      <c r="J685" s="5"/>
    </row>
    <row r="686" spans="1:10" x14ac:dyDescent="0.25">
      <c r="A686" s="15"/>
      <c r="J686" s="5"/>
    </row>
    <row r="687" spans="1:10" x14ac:dyDescent="0.25">
      <c r="A687" s="15"/>
      <c r="J687" s="5"/>
    </row>
    <row r="688" spans="1:10" x14ac:dyDescent="0.25">
      <c r="A688" s="15"/>
      <c r="J688" s="5"/>
    </row>
    <row r="689" spans="1:10" x14ac:dyDescent="0.25">
      <c r="A689" s="15"/>
      <c r="J689" s="5"/>
    </row>
    <row r="690" spans="1:10" x14ac:dyDescent="0.25">
      <c r="A690" s="15"/>
      <c r="J690" s="5"/>
    </row>
    <row r="691" spans="1:10" x14ac:dyDescent="0.25">
      <c r="A691" s="15"/>
      <c r="J691" s="5"/>
    </row>
    <row r="692" spans="1:10" x14ac:dyDescent="0.25">
      <c r="A692" s="15"/>
      <c r="J692" s="5"/>
    </row>
    <row r="693" spans="1:10" x14ac:dyDescent="0.25">
      <c r="A693" s="15"/>
      <c r="J693" s="5"/>
    </row>
    <row r="694" spans="1:10" x14ac:dyDescent="0.25">
      <c r="A694" s="15"/>
      <c r="J694" s="5"/>
    </row>
    <row r="695" spans="1:10" x14ac:dyDescent="0.25">
      <c r="A695" s="15"/>
      <c r="J695" s="5"/>
    </row>
    <row r="696" spans="1:10" x14ac:dyDescent="0.25">
      <c r="A696" s="15"/>
      <c r="J696" s="5"/>
    </row>
    <row r="697" spans="1:10" x14ac:dyDescent="0.25">
      <c r="A697" s="15"/>
      <c r="J697" s="5"/>
    </row>
    <row r="698" spans="1:10" x14ac:dyDescent="0.25">
      <c r="A698" s="15"/>
      <c r="J698" s="5"/>
    </row>
    <row r="699" spans="1:10" x14ac:dyDescent="0.25">
      <c r="A699" s="15"/>
      <c r="J699" s="5"/>
    </row>
    <row r="700" spans="1:10" x14ac:dyDescent="0.25">
      <c r="A700" s="15"/>
      <c r="J700" s="5"/>
    </row>
    <row r="701" spans="1:10" x14ac:dyDescent="0.25">
      <c r="A701" s="15"/>
      <c r="J701" s="5"/>
    </row>
    <row r="702" spans="1:10" x14ac:dyDescent="0.25">
      <c r="A702" s="15"/>
      <c r="J702" s="5"/>
    </row>
    <row r="703" spans="1:10" x14ac:dyDescent="0.25">
      <c r="A703" s="15"/>
      <c r="J703" s="5"/>
    </row>
    <row r="704" spans="1:10" x14ac:dyDescent="0.25">
      <c r="A704" s="15"/>
      <c r="J704" s="5"/>
    </row>
    <row r="705" spans="1:10" x14ac:dyDescent="0.25">
      <c r="A705" s="15"/>
      <c r="J705" s="5"/>
    </row>
    <row r="706" spans="1:10" x14ac:dyDescent="0.25">
      <c r="A706" s="15"/>
      <c r="J706" s="5"/>
    </row>
    <row r="707" spans="1:10" x14ac:dyDescent="0.25">
      <c r="A707" s="15"/>
      <c r="J707" s="5"/>
    </row>
    <row r="708" spans="1:10" x14ac:dyDescent="0.25">
      <c r="A708" s="15"/>
      <c r="J708" s="5"/>
    </row>
    <row r="709" spans="1:10" x14ac:dyDescent="0.25">
      <c r="A709" s="15"/>
      <c r="J709" s="5"/>
    </row>
    <row r="710" spans="1:10" x14ac:dyDescent="0.25">
      <c r="A710" s="15"/>
      <c r="J710" s="5"/>
    </row>
    <row r="711" spans="1:10" x14ac:dyDescent="0.25">
      <c r="A711" s="15"/>
      <c r="J711" s="5"/>
    </row>
    <row r="712" spans="1:10" x14ac:dyDescent="0.25">
      <c r="A712" s="15"/>
      <c r="J712" s="5"/>
    </row>
    <row r="713" spans="1:10" x14ac:dyDescent="0.25">
      <c r="A713" s="15"/>
      <c r="J713" s="5"/>
    </row>
    <row r="714" spans="1:10" x14ac:dyDescent="0.25">
      <c r="A714" s="15"/>
      <c r="J714" s="5"/>
    </row>
    <row r="715" spans="1:10" x14ac:dyDescent="0.25">
      <c r="A715" s="15"/>
      <c r="J715" s="5"/>
    </row>
    <row r="716" spans="1:10" x14ac:dyDescent="0.25">
      <c r="A716" s="15"/>
      <c r="J716" s="5"/>
    </row>
    <row r="717" spans="1:10" x14ac:dyDescent="0.25">
      <c r="A717" s="15"/>
      <c r="J717" s="5"/>
    </row>
    <row r="718" spans="1:10" x14ac:dyDescent="0.25">
      <c r="A718" s="15"/>
      <c r="J718" s="5"/>
    </row>
    <row r="719" spans="1:10" x14ac:dyDescent="0.25">
      <c r="A719" s="15"/>
      <c r="J719" s="5"/>
    </row>
    <row r="720" spans="1:10" x14ac:dyDescent="0.25">
      <c r="A720" s="15"/>
      <c r="J720" s="5"/>
    </row>
    <row r="721" spans="1:10" x14ac:dyDescent="0.25">
      <c r="A721" s="15"/>
      <c r="J721" s="5"/>
    </row>
    <row r="722" spans="1:10" x14ac:dyDescent="0.25">
      <c r="A722" s="15"/>
      <c r="J722" s="5"/>
    </row>
    <row r="723" spans="1:10" x14ac:dyDescent="0.25">
      <c r="A723" s="15"/>
      <c r="J723" s="5"/>
    </row>
    <row r="724" spans="1:10" x14ac:dyDescent="0.25">
      <c r="A724" s="15"/>
      <c r="J724" s="5"/>
    </row>
    <row r="725" spans="1:10" x14ac:dyDescent="0.25">
      <c r="A725" s="15"/>
      <c r="J725" s="5"/>
    </row>
    <row r="726" spans="1:10" x14ac:dyDescent="0.25">
      <c r="A726" s="15"/>
      <c r="J726" s="5"/>
    </row>
    <row r="727" spans="1:10" x14ac:dyDescent="0.25">
      <c r="A727" s="15"/>
      <c r="J727" s="5"/>
    </row>
    <row r="728" spans="1:10" x14ac:dyDescent="0.25">
      <c r="A728" s="15"/>
      <c r="J728" s="5"/>
    </row>
    <row r="729" spans="1:10" x14ac:dyDescent="0.25">
      <c r="A729" s="15"/>
      <c r="J729" s="5"/>
    </row>
    <row r="730" spans="1:10" x14ac:dyDescent="0.25">
      <c r="A730" s="15"/>
      <c r="J730" s="5"/>
    </row>
    <row r="731" spans="1:10" x14ac:dyDescent="0.25">
      <c r="A731" s="15"/>
      <c r="J731" s="5"/>
    </row>
    <row r="732" spans="1:10" x14ac:dyDescent="0.25">
      <c r="A732" s="15"/>
      <c r="J732" s="5"/>
    </row>
    <row r="733" spans="1:10" x14ac:dyDescent="0.25">
      <c r="A733" s="15"/>
      <c r="J733" s="5"/>
    </row>
    <row r="734" spans="1:10" x14ac:dyDescent="0.25">
      <c r="A734" s="15"/>
      <c r="J734" s="5"/>
    </row>
    <row r="735" spans="1:10" x14ac:dyDescent="0.25">
      <c r="A735" s="15"/>
      <c r="J735" s="5"/>
    </row>
    <row r="736" spans="1:10" x14ac:dyDescent="0.25">
      <c r="A736" s="15"/>
      <c r="J736" s="5"/>
    </row>
    <row r="737" spans="1:10" x14ac:dyDescent="0.25">
      <c r="A737" s="15"/>
      <c r="J737" s="5"/>
    </row>
    <row r="738" spans="1:10" x14ac:dyDescent="0.25">
      <c r="A738" s="15"/>
      <c r="J738" s="5"/>
    </row>
    <row r="739" spans="1:10" x14ac:dyDescent="0.25">
      <c r="A739" s="15"/>
      <c r="J739" s="5"/>
    </row>
    <row r="740" spans="1:10" x14ac:dyDescent="0.25">
      <c r="A740" s="15"/>
      <c r="J740" s="5"/>
    </row>
    <row r="741" spans="1:10" x14ac:dyDescent="0.25">
      <c r="A741" s="15"/>
      <c r="J741" s="5"/>
    </row>
    <row r="742" spans="1:10" x14ac:dyDescent="0.25">
      <c r="A742" s="15"/>
      <c r="J742" s="5"/>
    </row>
    <row r="743" spans="1:10" x14ac:dyDescent="0.25">
      <c r="A743" s="15"/>
      <c r="J743" s="5"/>
    </row>
    <row r="744" spans="1:10" x14ac:dyDescent="0.25">
      <c r="A744" s="15"/>
      <c r="J744" s="5"/>
    </row>
    <row r="745" spans="1:10" x14ac:dyDescent="0.25">
      <c r="A745" s="15"/>
      <c r="J745" s="5"/>
    </row>
    <row r="746" spans="1:10" x14ac:dyDescent="0.25">
      <c r="A746" s="15"/>
      <c r="J746" s="5"/>
    </row>
    <row r="747" spans="1:10" x14ac:dyDescent="0.25">
      <c r="A747" s="15"/>
      <c r="J747" s="5"/>
    </row>
    <row r="748" spans="1:10" x14ac:dyDescent="0.25">
      <c r="A748" s="15"/>
      <c r="J748" s="5"/>
    </row>
    <row r="749" spans="1:10" x14ac:dyDescent="0.25">
      <c r="A749" s="15"/>
      <c r="J749" s="5"/>
    </row>
    <row r="750" spans="1:10" x14ac:dyDescent="0.25">
      <c r="A750" s="15"/>
      <c r="J750" s="5"/>
    </row>
    <row r="751" spans="1:10" x14ac:dyDescent="0.25">
      <c r="A751" s="15"/>
      <c r="J751" s="5"/>
    </row>
    <row r="752" spans="1:10" x14ac:dyDescent="0.25">
      <c r="A752" s="15"/>
      <c r="J752" s="5"/>
    </row>
    <row r="753" spans="1:10" x14ac:dyDescent="0.25">
      <c r="A753" s="15"/>
      <c r="J753" s="5"/>
    </row>
    <row r="754" spans="1:10" x14ac:dyDescent="0.25">
      <c r="A754" s="15"/>
      <c r="J754" s="5"/>
    </row>
    <row r="755" spans="1:10" x14ac:dyDescent="0.25">
      <c r="A755" s="15"/>
      <c r="J755" s="5"/>
    </row>
    <row r="756" spans="1:10" x14ac:dyDescent="0.25">
      <c r="A756" s="15"/>
      <c r="J756" s="5"/>
    </row>
    <row r="757" spans="1:10" x14ac:dyDescent="0.25">
      <c r="A757" s="15"/>
      <c r="J757" s="5"/>
    </row>
    <row r="758" spans="1:10" x14ac:dyDescent="0.25">
      <c r="A758" s="15"/>
      <c r="J758" s="5"/>
    </row>
    <row r="759" spans="1:10" x14ac:dyDescent="0.25">
      <c r="A759" s="15"/>
      <c r="J759" s="5"/>
    </row>
    <row r="760" spans="1:10" x14ac:dyDescent="0.25">
      <c r="A760" s="15"/>
      <c r="J760" s="5"/>
    </row>
    <row r="761" spans="1:10" x14ac:dyDescent="0.25">
      <c r="A761" s="15"/>
      <c r="J761" s="5"/>
    </row>
    <row r="762" spans="1:10" x14ac:dyDescent="0.25">
      <c r="A762" s="15"/>
      <c r="J762" s="5"/>
    </row>
    <row r="763" spans="1:10" x14ac:dyDescent="0.25">
      <c r="A763" s="15"/>
      <c r="J763" s="5"/>
    </row>
    <row r="764" spans="1:10" x14ac:dyDescent="0.25">
      <c r="A764" s="15"/>
      <c r="J764" s="5"/>
    </row>
    <row r="765" spans="1:10" x14ac:dyDescent="0.25">
      <c r="A765" s="15"/>
      <c r="J765" s="5"/>
    </row>
    <row r="766" spans="1:10" x14ac:dyDescent="0.25">
      <c r="A766" s="15"/>
      <c r="J766" s="5"/>
    </row>
    <row r="767" spans="1:10" x14ac:dyDescent="0.25">
      <c r="A767" s="15"/>
      <c r="J767" s="5"/>
    </row>
    <row r="768" spans="1:10" x14ac:dyDescent="0.25">
      <c r="A768" s="15"/>
      <c r="J768" s="5"/>
    </row>
    <row r="769" spans="1:10" x14ac:dyDescent="0.25">
      <c r="A769" s="15"/>
      <c r="J769" s="5"/>
    </row>
    <row r="770" spans="1:10" x14ac:dyDescent="0.25">
      <c r="A770" s="15"/>
      <c r="J770" s="5"/>
    </row>
    <row r="771" spans="1:10" x14ac:dyDescent="0.25">
      <c r="A771" s="15"/>
      <c r="J771" s="5"/>
    </row>
    <row r="772" spans="1:10" x14ac:dyDescent="0.25">
      <c r="A772" s="15"/>
      <c r="J772" s="5"/>
    </row>
    <row r="773" spans="1:10" x14ac:dyDescent="0.25">
      <c r="A773" s="15"/>
      <c r="J773" s="5"/>
    </row>
    <row r="774" spans="1:10" x14ac:dyDescent="0.25">
      <c r="A774" s="15"/>
      <c r="J774" s="5"/>
    </row>
    <row r="775" spans="1:10" x14ac:dyDescent="0.25">
      <c r="A775" s="15"/>
      <c r="J775" s="5"/>
    </row>
    <row r="776" spans="1:10" x14ac:dyDescent="0.25">
      <c r="A776" s="15"/>
      <c r="J776" s="5"/>
    </row>
    <row r="777" spans="1:10" x14ac:dyDescent="0.25">
      <c r="A777" s="15"/>
      <c r="J777" s="5"/>
    </row>
    <row r="778" spans="1:10" x14ac:dyDescent="0.25">
      <c r="A778" s="15"/>
      <c r="J778" s="5"/>
    </row>
    <row r="779" spans="1:10" x14ac:dyDescent="0.25">
      <c r="A779" s="15"/>
      <c r="J779" s="5"/>
    </row>
    <row r="780" spans="1:10" x14ac:dyDescent="0.25">
      <c r="A780" s="15"/>
      <c r="J780" s="5"/>
    </row>
    <row r="781" spans="1:10" x14ac:dyDescent="0.25">
      <c r="A781" s="15"/>
      <c r="J781" s="5"/>
    </row>
    <row r="782" spans="1:10" x14ac:dyDescent="0.25">
      <c r="A782" s="15"/>
      <c r="J782" s="5"/>
    </row>
    <row r="783" spans="1:10" x14ac:dyDescent="0.25">
      <c r="A783" s="15"/>
      <c r="J783" s="5"/>
    </row>
    <row r="784" spans="1:10" x14ac:dyDescent="0.25">
      <c r="A784" s="15"/>
      <c r="J784" s="5"/>
    </row>
    <row r="785" spans="1:10" x14ac:dyDescent="0.25">
      <c r="A785" s="15"/>
      <c r="J785" s="5"/>
    </row>
    <row r="786" spans="1:10" x14ac:dyDescent="0.25">
      <c r="A786" s="15"/>
      <c r="J786" s="5"/>
    </row>
    <row r="787" spans="1:10" x14ac:dyDescent="0.25">
      <c r="A787" s="15"/>
      <c r="J787" s="5"/>
    </row>
    <row r="788" spans="1:10" x14ac:dyDescent="0.25">
      <c r="A788" s="15"/>
      <c r="J788" s="5"/>
    </row>
    <row r="789" spans="1:10" x14ac:dyDescent="0.25">
      <c r="A789" s="15"/>
      <c r="J789" s="5"/>
    </row>
    <row r="790" spans="1:10" x14ac:dyDescent="0.25">
      <c r="A790" s="15"/>
      <c r="J790" s="5"/>
    </row>
    <row r="791" spans="1:10" x14ac:dyDescent="0.25">
      <c r="A791" s="15"/>
      <c r="J791" s="5"/>
    </row>
    <row r="792" spans="1:10" x14ac:dyDescent="0.25">
      <c r="A792" s="15"/>
      <c r="J792" s="5"/>
    </row>
    <row r="793" spans="1:10" x14ac:dyDescent="0.25">
      <c r="A793" s="15"/>
      <c r="J793" s="5"/>
    </row>
    <row r="794" spans="1:10" x14ac:dyDescent="0.25">
      <c r="A794" s="15"/>
      <c r="J794" s="5"/>
    </row>
    <row r="795" spans="1:10" x14ac:dyDescent="0.25">
      <c r="A795" s="15"/>
      <c r="J795" s="5"/>
    </row>
    <row r="796" spans="1:10" x14ac:dyDescent="0.25">
      <c r="A796" s="15"/>
      <c r="J796" s="5"/>
    </row>
    <row r="797" spans="1:10" x14ac:dyDescent="0.25">
      <c r="A797" s="15"/>
      <c r="J797" s="5"/>
    </row>
    <row r="798" spans="1:10" x14ac:dyDescent="0.25">
      <c r="A798" s="15"/>
      <c r="J798" s="5"/>
    </row>
    <row r="799" spans="1:10" x14ac:dyDescent="0.25">
      <c r="A799" s="15"/>
      <c r="J799" s="5"/>
    </row>
    <row r="800" spans="1:10" x14ac:dyDescent="0.25">
      <c r="A800" s="15"/>
      <c r="J800" s="5"/>
    </row>
    <row r="801" spans="1:10" x14ac:dyDescent="0.25">
      <c r="A801" s="15"/>
      <c r="J801" s="5"/>
    </row>
    <row r="802" spans="1:10" x14ac:dyDescent="0.25">
      <c r="A802" s="15"/>
      <c r="J802" s="5"/>
    </row>
    <row r="803" spans="1:10" x14ac:dyDescent="0.25">
      <c r="A803" s="15"/>
      <c r="J803" s="5"/>
    </row>
    <row r="804" spans="1:10" x14ac:dyDescent="0.25">
      <c r="A804" s="15"/>
      <c r="J804" s="5"/>
    </row>
    <row r="805" spans="1:10" x14ac:dyDescent="0.25">
      <c r="A805" s="15"/>
      <c r="J805" s="5"/>
    </row>
    <row r="806" spans="1:10" x14ac:dyDescent="0.25">
      <c r="A806" s="15"/>
      <c r="J806" s="5"/>
    </row>
    <row r="807" spans="1:10" x14ac:dyDescent="0.25">
      <c r="A807" s="15"/>
      <c r="J807" s="5"/>
    </row>
    <row r="808" spans="1:10" x14ac:dyDescent="0.25">
      <c r="A808" s="15"/>
      <c r="J808" s="5"/>
    </row>
    <row r="809" spans="1:10" x14ac:dyDescent="0.25">
      <c r="A809" s="15"/>
      <c r="J809" s="5"/>
    </row>
    <row r="810" spans="1:10" x14ac:dyDescent="0.25">
      <c r="A810" s="15"/>
      <c r="J810" s="5"/>
    </row>
    <row r="811" spans="1:10" x14ac:dyDescent="0.25">
      <c r="A811" s="15"/>
      <c r="J811" s="5"/>
    </row>
    <row r="812" spans="1:10" x14ac:dyDescent="0.25">
      <c r="A812" s="15"/>
      <c r="J812" s="5"/>
    </row>
    <row r="813" spans="1:10" x14ac:dyDescent="0.25">
      <c r="A813" s="15"/>
      <c r="J813" s="5"/>
    </row>
    <row r="814" spans="1:10" x14ac:dyDescent="0.25">
      <c r="A814" s="15"/>
      <c r="J814" s="5"/>
    </row>
    <row r="815" spans="1:10" x14ac:dyDescent="0.25">
      <c r="A815" s="15"/>
      <c r="J815" s="5"/>
    </row>
    <row r="816" spans="1:10" x14ac:dyDescent="0.25">
      <c r="A816" s="15"/>
      <c r="J816" s="5"/>
    </row>
    <row r="817" spans="1:10" x14ac:dyDescent="0.25">
      <c r="A817" s="15"/>
      <c r="J817" s="5"/>
    </row>
    <row r="818" spans="1:10" x14ac:dyDescent="0.25">
      <c r="A818" s="15"/>
      <c r="J818" s="5"/>
    </row>
    <row r="819" spans="1:10" x14ac:dyDescent="0.25">
      <c r="A819" s="15"/>
      <c r="J819" s="5"/>
    </row>
    <row r="820" spans="1:10" x14ac:dyDescent="0.25">
      <c r="A820" s="15"/>
      <c r="J820" s="5"/>
    </row>
    <row r="821" spans="1:10" x14ac:dyDescent="0.25">
      <c r="A821" s="15"/>
      <c r="J821" s="5"/>
    </row>
    <row r="822" spans="1:10" x14ac:dyDescent="0.25">
      <c r="A822" s="15"/>
      <c r="J822" s="5"/>
    </row>
    <row r="823" spans="1:10" x14ac:dyDescent="0.25">
      <c r="A823" s="15"/>
      <c r="J823" s="5"/>
    </row>
    <row r="824" spans="1:10" x14ac:dyDescent="0.25">
      <c r="A824" s="15"/>
      <c r="J824" s="5"/>
    </row>
    <row r="825" spans="1:10" x14ac:dyDescent="0.25">
      <c r="A825" s="15"/>
      <c r="J825" s="5"/>
    </row>
    <row r="826" spans="1:10" x14ac:dyDescent="0.25">
      <c r="A826" s="15"/>
      <c r="J826" s="5"/>
    </row>
    <row r="827" spans="1:10" x14ac:dyDescent="0.25">
      <c r="A827" s="15"/>
      <c r="J827" s="5"/>
    </row>
    <row r="828" spans="1:10" x14ac:dyDescent="0.25">
      <c r="A828" s="15"/>
      <c r="J828" s="5"/>
    </row>
    <row r="829" spans="1:10" x14ac:dyDescent="0.25">
      <c r="A829" s="15"/>
      <c r="J829" s="5"/>
    </row>
    <row r="830" spans="1:10" x14ac:dyDescent="0.25">
      <c r="A830" s="15"/>
      <c r="J830" s="5"/>
    </row>
    <row r="831" spans="1:10" x14ac:dyDescent="0.25">
      <c r="A831" s="15"/>
      <c r="J831" s="5"/>
    </row>
    <row r="832" spans="1:10" x14ac:dyDescent="0.25">
      <c r="A832" s="15"/>
      <c r="J832" s="5"/>
    </row>
    <row r="833" spans="1:10" x14ac:dyDescent="0.25">
      <c r="A833" s="15"/>
      <c r="J833" s="5"/>
    </row>
    <row r="834" spans="1:10" x14ac:dyDescent="0.25">
      <c r="A834" s="15"/>
      <c r="J834" s="5"/>
    </row>
    <row r="835" spans="1:10" x14ac:dyDescent="0.25">
      <c r="A835" s="15"/>
      <c r="J835" s="5"/>
    </row>
    <row r="836" spans="1:10" x14ac:dyDescent="0.25">
      <c r="A836" s="15"/>
      <c r="J836" s="5"/>
    </row>
    <row r="837" spans="1:10" x14ac:dyDescent="0.25">
      <c r="A837" s="15"/>
      <c r="J837" s="5"/>
    </row>
    <row r="838" spans="1:10" x14ac:dyDescent="0.25">
      <c r="A838" s="15"/>
      <c r="J838" s="5"/>
    </row>
    <row r="839" spans="1:10" x14ac:dyDescent="0.25">
      <c r="A839" s="15"/>
      <c r="J839" s="5"/>
    </row>
    <row r="840" spans="1:10" x14ac:dyDescent="0.25">
      <c r="A840" s="15"/>
      <c r="J840" s="5"/>
    </row>
    <row r="841" spans="1:10" x14ac:dyDescent="0.25">
      <c r="A841" s="15"/>
      <c r="J841" s="5"/>
    </row>
    <row r="842" spans="1:10" x14ac:dyDescent="0.25">
      <c r="A842" s="15"/>
      <c r="J842" s="5"/>
    </row>
    <row r="843" spans="1:10" x14ac:dyDescent="0.25">
      <c r="A843" s="15"/>
      <c r="J843" s="5"/>
    </row>
    <row r="844" spans="1:10" x14ac:dyDescent="0.25">
      <c r="A844" s="15"/>
      <c r="J844" s="5"/>
    </row>
    <row r="845" spans="1:10" x14ac:dyDescent="0.25">
      <c r="A845" s="15"/>
      <c r="J845" s="5"/>
    </row>
    <row r="846" spans="1:10" x14ac:dyDescent="0.25">
      <c r="A846" s="15"/>
      <c r="J846" s="5"/>
    </row>
    <row r="847" spans="1:10" x14ac:dyDescent="0.25">
      <c r="A847" s="15"/>
      <c r="J847" s="5"/>
    </row>
    <row r="848" spans="1:10" x14ac:dyDescent="0.25">
      <c r="A848" s="15"/>
      <c r="J848" s="5"/>
    </row>
    <row r="849" spans="1:10" x14ac:dyDescent="0.25">
      <c r="A849" s="15"/>
      <c r="J849" s="5"/>
    </row>
    <row r="850" spans="1:10" x14ac:dyDescent="0.25">
      <c r="A850" s="15"/>
      <c r="J850" s="5"/>
    </row>
    <row r="851" spans="1:10" x14ac:dyDescent="0.25">
      <c r="A851" s="15"/>
      <c r="J851" s="5"/>
    </row>
    <row r="852" spans="1:10" x14ac:dyDescent="0.25">
      <c r="A852" s="15"/>
      <c r="J852" s="5"/>
    </row>
    <row r="853" spans="1:10" x14ac:dyDescent="0.25">
      <c r="A853" s="15"/>
      <c r="J853" s="5"/>
    </row>
    <row r="854" spans="1:10" x14ac:dyDescent="0.25">
      <c r="A854" s="15"/>
      <c r="J854" s="5"/>
    </row>
    <row r="855" spans="1:10" x14ac:dyDescent="0.25">
      <c r="A855" s="15"/>
      <c r="J855" s="5"/>
    </row>
    <row r="856" spans="1:10" x14ac:dyDescent="0.25">
      <c r="A856" s="15"/>
      <c r="J856" s="5"/>
    </row>
    <row r="857" spans="1:10" x14ac:dyDescent="0.25">
      <c r="A857" s="15"/>
      <c r="J857" s="5"/>
    </row>
    <row r="858" spans="1:10" x14ac:dyDescent="0.25">
      <c r="A858" s="15"/>
      <c r="J858" s="5"/>
    </row>
    <row r="859" spans="1:10" x14ac:dyDescent="0.25">
      <c r="A859" s="15"/>
      <c r="J859" s="5"/>
    </row>
    <row r="860" spans="1:10" x14ac:dyDescent="0.25">
      <c r="A860" s="15"/>
      <c r="J860" s="5"/>
    </row>
    <row r="861" spans="1:10" x14ac:dyDescent="0.25">
      <c r="A861" s="15"/>
      <c r="J861" s="5"/>
    </row>
    <row r="862" spans="1:10" x14ac:dyDescent="0.25">
      <c r="A862" s="15"/>
      <c r="J862" s="5"/>
    </row>
    <row r="863" spans="1:10" x14ac:dyDescent="0.25">
      <c r="A863" s="15"/>
      <c r="J863" s="5"/>
    </row>
    <row r="864" spans="1:10" x14ac:dyDescent="0.25">
      <c r="A864" s="15"/>
      <c r="J864" s="5"/>
    </row>
    <row r="865" spans="1:10" x14ac:dyDescent="0.25">
      <c r="A865" s="15"/>
      <c r="J865" s="5"/>
    </row>
    <row r="866" spans="1:10" x14ac:dyDescent="0.25">
      <c r="A866" s="15"/>
      <c r="J866" s="5"/>
    </row>
    <row r="867" spans="1:10" x14ac:dyDescent="0.25">
      <c r="A867" s="15"/>
      <c r="J867" s="5"/>
    </row>
    <row r="868" spans="1:10" x14ac:dyDescent="0.25">
      <c r="A868" s="15"/>
      <c r="J868" s="5"/>
    </row>
    <row r="869" spans="1:10" x14ac:dyDescent="0.25">
      <c r="A869" s="15"/>
      <c r="J869" s="5"/>
    </row>
    <row r="870" spans="1:10" x14ac:dyDescent="0.25">
      <c r="A870" s="15"/>
      <c r="J870" s="5"/>
    </row>
    <row r="871" spans="1:10" x14ac:dyDescent="0.25">
      <c r="A871" s="15"/>
      <c r="J871" s="5"/>
    </row>
    <row r="872" spans="1:10" x14ac:dyDescent="0.25">
      <c r="A872" s="15"/>
      <c r="J872" s="5"/>
    </row>
    <row r="873" spans="1:10" x14ac:dyDescent="0.25">
      <c r="A873" s="15"/>
      <c r="J873" s="5"/>
    </row>
    <row r="874" spans="1:10" x14ac:dyDescent="0.25">
      <c r="A874" s="15"/>
      <c r="J874" s="5"/>
    </row>
    <row r="875" spans="1:10" x14ac:dyDescent="0.25">
      <c r="A875" s="15"/>
      <c r="J875" s="5"/>
    </row>
    <row r="876" spans="1:10" x14ac:dyDescent="0.25">
      <c r="A876" s="15"/>
      <c r="J876" s="5"/>
    </row>
    <row r="877" spans="1:10" x14ac:dyDescent="0.25">
      <c r="A877" s="15"/>
      <c r="J877" s="5"/>
    </row>
    <row r="878" spans="1:10" x14ac:dyDescent="0.25">
      <c r="A878" s="15"/>
      <c r="J878" s="5"/>
    </row>
    <row r="879" spans="1:10" x14ac:dyDescent="0.25">
      <c r="A879" s="15"/>
      <c r="J879" s="5"/>
    </row>
    <row r="880" spans="1:10" x14ac:dyDescent="0.25">
      <c r="A880" s="15"/>
      <c r="J880" s="5"/>
    </row>
    <row r="881" spans="1:10" x14ac:dyDescent="0.25">
      <c r="A881" s="15"/>
      <c r="J881" s="5"/>
    </row>
    <row r="882" spans="1:10" x14ac:dyDescent="0.25">
      <c r="A882" s="15"/>
      <c r="J882" s="5"/>
    </row>
    <row r="883" spans="1:10" x14ac:dyDescent="0.25">
      <c r="A883" s="15"/>
      <c r="J883" s="5"/>
    </row>
    <row r="884" spans="1:10" x14ac:dyDescent="0.25">
      <c r="A884" s="15"/>
      <c r="J884" s="5"/>
    </row>
    <row r="885" spans="1:10" x14ac:dyDescent="0.25">
      <c r="A885" s="15"/>
      <c r="J885" s="5"/>
    </row>
    <row r="886" spans="1:10" x14ac:dyDescent="0.25">
      <c r="A886" s="15"/>
      <c r="J886" s="5"/>
    </row>
    <row r="887" spans="1:10" x14ac:dyDescent="0.25">
      <c r="A887" s="15"/>
      <c r="J887" s="5"/>
    </row>
    <row r="888" spans="1:10" x14ac:dyDescent="0.25">
      <c r="A888" s="15"/>
      <c r="J888" s="5"/>
    </row>
    <row r="889" spans="1:10" x14ac:dyDescent="0.25">
      <c r="A889" s="15"/>
      <c r="J889" s="5"/>
    </row>
    <row r="890" spans="1:10" x14ac:dyDescent="0.25">
      <c r="A890" s="15"/>
      <c r="J890" s="5"/>
    </row>
    <row r="891" spans="1:10" x14ac:dyDescent="0.25">
      <c r="A891" s="15"/>
      <c r="J891" s="5"/>
    </row>
    <row r="892" spans="1:10" x14ac:dyDescent="0.25">
      <c r="A892" s="15"/>
      <c r="J892" s="5"/>
    </row>
    <row r="893" spans="1:10" x14ac:dyDescent="0.25">
      <c r="A893" s="15"/>
      <c r="J893" s="5"/>
    </row>
    <row r="894" spans="1:10" x14ac:dyDescent="0.25">
      <c r="A894" s="15"/>
      <c r="J894" s="5"/>
    </row>
    <row r="895" spans="1:10" x14ac:dyDescent="0.25">
      <c r="A895" s="15"/>
      <c r="J895" s="5"/>
    </row>
    <row r="896" spans="1:10" x14ac:dyDescent="0.25">
      <c r="A896" s="15"/>
      <c r="J896" s="5"/>
    </row>
    <row r="897" spans="1:10" x14ac:dyDescent="0.25">
      <c r="A897" s="15"/>
      <c r="J897" s="5"/>
    </row>
    <row r="898" spans="1:10" x14ac:dyDescent="0.25">
      <c r="A898" s="15"/>
      <c r="J898" s="5"/>
    </row>
    <row r="899" spans="1:10" x14ac:dyDescent="0.25">
      <c r="A899" s="15"/>
      <c r="J899" s="5"/>
    </row>
    <row r="900" spans="1:10" x14ac:dyDescent="0.25">
      <c r="A900" s="15"/>
      <c r="J900" s="5"/>
    </row>
    <row r="901" spans="1:10" x14ac:dyDescent="0.25">
      <c r="A901" s="15"/>
      <c r="J901" s="5"/>
    </row>
    <row r="902" spans="1:10" x14ac:dyDescent="0.25">
      <c r="A902" s="15"/>
      <c r="J902" s="5"/>
    </row>
    <row r="903" spans="1:10" x14ac:dyDescent="0.25">
      <c r="A903" s="15"/>
      <c r="J903" s="5"/>
    </row>
    <row r="904" spans="1:10" x14ac:dyDescent="0.25">
      <c r="A904" s="15"/>
      <c r="J904" s="5"/>
    </row>
    <row r="905" spans="1:10" x14ac:dyDescent="0.25">
      <c r="A905" s="15"/>
      <c r="J905" s="5"/>
    </row>
    <row r="906" spans="1:10" x14ac:dyDescent="0.25">
      <c r="A906" s="15"/>
      <c r="J906" s="5"/>
    </row>
    <row r="907" spans="1:10" x14ac:dyDescent="0.25">
      <c r="A907" s="15"/>
      <c r="J907" s="5"/>
    </row>
    <row r="908" spans="1:10" x14ac:dyDescent="0.25">
      <c r="A908" s="15"/>
      <c r="J908" s="5"/>
    </row>
    <row r="909" spans="1:10" x14ac:dyDescent="0.25">
      <c r="A909" s="15"/>
      <c r="J909" s="5"/>
    </row>
    <row r="910" spans="1:10" x14ac:dyDescent="0.25">
      <c r="A910" s="15"/>
      <c r="J910" s="5"/>
    </row>
    <row r="911" spans="1:10" x14ac:dyDescent="0.25">
      <c r="A911" s="15"/>
      <c r="J911" s="5"/>
    </row>
    <row r="912" spans="1:10" x14ac:dyDescent="0.25">
      <c r="A912" s="15"/>
      <c r="J912" s="5"/>
    </row>
    <row r="913" spans="1:10" x14ac:dyDescent="0.25">
      <c r="A913" s="15"/>
      <c r="J913" s="5"/>
    </row>
    <row r="914" spans="1:10" x14ac:dyDescent="0.25">
      <c r="A914" s="15"/>
      <c r="J914" s="5"/>
    </row>
    <row r="915" spans="1:10" x14ac:dyDescent="0.25">
      <c r="A915" s="15"/>
      <c r="J915" s="5"/>
    </row>
    <row r="916" spans="1:10" x14ac:dyDescent="0.25">
      <c r="A916" s="15"/>
      <c r="J916" s="5"/>
    </row>
    <row r="917" spans="1:10" x14ac:dyDescent="0.25">
      <c r="A917" s="15"/>
      <c r="J917" s="5"/>
    </row>
    <row r="918" spans="1:10" x14ac:dyDescent="0.25">
      <c r="A918" s="15"/>
      <c r="J918" s="5"/>
    </row>
    <row r="919" spans="1:10" x14ac:dyDescent="0.25">
      <c r="A919" s="15"/>
      <c r="J919" s="5"/>
    </row>
    <row r="920" spans="1:10" x14ac:dyDescent="0.25">
      <c r="A920" s="15"/>
      <c r="J920" s="5"/>
    </row>
    <row r="921" spans="1:10" x14ac:dyDescent="0.25">
      <c r="A921" s="15"/>
      <c r="J921" s="5"/>
    </row>
    <row r="922" spans="1:10" x14ac:dyDescent="0.25">
      <c r="A922" s="15"/>
      <c r="J922" s="5"/>
    </row>
    <row r="923" spans="1:10" x14ac:dyDescent="0.25">
      <c r="A923" s="15"/>
      <c r="J923" s="5"/>
    </row>
    <row r="924" spans="1:10" x14ac:dyDescent="0.25">
      <c r="A924" s="15"/>
      <c r="J924" s="5"/>
    </row>
    <row r="925" spans="1:10" x14ac:dyDescent="0.25">
      <c r="A925" s="15"/>
      <c r="J925" s="5"/>
    </row>
    <row r="926" spans="1:10" x14ac:dyDescent="0.25">
      <c r="A926" s="15"/>
      <c r="J926" s="5"/>
    </row>
    <row r="927" spans="1:10" x14ac:dyDescent="0.25">
      <c r="A927" s="15"/>
      <c r="J927" s="5"/>
    </row>
    <row r="928" spans="1:10" x14ac:dyDescent="0.25">
      <c r="A928" s="15"/>
      <c r="J928" s="5"/>
    </row>
    <row r="929" spans="1:10" x14ac:dyDescent="0.25">
      <c r="A929" s="15"/>
      <c r="J929" s="5"/>
    </row>
    <row r="930" spans="1:10" x14ac:dyDescent="0.25">
      <c r="A930" s="15"/>
      <c r="J930" s="5"/>
    </row>
    <row r="931" spans="1:10" x14ac:dyDescent="0.25">
      <c r="A931" s="15"/>
      <c r="J931" s="5"/>
    </row>
    <row r="932" spans="1:10" x14ac:dyDescent="0.25">
      <c r="A932" s="15"/>
      <c r="J932" s="5"/>
    </row>
    <row r="933" spans="1:10" x14ac:dyDescent="0.25">
      <c r="A933" s="15"/>
      <c r="J933" s="5"/>
    </row>
    <row r="934" spans="1:10" x14ac:dyDescent="0.25">
      <c r="A934" s="15"/>
      <c r="J934" s="5"/>
    </row>
    <row r="935" spans="1:10" x14ac:dyDescent="0.25">
      <c r="A935" s="15"/>
      <c r="J935" s="5"/>
    </row>
    <row r="936" spans="1:10" x14ac:dyDescent="0.25">
      <c r="A936" s="15"/>
      <c r="J936" s="5"/>
    </row>
    <row r="937" spans="1:10" x14ac:dyDescent="0.25">
      <c r="A937" s="15"/>
      <c r="J937" s="5"/>
    </row>
    <row r="938" spans="1:10" x14ac:dyDescent="0.25">
      <c r="A938" s="15"/>
      <c r="J938" s="5"/>
    </row>
    <row r="939" spans="1:10" x14ac:dyDescent="0.25">
      <c r="A939" s="15"/>
      <c r="J939" s="5"/>
    </row>
    <row r="940" spans="1:10" x14ac:dyDescent="0.25">
      <c r="A940" s="15"/>
      <c r="J940" s="5"/>
    </row>
    <row r="941" spans="1:10" x14ac:dyDescent="0.25">
      <c r="A941" s="15"/>
      <c r="J941" s="5"/>
    </row>
    <row r="942" spans="1:10" x14ac:dyDescent="0.25">
      <c r="A942" s="15"/>
      <c r="J942" s="5"/>
    </row>
    <row r="943" spans="1:10" x14ac:dyDescent="0.25">
      <c r="A943" s="15"/>
      <c r="J943" s="5"/>
    </row>
    <row r="944" spans="1:10" x14ac:dyDescent="0.25">
      <c r="A944" s="15"/>
      <c r="J944" s="5"/>
    </row>
    <row r="945" spans="1:10" x14ac:dyDescent="0.25">
      <c r="A945" s="15"/>
      <c r="J945" s="5"/>
    </row>
    <row r="946" spans="1:10" x14ac:dyDescent="0.25">
      <c r="A946" s="15"/>
      <c r="J946" s="5"/>
    </row>
    <row r="947" spans="1:10" x14ac:dyDescent="0.25">
      <c r="A947" s="15"/>
      <c r="J947" s="5"/>
    </row>
    <row r="948" spans="1:10" x14ac:dyDescent="0.25">
      <c r="A948" s="15"/>
      <c r="J948" s="5"/>
    </row>
    <row r="949" spans="1:10" x14ac:dyDescent="0.25">
      <c r="A949" s="15"/>
      <c r="J949" s="5"/>
    </row>
    <row r="950" spans="1:10" x14ac:dyDescent="0.25">
      <c r="A950" s="15"/>
      <c r="J950" s="5"/>
    </row>
    <row r="951" spans="1:10" x14ac:dyDescent="0.25">
      <c r="A951" s="15"/>
      <c r="J951" s="5"/>
    </row>
    <row r="952" spans="1:10" x14ac:dyDescent="0.25">
      <c r="A952" s="15"/>
      <c r="J952" s="5"/>
    </row>
    <row r="953" spans="1:10" x14ac:dyDescent="0.25">
      <c r="A953" s="15"/>
      <c r="J953" s="5"/>
    </row>
    <row r="954" spans="1:10" x14ac:dyDescent="0.25">
      <c r="A954" s="15"/>
      <c r="J954" s="5"/>
    </row>
    <row r="955" spans="1:10" x14ac:dyDescent="0.25">
      <c r="A955" s="15"/>
      <c r="J955" s="5"/>
    </row>
    <row r="956" spans="1:10" x14ac:dyDescent="0.25">
      <c r="A956" s="15"/>
      <c r="J956" s="5"/>
    </row>
    <row r="957" spans="1:10" x14ac:dyDescent="0.25">
      <c r="A957" s="15"/>
      <c r="J957" s="5"/>
    </row>
    <row r="958" spans="1:10" x14ac:dyDescent="0.25">
      <c r="A958" s="15"/>
      <c r="J958" s="5"/>
    </row>
    <row r="959" spans="1:10" x14ac:dyDescent="0.25">
      <c r="A959" s="15"/>
      <c r="J959" s="5"/>
    </row>
    <row r="960" spans="1:10" x14ac:dyDescent="0.25">
      <c r="A960" s="15"/>
      <c r="J960" s="5"/>
    </row>
    <row r="961" spans="1:10" x14ac:dyDescent="0.25">
      <c r="A961" s="15"/>
      <c r="J961" s="5"/>
    </row>
    <row r="962" spans="1:10" x14ac:dyDescent="0.25">
      <c r="A962" s="15"/>
      <c r="J962" s="5"/>
    </row>
    <row r="963" spans="1:10" x14ac:dyDescent="0.25">
      <c r="A963" s="15"/>
      <c r="J963" s="5"/>
    </row>
    <row r="964" spans="1:10" x14ac:dyDescent="0.25">
      <c r="A964" s="15"/>
      <c r="J964" s="5"/>
    </row>
    <row r="965" spans="1:10" x14ac:dyDescent="0.25">
      <c r="A965" s="15"/>
      <c r="J965" s="5"/>
    </row>
    <row r="966" spans="1:10" x14ac:dyDescent="0.25">
      <c r="A966" s="15"/>
      <c r="J966" s="5"/>
    </row>
    <row r="967" spans="1:10" x14ac:dyDescent="0.25">
      <c r="A967" s="15"/>
      <c r="J967" s="5"/>
    </row>
    <row r="968" spans="1:10" x14ac:dyDescent="0.25">
      <c r="A968" s="15"/>
      <c r="J968" s="5"/>
    </row>
    <row r="969" spans="1:10" x14ac:dyDescent="0.25">
      <c r="A969" s="15"/>
      <c r="J969" s="5"/>
    </row>
    <row r="970" spans="1:10" x14ac:dyDescent="0.25">
      <c r="A970" s="15"/>
      <c r="J970" s="5"/>
    </row>
    <row r="971" spans="1:10" x14ac:dyDescent="0.25">
      <c r="A971" s="15"/>
      <c r="J971" s="5"/>
    </row>
    <row r="972" spans="1:10" x14ac:dyDescent="0.25">
      <c r="A972" s="15"/>
      <c r="J972" s="5"/>
    </row>
    <row r="973" spans="1:10" x14ac:dyDescent="0.25">
      <c r="A973" s="15"/>
      <c r="J973" s="5"/>
    </row>
    <row r="974" spans="1:10" x14ac:dyDescent="0.25">
      <c r="A974" s="15"/>
      <c r="J974" s="5"/>
    </row>
    <row r="975" spans="1:10" x14ac:dyDescent="0.25">
      <c r="A975" s="15"/>
      <c r="J975" s="5"/>
    </row>
    <row r="976" spans="1:10" x14ac:dyDescent="0.25">
      <c r="A976" s="15"/>
      <c r="J976" s="5"/>
    </row>
    <row r="977" spans="1:10" x14ac:dyDescent="0.25">
      <c r="A977" s="15"/>
      <c r="J977" s="5"/>
    </row>
    <row r="978" spans="1:10" x14ac:dyDescent="0.25">
      <c r="A978" s="15"/>
      <c r="J978" s="5"/>
    </row>
    <row r="979" spans="1:10" x14ac:dyDescent="0.25">
      <c r="A979" s="15"/>
      <c r="J979" s="5"/>
    </row>
    <row r="980" spans="1:10" x14ac:dyDescent="0.25">
      <c r="A980" s="15"/>
      <c r="J980" s="5"/>
    </row>
    <row r="981" spans="1:10" x14ac:dyDescent="0.25">
      <c r="A981" s="15"/>
      <c r="J981" s="5"/>
    </row>
    <row r="982" spans="1:10" x14ac:dyDescent="0.25">
      <c r="A982" s="15"/>
      <c r="J982" s="5"/>
    </row>
    <row r="983" spans="1:10" x14ac:dyDescent="0.25">
      <c r="A983" s="15"/>
      <c r="J983" s="5"/>
    </row>
    <row r="984" spans="1:10" x14ac:dyDescent="0.25">
      <c r="A984" s="15"/>
      <c r="J984" s="5"/>
    </row>
    <row r="985" spans="1:10" x14ac:dyDescent="0.25">
      <c r="A985" s="15"/>
      <c r="J985" s="5"/>
    </row>
    <row r="986" spans="1:10" x14ac:dyDescent="0.25">
      <c r="A986" s="15"/>
      <c r="J986" s="5"/>
    </row>
    <row r="987" spans="1:10" x14ac:dyDescent="0.25">
      <c r="A987" s="15"/>
      <c r="J987" s="5"/>
    </row>
    <row r="988" spans="1:10" x14ac:dyDescent="0.25">
      <c r="A988" s="15"/>
      <c r="J988" s="5"/>
    </row>
    <row r="989" spans="1:10" x14ac:dyDescent="0.25">
      <c r="A989" s="15"/>
      <c r="J989" s="5"/>
    </row>
    <row r="990" spans="1:10" x14ac:dyDescent="0.25">
      <c r="A990" s="15"/>
      <c r="J990" s="5"/>
    </row>
    <row r="991" spans="1:10" x14ac:dyDescent="0.25">
      <c r="A991" s="15"/>
      <c r="J991" s="5"/>
    </row>
    <row r="992" spans="1:10" x14ac:dyDescent="0.25">
      <c r="A992" s="15"/>
      <c r="J992" s="5"/>
    </row>
    <row r="993" spans="1:10" x14ac:dyDescent="0.25">
      <c r="A993" s="15"/>
      <c r="J993" s="5"/>
    </row>
    <row r="994" spans="1:10" x14ac:dyDescent="0.25">
      <c r="A994" s="15"/>
      <c r="J994" s="5"/>
    </row>
    <row r="995" spans="1:10" x14ac:dyDescent="0.25">
      <c r="A995" s="15"/>
      <c r="J995" s="5"/>
    </row>
    <row r="996" spans="1:10" x14ac:dyDescent="0.25">
      <c r="A996" s="15"/>
      <c r="J996" s="5"/>
    </row>
    <row r="997" spans="1:10" x14ac:dyDescent="0.25">
      <c r="A997" s="15"/>
      <c r="J997" s="5"/>
    </row>
    <row r="998" spans="1:10" x14ac:dyDescent="0.25">
      <c r="A998" s="15"/>
      <c r="J998" s="5"/>
    </row>
    <row r="999" spans="1:10" x14ac:dyDescent="0.25">
      <c r="A999" s="15"/>
      <c r="J999" s="5"/>
    </row>
    <row r="1000" spans="1:10" x14ac:dyDescent="0.25">
      <c r="A1000" s="15"/>
      <c r="J1000" s="5"/>
    </row>
    <row r="1001" spans="1:10" x14ac:dyDescent="0.25">
      <c r="A1001" s="15"/>
      <c r="J1001" s="5"/>
    </row>
    <row r="1002" spans="1:10" x14ac:dyDescent="0.25">
      <c r="A1002" s="15"/>
      <c r="J1002" s="5"/>
    </row>
    <row r="1003" spans="1:10" x14ac:dyDescent="0.25">
      <c r="A1003" s="15"/>
      <c r="J1003" s="5"/>
    </row>
    <row r="1004" spans="1:10" x14ac:dyDescent="0.25">
      <c r="A1004" s="15"/>
      <c r="J1004" s="5"/>
    </row>
    <row r="1005" spans="1:10" x14ac:dyDescent="0.25">
      <c r="A1005" s="15"/>
      <c r="J1005" s="5"/>
    </row>
    <row r="1006" spans="1:10" x14ac:dyDescent="0.25">
      <c r="A1006" s="15"/>
      <c r="J1006" s="5"/>
    </row>
    <row r="1007" spans="1:10" x14ac:dyDescent="0.25">
      <c r="A1007" s="15"/>
      <c r="J1007" s="5"/>
    </row>
    <row r="1008" spans="1:10" x14ac:dyDescent="0.25">
      <c r="A1008" s="15"/>
      <c r="J1008" s="5"/>
    </row>
    <row r="1009" spans="1:10" x14ac:dyDescent="0.25">
      <c r="A1009" s="15"/>
      <c r="J1009" s="5"/>
    </row>
    <row r="1010" spans="1:10" x14ac:dyDescent="0.25">
      <c r="A1010" s="15"/>
      <c r="J1010" s="5"/>
    </row>
    <row r="1011" spans="1:10" x14ac:dyDescent="0.25">
      <c r="A1011" s="15"/>
      <c r="J1011" s="5"/>
    </row>
    <row r="1012" spans="1:10" x14ac:dyDescent="0.25">
      <c r="A1012" s="15"/>
      <c r="J1012" s="5"/>
    </row>
    <row r="1013" spans="1:10" x14ac:dyDescent="0.25">
      <c r="A1013" s="15"/>
      <c r="J1013" s="5"/>
    </row>
    <row r="1014" spans="1:10" x14ac:dyDescent="0.25">
      <c r="A1014" s="15"/>
      <c r="J1014" s="5"/>
    </row>
    <row r="1015" spans="1:10" x14ac:dyDescent="0.25">
      <c r="A1015" s="15"/>
      <c r="J1015" s="5"/>
    </row>
    <row r="1016" spans="1:10" x14ac:dyDescent="0.25">
      <c r="A1016" s="15"/>
      <c r="J1016" s="5"/>
    </row>
    <row r="1017" spans="1:10" x14ac:dyDescent="0.25">
      <c r="A1017" s="15"/>
      <c r="J1017" s="5"/>
    </row>
    <row r="1018" spans="1:10" x14ac:dyDescent="0.25">
      <c r="A1018" s="15"/>
      <c r="J1018" s="5"/>
    </row>
    <row r="1019" spans="1:10" x14ac:dyDescent="0.25">
      <c r="A1019" s="15"/>
      <c r="J1019" s="5"/>
    </row>
    <row r="1020" spans="1:10" x14ac:dyDescent="0.25">
      <c r="A1020" s="15"/>
      <c r="J1020" s="5"/>
    </row>
    <row r="1021" spans="1:10" x14ac:dyDescent="0.25">
      <c r="A1021" s="15"/>
      <c r="J1021" s="5"/>
    </row>
    <row r="1022" spans="1:10" x14ac:dyDescent="0.25">
      <c r="A1022" s="15"/>
      <c r="J1022" s="5"/>
    </row>
    <row r="1023" spans="1:10" x14ac:dyDescent="0.25">
      <c r="A1023" s="15"/>
      <c r="J1023" s="5"/>
    </row>
    <row r="1024" spans="1:10" x14ac:dyDescent="0.25">
      <c r="A1024" s="15"/>
      <c r="J1024" s="5"/>
    </row>
    <row r="1025" spans="1:10" x14ac:dyDescent="0.25">
      <c r="A1025" s="15"/>
      <c r="J1025" s="5"/>
    </row>
    <row r="1026" spans="1:10" x14ac:dyDescent="0.25">
      <c r="A1026" s="15"/>
      <c r="J1026" s="5"/>
    </row>
    <row r="1027" spans="1:10" x14ac:dyDescent="0.25">
      <c r="A1027" s="15"/>
      <c r="J1027" s="5"/>
    </row>
    <row r="1028" spans="1:10" x14ac:dyDescent="0.25">
      <c r="A1028" s="15"/>
      <c r="J1028" s="5"/>
    </row>
    <row r="1029" spans="1:10" x14ac:dyDescent="0.25">
      <c r="A1029" s="15"/>
      <c r="J1029" s="5"/>
    </row>
    <row r="1030" spans="1:10" x14ac:dyDescent="0.25">
      <c r="A1030" s="15"/>
      <c r="J1030" s="5"/>
    </row>
    <row r="1031" spans="1:10" x14ac:dyDescent="0.25">
      <c r="A1031" s="15"/>
      <c r="J1031" s="5"/>
    </row>
    <row r="1032" spans="1:10" x14ac:dyDescent="0.25">
      <c r="A1032" s="15"/>
      <c r="J1032" s="5"/>
    </row>
    <row r="1033" spans="1:10" x14ac:dyDescent="0.25">
      <c r="A1033" s="15"/>
      <c r="J1033" s="5"/>
    </row>
  </sheetData>
  <pageMargins left="0.7" right="0.7" top="0.78740157499999996" bottom="0.78740157499999996" header="0.3" footer="0.3"/>
  <pageSetup paperSize="9" scale="33" orientation="portrait" horizontalDpi="200" verticalDpi="200" r:id="rId1"/>
  <rowBreaks count="1" manualBreakCount="1">
    <brk id="30"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5846-B935-487A-869F-970E36437F02}">
  <sheetPr codeName="Tabelle6"/>
  <dimension ref="B1:I61"/>
  <sheetViews>
    <sheetView showRowColHeaders="0" workbookViewId="0">
      <selection activeCell="A5" sqref="A5"/>
    </sheetView>
  </sheetViews>
  <sheetFormatPr baseColWidth="10" defaultRowHeight="15" x14ac:dyDescent="0.25"/>
  <cols>
    <col min="1" max="1" width="11.42578125" style="18"/>
    <col min="2" max="2" width="15.5703125" style="18" customWidth="1"/>
    <col min="3" max="3" width="12.140625" style="18" customWidth="1"/>
    <col min="4" max="4" width="5.140625" style="18" customWidth="1"/>
    <col min="5" max="5" width="12.140625" style="18" customWidth="1"/>
    <col min="6" max="6" width="10.28515625" style="18" customWidth="1"/>
    <col min="7" max="7" width="15" style="18" bestFit="1" customWidth="1"/>
    <col min="8" max="8" width="13.42578125" style="18" customWidth="1"/>
    <col min="9" max="9" width="31.28515625" style="18" customWidth="1"/>
    <col min="10" max="10" width="10.42578125" style="18" customWidth="1"/>
    <col min="11" max="16384" width="11.42578125" style="18"/>
  </cols>
  <sheetData>
    <row r="1" spans="2:5" ht="75.75" customHeight="1" x14ac:dyDescent="0.25"/>
    <row r="10" spans="2:5" x14ac:dyDescent="0.25">
      <c r="C10" s="39" t="s">
        <v>40</v>
      </c>
      <c r="E10" s="38" t="s">
        <v>41</v>
      </c>
    </row>
    <row r="11" spans="2:5" x14ac:dyDescent="0.25">
      <c r="B11" s="19"/>
      <c r="C11" s="17"/>
      <c r="D11" s="34"/>
      <c r="E11" s="17"/>
    </row>
    <row r="12" spans="2:5" x14ac:dyDescent="0.25">
      <c r="B12" s="19"/>
      <c r="C12" s="17"/>
      <c r="D12" s="34"/>
      <c r="E12" s="17"/>
    </row>
    <row r="13" spans="2:5" x14ac:dyDescent="0.25">
      <c r="B13" s="19"/>
      <c r="C13" s="17"/>
      <c r="D13" s="34"/>
      <c r="E13" s="17"/>
    </row>
    <row r="14" spans="2:5" x14ac:dyDescent="0.25">
      <c r="B14" s="19"/>
      <c r="C14" s="17"/>
      <c r="D14" s="34"/>
      <c r="E14" s="17"/>
    </row>
    <row r="15" spans="2:5" x14ac:dyDescent="0.25">
      <c r="B15" s="19"/>
      <c r="C15" s="17"/>
      <c r="D15" s="34"/>
      <c r="E15" s="17"/>
    </row>
    <row r="16" spans="2:5" x14ac:dyDescent="0.25">
      <c r="B16" s="19"/>
      <c r="C16" s="17"/>
      <c r="D16" s="34"/>
      <c r="E16" s="17"/>
    </row>
    <row r="17" spans="2:9" x14ac:dyDescent="0.25">
      <c r="B17" s="19"/>
      <c r="C17" s="17"/>
      <c r="D17" s="34"/>
      <c r="E17" s="17"/>
    </row>
    <row r="18" spans="2:9" x14ac:dyDescent="0.25">
      <c r="B18" s="19"/>
      <c r="C18" s="17"/>
      <c r="D18" s="34"/>
      <c r="E18" s="17"/>
    </row>
    <row r="19" spans="2:9" x14ac:dyDescent="0.25">
      <c r="B19" s="19"/>
      <c r="C19" s="17"/>
      <c r="D19" s="17"/>
      <c r="E19" s="17"/>
    </row>
    <row r="20" spans="2:9" x14ac:dyDescent="0.25">
      <c r="B20" s="19"/>
      <c r="C20" s="17"/>
      <c r="D20" s="17"/>
      <c r="E20" s="17"/>
    </row>
    <row r="21" spans="2:9" x14ac:dyDescent="0.25">
      <c r="B21" s="19"/>
      <c r="C21" s="17"/>
      <c r="D21" s="17"/>
      <c r="E21" s="17"/>
    </row>
    <row r="22" spans="2:9" x14ac:dyDescent="0.25">
      <c r="B22" s="19"/>
      <c r="C22" s="17"/>
      <c r="D22" s="17"/>
      <c r="E22" s="17"/>
    </row>
    <row r="23" spans="2:9" x14ac:dyDescent="0.25">
      <c r="B23" s="19"/>
      <c r="C23" s="17"/>
      <c r="D23" s="17"/>
      <c r="E23" s="17"/>
    </row>
    <row r="24" spans="2:9" x14ac:dyDescent="0.25">
      <c r="B24" s="19"/>
      <c r="C24" s="17"/>
      <c r="D24" s="17"/>
      <c r="E24" s="17"/>
    </row>
    <row r="25" spans="2:9" x14ac:dyDescent="0.25">
      <c r="B25" s="19"/>
      <c r="C25" s="17"/>
      <c r="D25" s="17"/>
      <c r="E25" s="17"/>
    </row>
    <row r="26" spans="2:9" x14ac:dyDescent="0.25">
      <c r="B26" s="19"/>
      <c r="C26" s="17"/>
      <c r="D26" s="17"/>
      <c r="E26" s="17"/>
    </row>
    <row r="27" spans="2:9" x14ac:dyDescent="0.25">
      <c r="C27" s="17"/>
      <c r="D27" s="17"/>
      <c r="E27" s="17"/>
    </row>
    <row r="28" spans="2:9" x14ac:dyDescent="0.25">
      <c r="C28" s="17"/>
      <c r="D28" s="17"/>
      <c r="E28" s="17"/>
    </row>
    <row r="29" spans="2:9" x14ac:dyDescent="0.25">
      <c r="C29" s="34"/>
      <c r="D29" s="34"/>
      <c r="E29" s="34"/>
      <c r="G29" s="19"/>
      <c r="H29" s="20"/>
      <c r="I29" s="17"/>
    </row>
    <row r="30" spans="2:9" x14ac:dyDescent="0.25">
      <c r="C30" s="34"/>
      <c r="D30" s="34"/>
      <c r="E30" s="34"/>
      <c r="G30" s="19"/>
      <c r="H30" s="20"/>
      <c r="I30" s="17"/>
    </row>
    <row r="31" spans="2:9" x14ac:dyDescent="0.25">
      <c r="C31" s="34"/>
      <c r="D31" s="34"/>
      <c r="E31" s="34"/>
      <c r="F31" s="17"/>
      <c r="G31" s="19"/>
      <c r="H31" s="20"/>
      <c r="I31" s="17"/>
    </row>
    <row r="32" spans="2:9" x14ac:dyDescent="0.25">
      <c r="C32" s="34"/>
      <c r="D32" s="34"/>
      <c r="E32" s="34"/>
      <c r="F32" s="17"/>
      <c r="G32" s="19"/>
      <c r="H32" s="20"/>
      <c r="I32" s="17"/>
    </row>
    <row r="33" spans="2:9" x14ac:dyDescent="0.25">
      <c r="C33" s="34"/>
      <c r="D33" s="34"/>
      <c r="E33" s="34"/>
      <c r="F33" s="17"/>
      <c r="G33" s="19"/>
      <c r="H33" s="20"/>
      <c r="I33" s="17"/>
    </row>
    <row r="34" spans="2:9" x14ac:dyDescent="0.25">
      <c r="C34" s="34"/>
      <c r="D34" s="34"/>
      <c r="E34" s="34"/>
      <c r="F34" s="17"/>
      <c r="G34" s="19"/>
      <c r="H34" s="20"/>
      <c r="I34" s="17"/>
    </row>
    <row r="35" spans="2:9" x14ac:dyDescent="0.25">
      <c r="C35" s="34"/>
      <c r="D35" s="34"/>
      <c r="E35" s="34"/>
      <c r="F35" s="17"/>
      <c r="G35" s="19"/>
      <c r="H35" s="20"/>
      <c r="I35" s="17"/>
    </row>
    <row r="36" spans="2:9" x14ac:dyDescent="0.25">
      <c r="C36" s="34"/>
      <c r="D36" s="34"/>
      <c r="E36" s="34"/>
      <c r="F36" s="17"/>
      <c r="G36" s="19"/>
      <c r="H36" s="20"/>
      <c r="I36" s="17"/>
    </row>
    <row r="37" spans="2:9" x14ac:dyDescent="0.25">
      <c r="C37" s="34"/>
      <c r="D37" s="34"/>
      <c r="E37" s="34"/>
      <c r="F37" s="17"/>
      <c r="G37" s="19"/>
      <c r="H37" s="20"/>
      <c r="I37" s="17"/>
    </row>
    <row r="38" spans="2:9" x14ac:dyDescent="0.25">
      <c r="F38" s="17"/>
      <c r="G38" s="19"/>
      <c r="H38" s="20"/>
      <c r="I38" s="17"/>
    </row>
    <row r="42" spans="2:9" x14ac:dyDescent="0.25">
      <c r="B42" s="19"/>
      <c r="C42" s="20"/>
      <c r="D42" s="17"/>
      <c r="E42" s="17"/>
      <c r="F42" s="17"/>
      <c r="G42" s="19"/>
      <c r="H42" s="20"/>
      <c r="I42" s="17"/>
    </row>
    <row r="43" spans="2:9" x14ac:dyDescent="0.25">
      <c r="B43" s="19"/>
      <c r="C43" s="20"/>
      <c r="D43" s="17"/>
      <c r="E43" s="17"/>
      <c r="F43" s="17"/>
      <c r="G43" s="19"/>
      <c r="H43" s="20"/>
      <c r="I43" s="17"/>
    </row>
    <row r="44" spans="2:9" x14ac:dyDescent="0.25">
      <c r="B44" s="19"/>
      <c r="C44" s="20"/>
      <c r="D44" s="17"/>
      <c r="E44" s="17"/>
      <c r="F44" s="17"/>
      <c r="G44" s="19"/>
      <c r="H44" s="20"/>
      <c r="I44" s="17"/>
    </row>
    <row r="45" spans="2:9" x14ac:dyDescent="0.25">
      <c r="B45" s="19"/>
      <c r="C45" s="20"/>
      <c r="D45" s="17"/>
      <c r="E45" s="17"/>
      <c r="F45" s="17"/>
      <c r="G45" s="19"/>
      <c r="H45" s="20"/>
      <c r="I45" s="17"/>
    </row>
    <row r="46" spans="2:9" x14ac:dyDescent="0.25">
      <c r="B46" s="19"/>
      <c r="C46" s="20"/>
      <c r="D46" s="17"/>
      <c r="E46" s="17"/>
      <c r="F46" s="17"/>
      <c r="G46" s="19"/>
      <c r="H46" s="20"/>
      <c r="I46" s="17"/>
    </row>
    <row r="47" spans="2:9" x14ac:dyDescent="0.25">
      <c r="B47" s="19"/>
      <c r="C47" s="20"/>
      <c r="D47" s="17"/>
      <c r="E47" s="17"/>
      <c r="F47" s="17"/>
      <c r="G47" s="19"/>
      <c r="H47" s="20"/>
      <c r="I47" s="17"/>
    </row>
    <row r="48" spans="2:9" x14ac:dyDescent="0.25">
      <c r="B48" s="19"/>
      <c r="C48" s="20"/>
      <c r="D48" s="17"/>
      <c r="E48" s="17"/>
      <c r="F48" s="17"/>
      <c r="G48" s="19"/>
      <c r="H48" s="20"/>
      <c r="I48" s="17"/>
    </row>
    <row r="49" spans="2:9" x14ac:dyDescent="0.25">
      <c r="B49" s="19"/>
      <c r="C49" s="20"/>
      <c r="D49" s="17"/>
      <c r="E49" s="17"/>
      <c r="F49" s="17"/>
      <c r="G49" s="19"/>
      <c r="H49" s="20"/>
      <c r="I49" s="17"/>
    </row>
    <row r="50" spans="2:9" x14ac:dyDescent="0.25">
      <c r="B50" s="19"/>
      <c r="C50" s="20"/>
      <c r="D50" s="17"/>
      <c r="E50" s="17"/>
      <c r="F50" s="17"/>
      <c r="G50" s="19"/>
      <c r="H50" s="20"/>
      <c r="I50" s="17"/>
    </row>
    <row r="51" spans="2:9" x14ac:dyDescent="0.25">
      <c r="B51" s="19"/>
      <c r="C51" s="20"/>
      <c r="D51" s="17"/>
      <c r="E51" s="17"/>
      <c r="F51" s="17"/>
      <c r="G51" s="19"/>
      <c r="H51" s="20"/>
      <c r="I51" s="17"/>
    </row>
    <row r="52" spans="2:9" x14ac:dyDescent="0.25">
      <c r="B52" s="19"/>
      <c r="C52" s="20"/>
      <c r="D52" s="17"/>
      <c r="E52" s="17"/>
      <c r="F52" s="17"/>
      <c r="G52" s="19"/>
      <c r="H52" s="20"/>
      <c r="I52" s="17"/>
    </row>
    <row r="53" spans="2:9" x14ac:dyDescent="0.25">
      <c r="B53" s="19"/>
      <c r="C53" s="20"/>
      <c r="D53" s="17"/>
      <c r="E53" s="17"/>
      <c r="F53" s="17"/>
      <c r="G53" s="19"/>
      <c r="H53" s="20"/>
      <c r="I53" s="17"/>
    </row>
    <row r="54" spans="2:9" x14ac:dyDescent="0.25">
      <c r="B54" s="19"/>
      <c r="C54" s="20"/>
      <c r="D54" s="17"/>
      <c r="E54" s="17"/>
      <c r="F54" s="17"/>
      <c r="G54" s="19"/>
      <c r="H54" s="20"/>
      <c r="I54" s="17"/>
    </row>
    <row r="55" spans="2:9" x14ac:dyDescent="0.25">
      <c r="B55" s="19"/>
      <c r="C55" s="20"/>
      <c r="D55" s="17"/>
      <c r="E55" s="17"/>
      <c r="F55" s="17"/>
      <c r="G55" s="19"/>
      <c r="H55" s="20"/>
      <c r="I55" s="17"/>
    </row>
    <row r="56" spans="2:9" x14ac:dyDescent="0.25">
      <c r="B56" s="19"/>
      <c r="C56" s="20"/>
      <c r="D56" s="17"/>
      <c r="E56" s="17"/>
      <c r="F56" s="17"/>
      <c r="G56" s="19"/>
      <c r="H56" s="20"/>
      <c r="I56" s="17"/>
    </row>
    <row r="57" spans="2:9" x14ac:dyDescent="0.25">
      <c r="B57" s="19"/>
      <c r="C57" s="20"/>
      <c r="D57" s="17"/>
      <c r="E57" s="17"/>
      <c r="F57" s="17"/>
      <c r="G57" s="19"/>
      <c r="H57" s="20"/>
      <c r="I57" s="17"/>
    </row>
    <row r="58" spans="2:9" x14ac:dyDescent="0.25">
      <c r="B58" s="19"/>
      <c r="C58" s="20"/>
      <c r="D58" s="17"/>
      <c r="E58" s="17"/>
      <c r="F58" s="17"/>
      <c r="G58" s="19"/>
      <c r="H58" s="20"/>
      <c r="I58" s="17"/>
    </row>
    <row r="59" spans="2:9" x14ac:dyDescent="0.25">
      <c r="B59" s="19"/>
      <c r="C59" s="20"/>
      <c r="D59" s="17"/>
      <c r="E59" s="17"/>
      <c r="F59" s="17"/>
      <c r="G59" s="19"/>
      <c r="H59" s="20"/>
      <c r="I59" s="17"/>
    </row>
    <row r="60" spans="2:9" x14ac:dyDescent="0.25">
      <c r="B60" s="19"/>
      <c r="C60" s="20"/>
      <c r="D60" s="17"/>
      <c r="E60" s="17"/>
      <c r="F60" s="17"/>
      <c r="G60" s="19"/>
      <c r="H60" s="20"/>
      <c r="I60" s="17"/>
    </row>
    <row r="61" spans="2:9" x14ac:dyDescent="0.25">
      <c r="B61" s="19"/>
      <c r="C61" s="20"/>
      <c r="D61" s="17"/>
      <c r="E61" s="17"/>
      <c r="F61" s="17"/>
      <c r="G61" s="19"/>
      <c r="H61" s="20"/>
      <c r="I61" s="17"/>
    </row>
  </sheetData>
  <sheetProtection selectLockedCells="1" selectUnlockedCells="1"/>
  <conditionalFormatting sqref="C55">
    <cfRule type="dataBar" priority="14">
      <dataBar showValue="0">
        <cfvo type="min"/>
        <cfvo type="max"/>
        <color rgb="FF638EC6"/>
      </dataBar>
      <extLst>
        <ext xmlns:x14="http://schemas.microsoft.com/office/spreadsheetml/2009/9/main" uri="{B025F937-C7B1-47D3-B67F-A62EFF666E3E}">
          <x14:id>{D0D9013B-5F4D-48AC-B521-1D7E02D02DF8}</x14:id>
        </ext>
      </extLst>
    </cfRule>
  </conditionalFormatting>
  <conditionalFormatting sqref="C56:C57">
    <cfRule type="dataBar" priority="13">
      <dataBar showValue="0">
        <cfvo type="min"/>
        <cfvo type="max"/>
        <color rgb="FF638EC6"/>
      </dataBar>
      <extLst>
        <ext xmlns:x14="http://schemas.microsoft.com/office/spreadsheetml/2009/9/main" uri="{B025F937-C7B1-47D3-B67F-A62EFF666E3E}">
          <x14:id>{B232E92E-5B17-4EFE-9E5D-BA45E701CDDA}</x14:id>
        </ext>
      </extLst>
    </cfRule>
  </conditionalFormatting>
  <conditionalFormatting sqref="C58:C59">
    <cfRule type="dataBar" priority="12">
      <dataBar showValue="0">
        <cfvo type="min"/>
        <cfvo type="max"/>
        <color rgb="FF638EC6"/>
      </dataBar>
      <extLst>
        <ext xmlns:x14="http://schemas.microsoft.com/office/spreadsheetml/2009/9/main" uri="{B025F937-C7B1-47D3-B67F-A62EFF666E3E}">
          <x14:id>{A45A6118-CF76-43A0-8E5D-7188C2548974}</x14:id>
        </ext>
      </extLst>
    </cfRule>
  </conditionalFormatting>
  <conditionalFormatting sqref="C60:C61">
    <cfRule type="dataBar" priority="11">
      <dataBar showValue="0">
        <cfvo type="min"/>
        <cfvo type="max"/>
        <color rgb="FF638EC6"/>
      </dataBar>
      <extLst>
        <ext xmlns:x14="http://schemas.microsoft.com/office/spreadsheetml/2009/9/main" uri="{B025F937-C7B1-47D3-B67F-A62EFF666E3E}">
          <x14:id>{DA1E32C8-CEE5-459F-8CE3-A6F5D40ACEAB}</x14:id>
        </ext>
      </extLst>
    </cfRule>
  </conditionalFormatting>
  <conditionalFormatting sqref="H55">
    <cfRule type="dataBar" priority="4">
      <dataBar showValue="0">
        <cfvo type="min"/>
        <cfvo type="max"/>
        <color rgb="FF638EC6"/>
      </dataBar>
      <extLst>
        <ext xmlns:x14="http://schemas.microsoft.com/office/spreadsheetml/2009/9/main" uri="{B025F937-C7B1-47D3-B67F-A62EFF666E3E}">
          <x14:id>{5790017C-2A3D-409A-A137-15A9F1C0A80F}</x14:id>
        </ext>
      </extLst>
    </cfRule>
  </conditionalFormatting>
  <conditionalFormatting sqref="H56:H57">
    <cfRule type="dataBar" priority="3">
      <dataBar showValue="0">
        <cfvo type="min"/>
        <cfvo type="max"/>
        <color rgb="FF638EC6"/>
      </dataBar>
      <extLst>
        <ext xmlns:x14="http://schemas.microsoft.com/office/spreadsheetml/2009/9/main" uri="{B025F937-C7B1-47D3-B67F-A62EFF666E3E}">
          <x14:id>{25FD0566-47CF-4177-AEC9-2C0BFBE488B2}</x14:id>
        </ext>
      </extLst>
    </cfRule>
  </conditionalFormatting>
  <conditionalFormatting sqref="H58:H59">
    <cfRule type="dataBar" priority="2">
      <dataBar showValue="0">
        <cfvo type="min"/>
        <cfvo type="max"/>
        <color rgb="FF638EC6"/>
      </dataBar>
      <extLst>
        <ext xmlns:x14="http://schemas.microsoft.com/office/spreadsheetml/2009/9/main" uri="{B025F937-C7B1-47D3-B67F-A62EFF666E3E}">
          <x14:id>{5D97130E-1869-488C-B07F-72A85752F369}</x14:id>
        </ext>
      </extLst>
    </cfRule>
  </conditionalFormatting>
  <conditionalFormatting sqref="H60:H61">
    <cfRule type="dataBar" priority="1">
      <dataBar showValue="0">
        <cfvo type="min"/>
        <cfvo type="max"/>
        <color rgb="FF638EC6"/>
      </dataBar>
      <extLst>
        <ext xmlns:x14="http://schemas.microsoft.com/office/spreadsheetml/2009/9/main" uri="{B025F937-C7B1-47D3-B67F-A62EFF666E3E}">
          <x14:id>{9350780A-4529-4AED-8131-F3C22A916FC6}</x14:id>
        </ext>
      </extLst>
    </cfRule>
  </conditionalFormatting>
  <pageMargins left="0.7" right="0.7" top="0.78740157499999996" bottom="0.78740157499999996" header="0.3" footer="0.3"/>
  <drawing r:id="rId1"/>
  <extLst>
    <ext xmlns:x14="http://schemas.microsoft.com/office/spreadsheetml/2009/9/main" uri="{78C0D931-6437-407d-A8EE-F0AAD7539E65}">
      <x14:conditionalFormattings>
        <x14:conditionalFormatting xmlns:xm="http://schemas.microsoft.com/office/excel/2006/main">
          <x14:cfRule type="dataBar" id="{D0D9013B-5F4D-48AC-B521-1D7E02D02DF8}">
            <x14:dataBar minLength="0" maxLength="100" gradient="0">
              <x14:cfvo type="autoMin"/>
              <x14:cfvo type="autoMax"/>
              <x14:negativeFillColor rgb="FFFF0000"/>
              <x14:axisColor rgb="FF000000"/>
            </x14:dataBar>
          </x14:cfRule>
          <xm:sqref>C55</xm:sqref>
        </x14:conditionalFormatting>
        <x14:conditionalFormatting xmlns:xm="http://schemas.microsoft.com/office/excel/2006/main">
          <x14:cfRule type="dataBar" id="{B232E92E-5B17-4EFE-9E5D-BA45E701CDDA}">
            <x14:dataBar minLength="0" maxLength="100" gradient="0">
              <x14:cfvo type="autoMin"/>
              <x14:cfvo type="autoMax"/>
              <x14:negativeFillColor rgb="FFFF0000"/>
              <x14:axisColor rgb="FF000000"/>
            </x14:dataBar>
          </x14:cfRule>
          <xm:sqref>C56:C57</xm:sqref>
        </x14:conditionalFormatting>
        <x14:conditionalFormatting xmlns:xm="http://schemas.microsoft.com/office/excel/2006/main">
          <x14:cfRule type="dataBar" id="{A45A6118-CF76-43A0-8E5D-7188C2548974}">
            <x14:dataBar minLength="0" maxLength="100" gradient="0">
              <x14:cfvo type="autoMin"/>
              <x14:cfvo type="autoMax"/>
              <x14:negativeFillColor rgb="FFFF0000"/>
              <x14:axisColor rgb="FF000000"/>
            </x14:dataBar>
          </x14:cfRule>
          <xm:sqref>C58:C59</xm:sqref>
        </x14:conditionalFormatting>
        <x14:conditionalFormatting xmlns:xm="http://schemas.microsoft.com/office/excel/2006/main">
          <x14:cfRule type="dataBar" id="{DA1E32C8-CEE5-459F-8CE3-A6F5D40ACEAB}">
            <x14:dataBar minLength="0" maxLength="100" gradient="0">
              <x14:cfvo type="autoMin"/>
              <x14:cfvo type="autoMax"/>
              <x14:negativeFillColor rgb="FFFF0000"/>
              <x14:axisColor rgb="FF000000"/>
            </x14:dataBar>
          </x14:cfRule>
          <xm:sqref>C60:C61</xm:sqref>
        </x14:conditionalFormatting>
        <x14:conditionalFormatting xmlns:xm="http://schemas.microsoft.com/office/excel/2006/main">
          <x14:cfRule type="dataBar" id="{5790017C-2A3D-409A-A137-15A9F1C0A80F}">
            <x14:dataBar minLength="0" maxLength="100" gradient="0">
              <x14:cfvo type="autoMin"/>
              <x14:cfvo type="autoMax"/>
              <x14:negativeFillColor rgb="FFFF0000"/>
              <x14:axisColor rgb="FF000000"/>
            </x14:dataBar>
          </x14:cfRule>
          <xm:sqref>H55</xm:sqref>
        </x14:conditionalFormatting>
        <x14:conditionalFormatting xmlns:xm="http://schemas.microsoft.com/office/excel/2006/main">
          <x14:cfRule type="dataBar" id="{25FD0566-47CF-4177-AEC9-2C0BFBE488B2}">
            <x14:dataBar minLength="0" maxLength="100" gradient="0">
              <x14:cfvo type="autoMin"/>
              <x14:cfvo type="autoMax"/>
              <x14:negativeFillColor rgb="FFFF0000"/>
              <x14:axisColor rgb="FF000000"/>
            </x14:dataBar>
          </x14:cfRule>
          <xm:sqref>H56:H57</xm:sqref>
        </x14:conditionalFormatting>
        <x14:conditionalFormatting xmlns:xm="http://schemas.microsoft.com/office/excel/2006/main">
          <x14:cfRule type="dataBar" id="{5D97130E-1869-488C-B07F-72A85752F369}">
            <x14:dataBar minLength="0" maxLength="100" gradient="0">
              <x14:cfvo type="autoMin"/>
              <x14:cfvo type="autoMax"/>
              <x14:negativeFillColor rgb="FFFF0000"/>
              <x14:axisColor rgb="FF000000"/>
            </x14:dataBar>
          </x14:cfRule>
          <xm:sqref>H58:H59</xm:sqref>
        </x14:conditionalFormatting>
        <x14:conditionalFormatting xmlns:xm="http://schemas.microsoft.com/office/excel/2006/main">
          <x14:cfRule type="dataBar" id="{9350780A-4529-4AED-8131-F3C22A916FC6}">
            <x14:dataBar minLength="0" maxLength="100" gradient="0">
              <x14:cfvo type="autoMin"/>
              <x14:cfvo type="autoMax"/>
              <x14:negativeFillColor rgb="FFFF0000"/>
              <x14:axisColor rgb="FF000000"/>
            </x14:dataBar>
          </x14:cfRule>
          <xm:sqref>H60:H61</xm:sqref>
        </x14:conditionalFormatting>
      </x14:conditionalFormattings>
    </ex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5F3F9-D126-46E1-B5E4-1B6BCEB9AF58}">
  <sheetPr codeName="Tabelle21">
    <pageSetUpPr autoPageBreaks="0"/>
  </sheetPr>
  <dimension ref="A1:K1033"/>
  <sheetViews>
    <sheetView showRowColHeaders="0" workbookViewId="0">
      <pane ySplit="3" topLeftCell="A4" activePane="bottomLeft" state="frozen"/>
      <selection pane="bottomLeft" sqref="A1:XFD1048576"/>
    </sheetView>
  </sheetViews>
  <sheetFormatPr baseColWidth="10" defaultRowHeight="30" customHeight="1" x14ac:dyDescent="0.25"/>
  <cols>
    <col min="1" max="1" width="48.5703125" style="24" bestFit="1" customWidth="1"/>
    <col min="2" max="2" width="54.28515625" style="24" customWidth="1"/>
    <col min="3" max="3" width="22.5703125" style="25" bestFit="1" customWidth="1"/>
    <col min="4" max="4" width="14.140625" style="18" customWidth="1"/>
    <col min="5" max="5" width="48.5703125" style="24" customWidth="1"/>
    <col min="6" max="6" width="54.28515625" style="24" customWidth="1"/>
    <col min="7" max="7" width="22.5703125" style="27" bestFit="1" customWidth="1"/>
    <col min="8" max="8" width="9.140625" style="18" bestFit="1" customWidth="1"/>
    <col min="9" max="9" width="6.85546875" style="18" bestFit="1" customWidth="1"/>
    <col min="10" max="10" width="17.42578125" style="18" bestFit="1" customWidth="1"/>
    <col min="11" max="11" width="6.42578125" style="18" bestFit="1" customWidth="1"/>
    <col min="12" max="16384" width="11.42578125" style="18"/>
  </cols>
  <sheetData>
    <row r="1" spans="1:11" ht="66.75" customHeight="1" x14ac:dyDescent="0.25">
      <c r="A1" s="64"/>
      <c r="B1" s="64"/>
      <c r="C1" s="64"/>
      <c r="D1" s="64"/>
      <c r="E1" s="64"/>
      <c r="F1" s="64"/>
      <c r="G1" s="64"/>
    </row>
    <row r="2" spans="1:11" ht="30.75" customHeight="1" x14ac:dyDescent="0.25">
      <c r="A2" s="63"/>
      <c r="B2" s="63"/>
      <c r="C2" s="63"/>
      <c r="E2" s="63"/>
      <c r="F2" s="63"/>
      <c r="G2" s="63"/>
    </row>
    <row r="3" spans="1:11" ht="15" x14ac:dyDescent="0.25">
      <c r="A3" s="55"/>
      <c r="B3" s="55"/>
      <c r="C3" s="26"/>
      <c r="D3" s="56"/>
      <c r="E3" s="55"/>
      <c r="F3" s="55"/>
      <c r="G3" s="26"/>
      <c r="H3" s="56"/>
      <c r="I3" s="56"/>
      <c r="J3" s="23"/>
      <c r="K3" s="56"/>
    </row>
    <row r="4" spans="1:11" ht="30" customHeight="1" x14ac:dyDescent="0.25">
      <c r="A4" s="57"/>
      <c r="C4" s="30"/>
      <c r="G4" s="31"/>
      <c r="J4" s="58"/>
    </row>
    <row r="5" spans="1:11" ht="30" customHeight="1" x14ac:dyDescent="0.25">
      <c r="A5" s="57"/>
      <c r="C5" s="30"/>
      <c r="G5" s="31"/>
      <c r="J5" s="32"/>
    </row>
    <row r="6" spans="1:11" ht="30" customHeight="1" x14ac:dyDescent="0.25">
      <c r="A6" s="57"/>
      <c r="C6" s="30"/>
      <c r="G6" s="31"/>
      <c r="J6" s="32"/>
    </row>
    <row r="7" spans="1:11" ht="30" customHeight="1" x14ac:dyDescent="0.25">
      <c r="A7" s="57"/>
      <c r="C7" s="30"/>
      <c r="G7" s="31"/>
      <c r="J7" s="58"/>
    </row>
    <row r="8" spans="1:11" ht="30" customHeight="1" x14ac:dyDescent="0.25">
      <c r="A8" s="57"/>
      <c r="C8" s="30"/>
      <c r="G8" s="31"/>
      <c r="J8" s="32"/>
    </row>
    <row r="9" spans="1:11" ht="30" customHeight="1" x14ac:dyDescent="0.25">
      <c r="A9" s="57"/>
      <c r="B9" s="59"/>
      <c r="C9" s="30"/>
      <c r="G9" s="31"/>
      <c r="J9" s="32"/>
    </row>
    <row r="10" spans="1:11" ht="30" customHeight="1" x14ac:dyDescent="0.25">
      <c r="A10" s="57"/>
      <c r="C10" s="30"/>
      <c r="G10" s="31"/>
      <c r="J10" s="32"/>
    </row>
    <row r="11" spans="1:11" ht="30" customHeight="1" x14ac:dyDescent="0.25">
      <c r="A11" s="57"/>
      <c r="C11" s="30"/>
      <c r="G11" s="31"/>
      <c r="J11" s="32"/>
    </row>
    <row r="12" spans="1:11" ht="30" customHeight="1" x14ac:dyDescent="0.25">
      <c r="A12" s="57"/>
      <c r="C12" s="30"/>
      <c r="G12" s="31"/>
      <c r="J12" s="58"/>
    </row>
    <row r="13" spans="1:11" ht="30" customHeight="1" x14ac:dyDescent="0.25">
      <c r="A13" s="57"/>
      <c r="C13" s="30"/>
      <c r="G13" s="31"/>
      <c r="J13" s="58"/>
    </row>
    <row r="14" spans="1:11" ht="30" customHeight="1" x14ac:dyDescent="0.25">
      <c r="A14" s="57"/>
      <c r="C14" s="30"/>
      <c r="G14" s="31"/>
      <c r="J14" s="58"/>
    </row>
    <row r="15" spans="1:11" ht="30" customHeight="1" x14ac:dyDescent="0.25">
      <c r="A15" s="57"/>
      <c r="C15" s="30"/>
      <c r="G15" s="31"/>
      <c r="J15" s="32"/>
    </row>
    <row r="16" spans="1:11" ht="30" customHeight="1" x14ac:dyDescent="0.25">
      <c r="A16" s="57"/>
      <c r="C16" s="30"/>
      <c r="G16" s="31"/>
      <c r="J16" s="32"/>
    </row>
    <row r="17" spans="1:10" ht="30" customHeight="1" x14ac:dyDescent="0.25">
      <c r="A17" s="57"/>
      <c r="C17" s="30"/>
      <c r="G17" s="31"/>
      <c r="J17" s="58"/>
    </row>
    <row r="18" spans="1:10" ht="30" customHeight="1" x14ac:dyDescent="0.25">
      <c r="A18" s="57"/>
      <c r="C18" s="30"/>
      <c r="G18" s="31"/>
      <c r="J18" s="32"/>
    </row>
    <row r="19" spans="1:10" ht="30" customHeight="1" x14ac:dyDescent="0.25">
      <c r="A19" s="57"/>
      <c r="C19" s="30"/>
      <c r="G19" s="31"/>
      <c r="J19" s="58"/>
    </row>
    <row r="20" spans="1:10" ht="30" customHeight="1" x14ac:dyDescent="0.25">
      <c r="A20" s="57"/>
      <c r="C20" s="30"/>
      <c r="G20" s="31"/>
      <c r="J20" s="32"/>
    </row>
    <row r="21" spans="1:10" ht="30" customHeight="1" x14ac:dyDescent="0.25">
      <c r="A21" s="57"/>
      <c r="C21" s="30"/>
      <c r="G21" s="31"/>
      <c r="J21" s="32"/>
    </row>
    <row r="22" spans="1:10" ht="30" customHeight="1" x14ac:dyDescent="0.25">
      <c r="A22" s="57"/>
      <c r="C22" s="30"/>
      <c r="G22" s="31"/>
      <c r="J22" s="32"/>
    </row>
    <row r="23" spans="1:10" ht="30" customHeight="1" x14ac:dyDescent="0.25">
      <c r="A23" s="57"/>
      <c r="C23" s="30"/>
      <c r="G23" s="31"/>
      <c r="J23" s="58"/>
    </row>
    <row r="24" spans="1:10" ht="30" customHeight="1" x14ac:dyDescent="0.25">
      <c r="A24" s="57"/>
      <c r="C24" s="30"/>
      <c r="G24" s="31"/>
      <c r="J24" s="32"/>
    </row>
    <row r="25" spans="1:10" ht="30" customHeight="1" x14ac:dyDescent="0.25">
      <c r="A25" s="57"/>
      <c r="C25" s="30"/>
      <c r="G25" s="31"/>
      <c r="J25" s="58"/>
    </row>
    <row r="26" spans="1:10" ht="30" customHeight="1" x14ac:dyDescent="0.25">
      <c r="A26" s="57"/>
      <c r="C26" s="30"/>
      <c r="G26" s="31"/>
      <c r="J26" s="32"/>
    </row>
    <row r="27" spans="1:10" ht="30" customHeight="1" x14ac:dyDescent="0.25">
      <c r="A27" s="57"/>
      <c r="C27" s="30"/>
      <c r="G27" s="31"/>
      <c r="J27" s="32"/>
    </row>
    <row r="28" spans="1:10" ht="30" customHeight="1" x14ac:dyDescent="0.25">
      <c r="A28" s="57"/>
      <c r="C28" s="30"/>
      <c r="G28" s="31"/>
      <c r="J28" s="32"/>
    </row>
    <row r="29" spans="1:10" ht="30" customHeight="1" x14ac:dyDescent="0.25">
      <c r="A29" s="57"/>
      <c r="C29" s="30"/>
      <c r="G29" s="31"/>
      <c r="J29" s="58"/>
    </row>
    <row r="30" spans="1:10" ht="30" customHeight="1" x14ac:dyDescent="0.25">
      <c r="A30" s="57"/>
      <c r="C30" s="30"/>
      <c r="G30" s="31"/>
      <c r="J30" s="58"/>
    </row>
    <row r="31" spans="1:10" ht="30" customHeight="1" x14ac:dyDescent="0.25">
      <c r="A31" s="57"/>
      <c r="C31" s="30"/>
      <c r="G31" s="29"/>
      <c r="J31" s="58"/>
    </row>
    <row r="32" spans="1:10" ht="30" customHeight="1" x14ac:dyDescent="0.25">
      <c r="A32" s="57"/>
      <c r="C32" s="30"/>
      <c r="G32" s="29"/>
      <c r="J32" s="58"/>
    </row>
    <row r="33" spans="1:10" ht="30" customHeight="1" x14ac:dyDescent="0.25">
      <c r="A33" s="57"/>
      <c r="C33" s="30"/>
      <c r="G33" s="29"/>
      <c r="J33" s="32"/>
    </row>
    <row r="34" spans="1:10" ht="30" customHeight="1" x14ac:dyDescent="0.25">
      <c r="A34" s="57"/>
      <c r="C34" s="30"/>
      <c r="G34" s="29"/>
      <c r="J34" s="58"/>
    </row>
    <row r="35" spans="1:10" ht="30" customHeight="1" x14ac:dyDescent="0.25">
      <c r="A35" s="57"/>
      <c r="C35" s="30"/>
      <c r="G35" s="29"/>
      <c r="J35" s="58"/>
    </row>
    <row r="36" spans="1:10" ht="30" customHeight="1" x14ac:dyDescent="0.25">
      <c r="A36" s="57"/>
      <c r="C36" s="30"/>
      <c r="G36" s="29"/>
      <c r="J36" s="58"/>
    </row>
    <row r="37" spans="1:10" ht="30" customHeight="1" x14ac:dyDescent="0.25">
      <c r="A37" s="57"/>
      <c r="C37" s="30"/>
      <c r="G37" s="29"/>
      <c r="J37" s="58"/>
    </row>
    <row r="38" spans="1:10" ht="30" customHeight="1" x14ac:dyDescent="0.25">
      <c r="A38" s="57"/>
      <c r="C38" s="30"/>
      <c r="G38" s="29"/>
      <c r="J38" s="58"/>
    </row>
    <row r="39" spans="1:10" ht="30" customHeight="1" x14ac:dyDescent="0.25">
      <c r="A39" s="57"/>
      <c r="C39" s="28"/>
      <c r="G39" s="29"/>
      <c r="J39" s="58"/>
    </row>
    <row r="40" spans="1:10" ht="30" customHeight="1" x14ac:dyDescent="0.25">
      <c r="A40" s="57"/>
      <c r="C40" s="28"/>
      <c r="G40" s="29"/>
      <c r="J40" s="32"/>
    </row>
    <row r="41" spans="1:10" ht="30" customHeight="1" x14ac:dyDescent="0.25">
      <c r="A41" s="57"/>
      <c r="C41" s="28"/>
      <c r="G41" s="29"/>
      <c r="J41" s="32"/>
    </row>
    <row r="42" spans="1:10" ht="30" customHeight="1" x14ac:dyDescent="0.25">
      <c r="A42" s="57"/>
      <c r="C42" s="28"/>
      <c r="G42" s="29"/>
      <c r="J42" s="58"/>
    </row>
    <row r="43" spans="1:10" ht="30" customHeight="1" x14ac:dyDescent="0.25">
      <c r="A43" s="57"/>
      <c r="C43" s="28"/>
      <c r="G43" s="29"/>
      <c r="J43" s="58"/>
    </row>
    <row r="44" spans="1:10" ht="30" customHeight="1" x14ac:dyDescent="0.25">
      <c r="A44" s="57"/>
      <c r="C44" s="28"/>
      <c r="G44" s="29"/>
      <c r="J44" s="32"/>
    </row>
    <row r="45" spans="1:10" ht="30" customHeight="1" x14ac:dyDescent="0.25">
      <c r="A45" s="57"/>
      <c r="C45" s="28"/>
      <c r="G45" s="29"/>
      <c r="J45" s="58"/>
    </row>
    <row r="46" spans="1:10" ht="30" customHeight="1" x14ac:dyDescent="0.25">
      <c r="A46" s="57"/>
      <c r="C46" s="28"/>
      <c r="G46" s="29"/>
      <c r="J46" s="58"/>
    </row>
    <row r="47" spans="1:10" ht="30" customHeight="1" x14ac:dyDescent="0.25">
      <c r="A47" s="57"/>
      <c r="C47" s="28"/>
      <c r="G47" s="29"/>
      <c r="J47" s="58"/>
    </row>
    <row r="48" spans="1:10" ht="30" customHeight="1" x14ac:dyDescent="0.25">
      <c r="A48" s="57"/>
      <c r="C48" s="28"/>
      <c r="G48" s="29"/>
      <c r="J48" s="58"/>
    </row>
    <row r="49" spans="1:10" ht="30" customHeight="1" x14ac:dyDescent="0.25">
      <c r="A49" s="57"/>
      <c r="C49" s="28"/>
      <c r="G49" s="29"/>
      <c r="J49" s="58"/>
    </row>
    <row r="50" spans="1:10" ht="30" customHeight="1" x14ac:dyDescent="0.25">
      <c r="A50" s="57"/>
      <c r="C50" s="28"/>
      <c r="G50" s="29"/>
      <c r="J50" s="58"/>
    </row>
    <row r="51" spans="1:10" ht="30" customHeight="1" x14ac:dyDescent="0.25">
      <c r="A51" s="57"/>
      <c r="C51" s="28"/>
      <c r="G51" s="29"/>
      <c r="J51" s="58"/>
    </row>
    <row r="52" spans="1:10" ht="30" customHeight="1" x14ac:dyDescent="0.25">
      <c r="A52" s="57"/>
      <c r="C52" s="28"/>
      <c r="G52" s="29"/>
      <c r="J52" s="58"/>
    </row>
    <row r="53" spans="1:10" ht="30" customHeight="1" x14ac:dyDescent="0.25">
      <c r="A53" s="57"/>
      <c r="C53" s="28"/>
      <c r="G53" s="29"/>
      <c r="J53" s="58"/>
    </row>
    <row r="54" spans="1:10" ht="30" customHeight="1" x14ac:dyDescent="0.25">
      <c r="A54" s="57"/>
      <c r="C54" s="28"/>
      <c r="G54" s="29"/>
      <c r="J54" s="58"/>
    </row>
    <row r="55" spans="1:10" ht="30" customHeight="1" x14ac:dyDescent="0.25">
      <c r="A55" s="57"/>
      <c r="C55" s="28"/>
      <c r="G55" s="29"/>
      <c r="J55" s="58"/>
    </row>
    <row r="56" spans="1:10" ht="30" customHeight="1" x14ac:dyDescent="0.25">
      <c r="A56" s="57"/>
      <c r="C56" s="28"/>
      <c r="G56" s="29"/>
      <c r="J56" s="58"/>
    </row>
    <row r="57" spans="1:10" ht="30" customHeight="1" x14ac:dyDescent="0.25">
      <c r="A57" s="57"/>
      <c r="C57" s="28"/>
      <c r="G57" s="29"/>
      <c r="J57" s="58"/>
    </row>
    <row r="58" spans="1:10" ht="30" customHeight="1" x14ac:dyDescent="0.25">
      <c r="A58" s="57"/>
      <c r="C58" s="28"/>
      <c r="G58" s="29"/>
      <c r="J58" s="58"/>
    </row>
    <row r="59" spans="1:10" ht="30" customHeight="1" x14ac:dyDescent="0.25">
      <c r="A59" s="57"/>
      <c r="C59" s="28"/>
      <c r="G59" s="29"/>
      <c r="J59" s="58"/>
    </row>
    <row r="60" spans="1:10" ht="30" customHeight="1" x14ac:dyDescent="0.25">
      <c r="A60" s="57"/>
      <c r="C60" s="28"/>
      <c r="G60" s="29"/>
      <c r="J60" s="58"/>
    </row>
    <row r="61" spans="1:10" ht="30" customHeight="1" x14ac:dyDescent="0.25">
      <c r="A61" s="57"/>
      <c r="C61" s="28"/>
      <c r="G61" s="29"/>
      <c r="J61" s="58"/>
    </row>
    <row r="62" spans="1:10" ht="30" customHeight="1" x14ac:dyDescent="0.25">
      <c r="A62" s="57"/>
      <c r="C62" s="28"/>
      <c r="G62" s="29"/>
      <c r="J62" s="58"/>
    </row>
    <row r="63" spans="1:10" ht="30" customHeight="1" x14ac:dyDescent="0.25">
      <c r="A63" s="57"/>
      <c r="C63" s="28"/>
      <c r="G63" s="29"/>
      <c r="J63" s="58"/>
    </row>
    <row r="64" spans="1:10" ht="30" customHeight="1" x14ac:dyDescent="0.25">
      <c r="A64" s="57"/>
      <c r="C64" s="28"/>
      <c r="G64" s="29"/>
      <c r="J64" s="58"/>
    </row>
    <row r="65" spans="1:10" ht="30" customHeight="1" x14ac:dyDescent="0.25">
      <c r="A65" s="57"/>
      <c r="C65" s="28"/>
      <c r="G65" s="29"/>
      <c r="J65" s="58"/>
    </row>
    <row r="66" spans="1:10" ht="30" customHeight="1" x14ac:dyDescent="0.25">
      <c r="A66" s="57"/>
      <c r="C66" s="28"/>
      <c r="G66" s="29"/>
      <c r="J66" s="58"/>
    </row>
    <row r="67" spans="1:10" ht="30" customHeight="1" x14ac:dyDescent="0.25">
      <c r="A67" s="57"/>
      <c r="C67" s="28"/>
      <c r="G67" s="29"/>
      <c r="J67" s="58"/>
    </row>
    <row r="68" spans="1:10" ht="30" customHeight="1" x14ac:dyDescent="0.25">
      <c r="A68" s="57"/>
      <c r="C68" s="28"/>
      <c r="G68" s="29"/>
      <c r="J68" s="58"/>
    </row>
    <row r="69" spans="1:10" ht="30" customHeight="1" x14ac:dyDescent="0.25">
      <c r="A69" s="57"/>
      <c r="C69" s="28"/>
      <c r="G69" s="29"/>
      <c r="J69" s="58"/>
    </row>
    <row r="70" spans="1:10" ht="30" customHeight="1" x14ac:dyDescent="0.25">
      <c r="A70" s="57"/>
      <c r="C70" s="28"/>
      <c r="G70" s="29"/>
      <c r="J70" s="58"/>
    </row>
    <row r="71" spans="1:10" ht="30" customHeight="1" x14ac:dyDescent="0.25">
      <c r="A71" s="57"/>
      <c r="C71" s="28"/>
      <c r="G71" s="29"/>
      <c r="J71" s="58"/>
    </row>
    <row r="72" spans="1:10" ht="30" customHeight="1" x14ac:dyDescent="0.25">
      <c r="A72" s="57"/>
      <c r="C72" s="28"/>
      <c r="G72" s="29"/>
      <c r="J72" s="58"/>
    </row>
    <row r="73" spans="1:10" ht="30" customHeight="1" x14ac:dyDescent="0.25">
      <c r="A73" s="57"/>
      <c r="C73" s="28"/>
      <c r="G73" s="29"/>
      <c r="J73" s="58"/>
    </row>
    <row r="74" spans="1:10" ht="30" customHeight="1" x14ac:dyDescent="0.25">
      <c r="A74" s="57"/>
      <c r="C74" s="28"/>
      <c r="G74" s="29"/>
      <c r="J74" s="58"/>
    </row>
    <row r="75" spans="1:10" ht="30" customHeight="1" x14ac:dyDescent="0.25">
      <c r="A75" s="57"/>
      <c r="C75" s="28"/>
      <c r="G75" s="29"/>
      <c r="J75" s="58"/>
    </row>
    <row r="76" spans="1:10" ht="30" customHeight="1" x14ac:dyDescent="0.25">
      <c r="A76" s="57"/>
      <c r="C76" s="28"/>
      <c r="G76" s="29"/>
      <c r="J76" s="58"/>
    </row>
    <row r="77" spans="1:10" ht="30" customHeight="1" x14ac:dyDescent="0.25">
      <c r="A77" s="57"/>
      <c r="C77" s="28"/>
      <c r="G77" s="29"/>
      <c r="J77" s="58"/>
    </row>
    <row r="78" spans="1:10" ht="30" customHeight="1" x14ac:dyDescent="0.25">
      <c r="A78" s="57"/>
      <c r="C78" s="28"/>
      <c r="G78" s="29"/>
      <c r="J78" s="58"/>
    </row>
    <row r="79" spans="1:10" ht="30" customHeight="1" x14ac:dyDescent="0.25">
      <c r="A79" s="57"/>
      <c r="C79" s="28"/>
      <c r="G79" s="29"/>
      <c r="J79" s="58"/>
    </row>
    <row r="80" spans="1:10" ht="30" customHeight="1" x14ac:dyDescent="0.25">
      <c r="A80" s="57"/>
      <c r="C80" s="28"/>
      <c r="G80" s="29"/>
      <c r="J80" s="58"/>
    </row>
    <row r="81" spans="1:10" ht="30" customHeight="1" x14ac:dyDescent="0.25">
      <c r="A81" s="57"/>
      <c r="C81" s="28"/>
      <c r="G81" s="29"/>
      <c r="J81" s="58"/>
    </row>
    <row r="82" spans="1:10" ht="30" customHeight="1" x14ac:dyDescent="0.25">
      <c r="A82" s="57"/>
      <c r="C82" s="28"/>
      <c r="G82" s="29"/>
      <c r="J82" s="58"/>
    </row>
    <row r="83" spans="1:10" ht="30" customHeight="1" x14ac:dyDescent="0.25">
      <c r="A83" s="57"/>
      <c r="C83" s="28"/>
      <c r="G83" s="29"/>
      <c r="J83" s="58"/>
    </row>
    <row r="84" spans="1:10" ht="30" customHeight="1" x14ac:dyDescent="0.25">
      <c r="A84" s="57"/>
      <c r="C84" s="28"/>
      <c r="G84" s="29"/>
      <c r="J84" s="58"/>
    </row>
    <row r="85" spans="1:10" ht="30" customHeight="1" x14ac:dyDescent="0.25">
      <c r="A85" s="57"/>
      <c r="C85" s="28"/>
      <c r="G85" s="29"/>
      <c r="J85" s="58"/>
    </row>
    <row r="86" spans="1:10" ht="30" customHeight="1" x14ac:dyDescent="0.25">
      <c r="A86" s="57"/>
      <c r="C86" s="28"/>
      <c r="G86" s="29"/>
      <c r="J86" s="58"/>
    </row>
    <row r="87" spans="1:10" ht="30" customHeight="1" x14ac:dyDescent="0.25">
      <c r="A87" s="57"/>
      <c r="C87" s="28"/>
      <c r="G87" s="29"/>
      <c r="J87" s="58"/>
    </row>
    <row r="88" spans="1:10" ht="30" customHeight="1" x14ac:dyDescent="0.25">
      <c r="A88" s="57"/>
      <c r="C88" s="28"/>
      <c r="G88" s="29"/>
      <c r="J88" s="58"/>
    </row>
    <row r="89" spans="1:10" ht="30" customHeight="1" x14ac:dyDescent="0.25">
      <c r="A89" s="57"/>
      <c r="C89" s="28"/>
      <c r="G89" s="29"/>
      <c r="J89" s="58"/>
    </row>
    <row r="90" spans="1:10" ht="30" customHeight="1" x14ac:dyDescent="0.25">
      <c r="A90" s="57"/>
      <c r="C90" s="28"/>
      <c r="G90" s="29"/>
      <c r="J90" s="58"/>
    </row>
    <row r="91" spans="1:10" ht="30" customHeight="1" x14ac:dyDescent="0.25">
      <c r="A91" s="57"/>
      <c r="C91" s="28"/>
      <c r="G91" s="29"/>
      <c r="J91" s="58"/>
    </row>
    <row r="92" spans="1:10" ht="30" customHeight="1" x14ac:dyDescent="0.25">
      <c r="A92" s="57"/>
      <c r="C92" s="28"/>
      <c r="G92" s="29"/>
      <c r="J92" s="58"/>
    </row>
    <row r="93" spans="1:10" ht="30" customHeight="1" x14ac:dyDescent="0.25">
      <c r="A93" s="57"/>
      <c r="C93" s="28"/>
      <c r="G93" s="29"/>
      <c r="J93" s="58"/>
    </row>
    <row r="94" spans="1:10" ht="30" customHeight="1" x14ac:dyDescent="0.25">
      <c r="A94" s="57"/>
      <c r="C94" s="28"/>
      <c r="G94" s="29"/>
      <c r="J94" s="58"/>
    </row>
    <row r="95" spans="1:10" ht="30" customHeight="1" x14ac:dyDescent="0.25">
      <c r="A95" s="57"/>
      <c r="C95" s="28"/>
      <c r="G95" s="29"/>
      <c r="J95" s="58"/>
    </row>
    <row r="96" spans="1:10" ht="30" customHeight="1" x14ac:dyDescent="0.25">
      <c r="A96" s="57"/>
      <c r="C96" s="28"/>
      <c r="G96" s="29"/>
      <c r="J96" s="58"/>
    </row>
    <row r="97" spans="1:10" ht="30" customHeight="1" x14ac:dyDescent="0.25">
      <c r="A97" s="57"/>
      <c r="C97" s="28"/>
      <c r="G97" s="29"/>
      <c r="J97" s="58"/>
    </row>
    <row r="98" spans="1:10" ht="30" customHeight="1" x14ac:dyDescent="0.25">
      <c r="A98" s="57"/>
      <c r="C98" s="28"/>
      <c r="G98" s="29"/>
      <c r="J98" s="58"/>
    </row>
    <row r="99" spans="1:10" ht="30" customHeight="1" x14ac:dyDescent="0.25">
      <c r="A99" s="57"/>
      <c r="C99" s="28"/>
      <c r="G99" s="29"/>
      <c r="J99" s="58"/>
    </row>
    <row r="100" spans="1:10" ht="30" customHeight="1" x14ac:dyDescent="0.25">
      <c r="A100" s="57"/>
      <c r="C100" s="28"/>
      <c r="G100" s="29"/>
      <c r="J100" s="58"/>
    </row>
    <row r="101" spans="1:10" ht="30" customHeight="1" x14ac:dyDescent="0.25">
      <c r="A101" s="57"/>
      <c r="C101" s="28"/>
      <c r="G101" s="29"/>
      <c r="J101" s="58"/>
    </row>
    <row r="102" spans="1:10" ht="30" customHeight="1" x14ac:dyDescent="0.25">
      <c r="A102" s="57"/>
      <c r="C102" s="28"/>
      <c r="G102" s="29"/>
      <c r="J102" s="58"/>
    </row>
    <row r="103" spans="1:10" ht="30" customHeight="1" x14ac:dyDescent="0.25">
      <c r="A103" s="57"/>
      <c r="C103" s="28"/>
      <c r="G103" s="29"/>
      <c r="J103" s="58"/>
    </row>
    <row r="104" spans="1:10" ht="30" customHeight="1" x14ac:dyDescent="0.25">
      <c r="A104" s="57"/>
      <c r="C104" s="28"/>
      <c r="G104" s="29"/>
      <c r="J104" s="58"/>
    </row>
    <row r="105" spans="1:10" ht="30" customHeight="1" x14ac:dyDescent="0.25">
      <c r="A105" s="57"/>
      <c r="C105" s="28"/>
      <c r="G105" s="29"/>
      <c r="J105" s="58"/>
    </row>
    <row r="106" spans="1:10" ht="30" customHeight="1" x14ac:dyDescent="0.25">
      <c r="A106" s="57"/>
      <c r="C106" s="28"/>
      <c r="G106" s="29"/>
      <c r="J106" s="58"/>
    </row>
    <row r="107" spans="1:10" ht="30" customHeight="1" x14ac:dyDescent="0.25">
      <c r="A107" s="57"/>
      <c r="C107" s="28"/>
      <c r="G107" s="29"/>
      <c r="J107" s="58"/>
    </row>
    <row r="108" spans="1:10" ht="30" customHeight="1" x14ac:dyDescent="0.25">
      <c r="A108" s="57"/>
      <c r="C108" s="28"/>
      <c r="G108" s="29"/>
      <c r="J108" s="58"/>
    </row>
    <row r="109" spans="1:10" ht="30" customHeight="1" x14ac:dyDescent="0.25">
      <c r="A109" s="57"/>
      <c r="C109" s="28"/>
      <c r="G109" s="29"/>
      <c r="J109" s="58"/>
    </row>
    <row r="110" spans="1:10" ht="30" customHeight="1" x14ac:dyDescent="0.25">
      <c r="A110" s="57"/>
      <c r="C110" s="28"/>
      <c r="G110" s="29"/>
      <c r="J110" s="58"/>
    </row>
    <row r="111" spans="1:10" ht="30" customHeight="1" x14ac:dyDescent="0.25">
      <c r="A111" s="57"/>
      <c r="C111" s="28"/>
      <c r="G111" s="29"/>
      <c r="J111" s="58"/>
    </row>
    <row r="112" spans="1:10" ht="30" customHeight="1" x14ac:dyDescent="0.25">
      <c r="A112" s="57"/>
      <c r="C112" s="28"/>
      <c r="G112" s="29"/>
      <c r="J112" s="58"/>
    </row>
    <row r="113" spans="1:10" ht="30" customHeight="1" x14ac:dyDescent="0.25">
      <c r="A113" s="57"/>
      <c r="C113" s="28"/>
      <c r="G113" s="29"/>
      <c r="J113" s="58"/>
    </row>
    <row r="114" spans="1:10" ht="30" customHeight="1" x14ac:dyDescent="0.25">
      <c r="A114" s="57"/>
      <c r="C114" s="28"/>
      <c r="G114" s="29"/>
      <c r="J114" s="58"/>
    </row>
    <row r="115" spans="1:10" ht="30" customHeight="1" x14ac:dyDescent="0.25">
      <c r="A115" s="57"/>
      <c r="C115" s="28"/>
      <c r="G115" s="29"/>
      <c r="J115" s="58"/>
    </row>
    <row r="116" spans="1:10" ht="30" customHeight="1" x14ac:dyDescent="0.25">
      <c r="A116" s="57"/>
      <c r="C116" s="28"/>
      <c r="G116" s="29"/>
      <c r="J116" s="58"/>
    </row>
    <row r="117" spans="1:10" ht="30" customHeight="1" x14ac:dyDescent="0.25">
      <c r="A117" s="57"/>
      <c r="C117" s="28"/>
      <c r="G117" s="29"/>
      <c r="J117" s="58"/>
    </row>
    <row r="118" spans="1:10" ht="30" customHeight="1" x14ac:dyDescent="0.25">
      <c r="A118" s="57"/>
      <c r="C118" s="28"/>
      <c r="G118" s="29"/>
      <c r="J118" s="58"/>
    </row>
    <row r="119" spans="1:10" ht="30" customHeight="1" x14ac:dyDescent="0.25">
      <c r="A119" s="57"/>
      <c r="C119" s="28"/>
      <c r="G119" s="29"/>
      <c r="J119" s="58"/>
    </row>
    <row r="120" spans="1:10" ht="30" customHeight="1" x14ac:dyDescent="0.25">
      <c r="A120" s="57"/>
      <c r="C120" s="28"/>
      <c r="G120" s="29"/>
      <c r="J120" s="58"/>
    </row>
    <row r="121" spans="1:10" ht="30" customHeight="1" x14ac:dyDescent="0.25">
      <c r="A121" s="57"/>
      <c r="C121" s="28"/>
      <c r="G121" s="29"/>
      <c r="J121" s="58"/>
    </row>
    <row r="122" spans="1:10" ht="30" customHeight="1" x14ac:dyDescent="0.25">
      <c r="A122" s="57"/>
      <c r="C122" s="28"/>
      <c r="G122" s="29"/>
      <c r="J122" s="58"/>
    </row>
    <row r="123" spans="1:10" ht="30" customHeight="1" x14ac:dyDescent="0.25">
      <c r="A123" s="57"/>
      <c r="C123" s="28"/>
      <c r="G123" s="29"/>
      <c r="J123" s="58"/>
    </row>
    <row r="124" spans="1:10" ht="30" customHeight="1" x14ac:dyDescent="0.25">
      <c r="A124" s="57"/>
      <c r="C124" s="28"/>
      <c r="G124" s="29"/>
      <c r="J124" s="58"/>
    </row>
    <row r="125" spans="1:10" ht="30" customHeight="1" x14ac:dyDescent="0.25">
      <c r="A125" s="57"/>
      <c r="C125" s="28"/>
      <c r="G125" s="29"/>
      <c r="J125" s="58"/>
    </row>
    <row r="126" spans="1:10" ht="30" customHeight="1" x14ac:dyDescent="0.25">
      <c r="A126" s="57"/>
      <c r="C126" s="28"/>
      <c r="G126" s="29"/>
      <c r="J126" s="58"/>
    </row>
    <row r="127" spans="1:10" ht="30" customHeight="1" x14ac:dyDescent="0.25">
      <c r="A127" s="57"/>
      <c r="C127" s="28"/>
      <c r="G127" s="29"/>
      <c r="J127" s="58"/>
    </row>
    <row r="128" spans="1:10" ht="30" customHeight="1" x14ac:dyDescent="0.25">
      <c r="A128" s="57"/>
      <c r="C128" s="28"/>
      <c r="G128" s="29"/>
      <c r="J128" s="58"/>
    </row>
    <row r="129" spans="1:10" ht="30" customHeight="1" x14ac:dyDescent="0.25">
      <c r="A129" s="57"/>
      <c r="C129" s="28"/>
      <c r="G129" s="29"/>
      <c r="J129" s="58"/>
    </row>
    <row r="130" spans="1:10" ht="30" customHeight="1" x14ac:dyDescent="0.25">
      <c r="A130" s="57"/>
      <c r="C130" s="28"/>
      <c r="G130" s="29"/>
      <c r="J130" s="58"/>
    </row>
    <row r="131" spans="1:10" ht="30" customHeight="1" x14ac:dyDescent="0.25">
      <c r="A131" s="57"/>
      <c r="C131" s="28"/>
      <c r="G131" s="29"/>
      <c r="J131" s="58"/>
    </row>
    <row r="132" spans="1:10" ht="30" customHeight="1" x14ac:dyDescent="0.25">
      <c r="A132" s="57"/>
      <c r="C132" s="28"/>
      <c r="G132" s="29"/>
      <c r="J132" s="58"/>
    </row>
    <row r="133" spans="1:10" ht="30" customHeight="1" x14ac:dyDescent="0.25">
      <c r="A133" s="57"/>
      <c r="C133" s="28"/>
      <c r="G133" s="29"/>
      <c r="J133" s="58"/>
    </row>
    <row r="134" spans="1:10" ht="30" customHeight="1" x14ac:dyDescent="0.25">
      <c r="A134" s="57"/>
      <c r="C134" s="28"/>
      <c r="G134" s="29"/>
      <c r="J134" s="58"/>
    </row>
    <row r="135" spans="1:10" ht="30" customHeight="1" x14ac:dyDescent="0.25">
      <c r="A135" s="57"/>
      <c r="C135" s="28"/>
      <c r="G135" s="29"/>
      <c r="J135" s="58"/>
    </row>
    <row r="136" spans="1:10" ht="30" customHeight="1" x14ac:dyDescent="0.25">
      <c r="A136" s="57"/>
      <c r="C136" s="28"/>
      <c r="G136" s="29"/>
      <c r="J136" s="58"/>
    </row>
    <row r="137" spans="1:10" ht="30" customHeight="1" x14ac:dyDescent="0.25">
      <c r="A137" s="57"/>
      <c r="C137" s="28"/>
      <c r="G137" s="29"/>
      <c r="J137" s="58"/>
    </row>
    <row r="138" spans="1:10" ht="30" customHeight="1" x14ac:dyDescent="0.25">
      <c r="A138" s="57"/>
      <c r="C138" s="28"/>
      <c r="G138" s="29"/>
      <c r="J138" s="58"/>
    </row>
    <row r="139" spans="1:10" ht="30" customHeight="1" x14ac:dyDescent="0.25">
      <c r="A139" s="57"/>
      <c r="C139" s="28"/>
      <c r="G139" s="29"/>
      <c r="J139" s="58"/>
    </row>
    <row r="140" spans="1:10" ht="30" customHeight="1" x14ac:dyDescent="0.25">
      <c r="A140" s="57"/>
      <c r="C140" s="28"/>
      <c r="G140" s="29"/>
      <c r="J140" s="58"/>
    </row>
    <row r="141" spans="1:10" ht="30" customHeight="1" x14ac:dyDescent="0.25">
      <c r="A141" s="57"/>
      <c r="C141" s="28"/>
      <c r="G141" s="29"/>
      <c r="J141" s="58"/>
    </row>
    <row r="142" spans="1:10" ht="30" customHeight="1" x14ac:dyDescent="0.25">
      <c r="A142" s="57"/>
      <c r="C142" s="28"/>
      <c r="G142" s="29"/>
      <c r="J142" s="58"/>
    </row>
    <row r="143" spans="1:10" ht="30" customHeight="1" x14ac:dyDescent="0.25">
      <c r="A143" s="57"/>
      <c r="C143" s="28"/>
      <c r="G143" s="29"/>
      <c r="J143" s="58"/>
    </row>
    <row r="144" spans="1:10" ht="30" customHeight="1" x14ac:dyDescent="0.25">
      <c r="A144" s="57"/>
      <c r="C144" s="28"/>
      <c r="G144" s="29"/>
      <c r="J144" s="58"/>
    </row>
    <row r="145" spans="1:10" ht="30" customHeight="1" x14ac:dyDescent="0.25">
      <c r="A145" s="57"/>
      <c r="C145" s="28"/>
      <c r="G145" s="29"/>
      <c r="J145" s="58"/>
    </row>
    <row r="146" spans="1:10" ht="30" customHeight="1" x14ac:dyDescent="0.25">
      <c r="A146" s="57"/>
      <c r="C146" s="28"/>
      <c r="G146" s="29"/>
      <c r="J146" s="58"/>
    </row>
    <row r="147" spans="1:10" ht="30" customHeight="1" x14ac:dyDescent="0.25">
      <c r="A147" s="57"/>
      <c r="C147" s="28"/>
      <c r="G147" s="29"/>
      <c r="J147" s="58"/>
    </row>
    <row r="148" spans="1:10" ht="30" customHeight="1" x14ac:dyDescent="0.25">
      <c r="A148" s="57"/>
      <c r="C148" s="28"/>
      <c r="G148" s="29"/>
      <c r="J148" s="58"/>
    </row>
    <row r="149" spans="1:10" ht="30" customHeight="1" x14ac:dyDescent="0.25">
      <c r="A149" s="57"/>
      <c r="C149" s="28"/>
      <c r="G149" s="29"/>
      <c r="J149" s="58"/>
    </row>
    <row r="150" spans="1:10" ht="30" customHeight="1" x14ac:dyDescent="0.25">
      <c r="A150" s="57"/>
      <c r="C150" s="28"/>
      <c r="G150" s="29"/>
      <c r="J150" s="58"/>
    </row>
    <row r="151" spans="1:10" ht="30" customHeight="1" x14ac:dyDescent="0.25">
      <c r="A151" s="57"/>
      <c r="C151" s="28"/>
      <c r="G151" s="29"/>
      <c r="J151" s="58"/>
    </row>
    <row r="152" spans="1:10" ht="30" customHeight="1" x14ac:dyDescent="0.25">
      <c r="A152" s="57"/>
      <c r="C152" s="28"/>
      <c r="G152" s="29"/>
      <c r="J152" s="58"/>
    </row>
    <row r="153" spans="1:10" ht="30" customHeight="1" x14ac:dyDescent="0.25">
      <c r="A153" s="57"/>
      <c r="C153" s="28"/>
      <c r="G153" s="29"/>
      <c r="J153" s="58"/>
    </row>
    <row r="154" spans="1:10" ht="30" customHeight="1" x14ac:dyDescent="0.25">
      <c r="A154" s="57"/>
      <c r="C154" s="28"/>
      <c r="G154" s="29"/>
      <c r="J154" s="58"/>
    </row>
    <row r="155" spans="1:10" ht="30" customHeight="1" x14ac:dyDescent="0.25">
      <c r="A155" s="57"/>
      <c r="C155" s="28"/>
      <c r="G155" s="29"/>
      <c r="J155" s="58"/>
    </row>
    <row r="156" spans="1:10" ht="30" customHeight="1" x14ac:dyDescent="0.25">
      <c r="A156" s="57"/>
      <c r="C156" s="28"/>
      <c r="G156" s="29"/>
      <c r="J156" s="58"/>
    </row>
    <row r="157" spans="1:10" ht="30" customHeight="1" x14ac:dyDescent="0.25">
      <c r="A157" s="57"/>
      <c r="C157" s="28"/>
      <c r="G157" s="29"/>
      <c r="J157" s="58"/>
    </row>
    <row r="158" spans="1:10" ht="30" customHeight="1" x14ac:dyDescent="0.25">
      <c r="A158" s="57"/>
      <c r="C158" s="28"/>
      <c r="G158" s="29"/>
      <c r="J158" s="58"/>
    </row>
    <row r="159" spans="1:10" ht="30" customHeight="1" x14ac:dyDescent="0.25">
      <c r="A159" s="57"/>
      <c r="C159" s="28"/>
      <c r="G159" s="29"/>
      <c r="J159" s="58"/>
    </row>
    <row r="160" spans="1:10" ht="30" customHeight="1" x14ac:dyDescent="0.25">
      <c r="A160" s="57"/>
      <c r="C160" s="28"/>
      <c r="G160" s="29"/>
      <c r="J160" s="58"/>
    </row>
    <row r="161" spans="1:10" ht="30" customHeight="1" x14ac:dyDescent="0.25">
      <c r="A161" s="57"/>
      <c r="C161" s="28"/>
      <c r="G161" s="29"/>
      <c r="J161" s="58"/>
    </row>
    <row r="162" spans="1:10" ht="30" customHeight="1" x14ac:dyDescent="0.25">
      <c r="A162" s="57"/>
      <c r="C162" s="28"/>
      <c r="G162" s="29"/>
      <c r="J162" s="58"/>
    </row>
    <row r="163" spans="1:10" ht="30" customHeight="1" x14ac:dyDescent="0.25">
      <c r="A163" s="57"/>
      <c r="C163" s="28"/>
      <c r="G163" s="29"/>
      <c r="J163" s="58"/>
    </row>
    <row r="164" spans="1:10" ht="30" customHeight="1" x14ac:dyDescent="0.25">
      <c r="A164" s="57"/>
      <c r="C164" s="28"/>
      <c r="G164" s="29"/>
      <c r="J164" s="58"/>
    </row>
    <row r="165" spans="1:10" ht="30" customHeight="1" x14ac:dyDescent="0.25">
      <c r="A165" s="57"/>
      <c r="C165" s="28"/>
      <c r="G165" s="29"/>
      <c r="J165" s="58"/>
    </row>
    <row r="166" spans="1:10" ht="30" customHeight="1" x14ac:dyDescent="0.25">
      <c r="A166" s="57"/>
      <c r="C166" s="28"/>
      <c r="G166" s="29"/>
      <c r="J166" s="58"/>
    </row>
    <row r="167" spans="1:10" ht="30" customHeight="1" x14ac:dyDescent="0.25">
      <c r="A167" s="57"/>
      <c r="C167" s="28"/>
      <c r="G167" s="29"/>
      <c r="J167" s="58"/>
    </row>
    <row r="168" spans="1:10" ht="30" customHeight="1" x14ac:dyDescent="0.25">
      <c r="A168" s="57"/>
      <c r="C168" s="28"/>
      <c r="G168" s="29"/>
      <c r="J168" s="58"/>
    </row>
    <row r="169" spans="1:10" ht="30" customHeight="1" x14ac:dyDescent="0.25">
      <c r="A169" s="57"/>
      <c r="C169" s="28"/>
      <c r="G169" s="29"/>
      <c r="J169" s="58"/>
    </row>
    <row r="170" spans="1:10" ht="30" customHeight="1" x14ac:dyDescent="0.25">
      <c r="A170" s="57"/>
      <c r="C170" s="28"/>
      <c r="G170" s="29"/>
      <c r="J170" s="58"/>
    </row>
    <row r="171" spans="1:10" ht="30" customHeight="1" x14ac:dyDescent="0.25">
      <c r="A171" s="57"/>
      <c r="C171" s="28"/>
      <c r="G171" s="29"/>
      <c r="J171" s="58"/>
    </row>
    <row r="172" spans="1:10" ht="30" customHeight="1" x14ac:dyDescent="0.25">
      <c r="A172" s="57"/>
      <c r="C172" s="28"/>
      <c r="G172" s="29"/>
      <c r="J172" s="58"/>
    </row>
    <row r="173" spans="1:10" ht="30" customHeight="1" x14ac:dyDescent="0.25">
      <c r="A173" s="57"/>
      <c r="C173" s="28"/>
      <c r="G173" s="29"/>
      <c r="J173" s="58"/>
    </row>
    <row r="174" spans="1:10" ht="30" customHeight="1" x14ac:dyDescent="0.25">
      <c r="A174" s="57"/>
      <c r="C174" s="28"/>
      <c r="G174" s="29"/>
      <c r="J174" s="58"/>
    </row>
    <row r="175" spans="1:10" ht="30" customHeight="1" x14ac:dyDescent="0.25">
      <c r="A175" s="57"/>
      <c r="C175" s="28"/>
      <c r="G175" s="29"/>
      <c r="J175" s="58"/>
    </row>
    <row r="176" spans="1:10" ht="30" customHeight="1" x14ac:dyDescent="0.25">
      <c r="A176" s="57"/>
      <c r="C176" s="28"/>
      <c r="G176" s="29"/>
      <c r="J176" s="58"/>
    </row>
    <row r="177" spans="1:10" ht="30" customHeight="1" x14ac:dyDescent="0.25">
      <c r="A177" s="57"/>
      <c r="C177" s="28"/>
      <c r="G177" s="29"/>
      <c r="J177" s="58"/>
    </row>
    <row r="178" spans="1:10" ht="30" customHeight="1" x14ac:dyDescent="0.25">
      <c r="A178" s="57"/>
      <c r="C178" s="28"/>
      <c r="G178" s="29"/>
      <c r="J178" s="58"/>
    </row>
    <row r="179" spans="1:10" ht="30" customHeight="1" x14ac:dyDescent="0.25">
      <c r="A179" s="57"/>
      <c r="C179" s="28"/>
      <c r="G179" s="29"/>
      <c r="J179" s="58"/>
    </row>
    <row r="180" spans="1:10" ht="30" customHeight="1" x14ac:dyDescent="0.25">
      <c r="A180" s="57"/>
      <c r="C180" s="28"/>
      <c r="G180" s="29"/>
      <c r="J180" s="58"/>
    </row>
    <row r="181" spans="1:10" ht="30" customHeight="1" x14ac:dyDescent="0.25">
      <c r="A181" s="57"/>
      <c r="C181" s="28"/>
      <c r="G181" s="29"/>
      <c r="J181" s="58"/>
    </row>
    <row r="182" spans="1:10" ht="30" customHeight="1" x14ac:dyDescent="0.25">
      <c r="A182" s="57"/>
      <c r="C182" s="28"/>
      <c r="G182" s="29"/>
      <c r="J182" s="58"/>
    </row>
    <row r="183" spans="1:10" ht="30" customHeight="1" x14ac:dyDescent="0.25">
      <c r="A183" s="57"/>
      <c r="C183" s="28"/>
      <c r="G183" s="29"/>
      <c r="J183" s="58"/>
    </row>
    <row r="184" spans="1:10" ht="30" customHeight="1" x14ac:dyDescent="0.25">
      <c r="A184" s="57"/>
      <c r="C184" s="28"/>
      <c r="G184" s="29"/>
      <c r="J184" s="58"/>
    </row>
    <row r="185" spans="1:10" ht="30" customHeight="1" x14ac:dyDescent="0.25">
      <c r="A185" s="57"/>
      <c r="C185" s="28"/>
      <c r="G185" s="29"/>
      <c r="J185" s="58"/>
    </row>
    <row r="186" spans="1:10" ht="30" customHeight="1" x14ac:dyDescent="0.25">
      <c r="A186" s="57"/>
      <c r="C186" s="28"/>
      <c r="G186" s="29"/>
      <c r="J186" s="58"/>
    </row>
    <row r="187" spans="1:10" ht="30" customHeight="1" x14ac:dyDescent="0.25">
      <c r="A187" s="57"/>
      <c r="C187" s="28"/>
      <c r="G187" s="29"/>
      <c r="J187" s="58"/>
    </row>
    <row r="188" spans="1:10" ht="30" customHeight="1" x14ac:dyDescent="0.25">
      <c r="A188" s="57"/>
      <c r="C188" s="28"/>
      <c r="G188" s="29"/>
      <c r="J188" s="58"/>
    </row>
    <row r="189" spans="1:10" ht="30" customHeight="1" x14ac:dyDescent="0.25">
      <c r="A189" s="57"/>
      <c r="C189" s="28"/>
      <c r="G189" s="29"/>
      <c r="J189" s="58"/>
    </row>
    <row r="190" spans="1:10" ht="30" customHeight="1" x14ac:dyDescent="0.25">
      <c r="A190" s="57"/>
      <c r="C190" s="28"/>
      <c r="G190" s="29"/>
      <c r="J190" s="58"/>
    </row>
    <row r="191" spans="1:10" ht="30" customHeight="1" x14ac:dyDescent="0.25">
      <c r="A191" s="57"/>
      <c r="C191" s="28"/>
      <c r="G191" s="29"/>
      <c r="J191" s="58"/>
    </row>
    <row r="192" spans="1:10" ht="30" customHeight="1" x14ac:dyDescent="0.25">
      <c r="A192" s="57"/>
      <c r="C192" s="28"/>
      <c r="G192" s="29"/>
      <c r="J192" s="58"/>
    </row>
    <row r="193" spans="1:10" ht="30" customHeight="1" x14ac:dyDescent="0.25">
      <c r="A193" s="57"/>
      <c r="C193" s="28"/>
      <c r="G193" s="29"/>
      <c r="J193" s="58"/>
    </row>
    <row r="194" spans="1:10" ht="30" customHeight="1" x14ac:dyDescent="0.25">
      <c r="A194" s="57"/>
      <c r="C194" s="28"/>
      <c r="G194" s="29"/>
      <c r="J194" s="58"/>
    </row>
    <row r="195" spans="1:10" ht="30" customHeight="1" x14ac:dyDescent="0.25">
      <c r="A195" s="57"/>
      <c r="C195" s="28"/>
      <c r="G195" s="29"/>
      <c r="J195" s="58"/>
    </row>
    <row r="196" spans="1:10" ht="30" customHeight="1" x14ac:dyDescent="0.25">
      <c r="A196" s="57"/>
      <c r="C196" s="28"/>
      <c r="G196" s="29"/>
      <c r="J196" s="58"/>
    </row>
    <row r="197" spans="1:10" ht="30" customHeight="1" x14ac:dyDescent="0.25">
      <c r="A197" s="57"/>
      <c r="C197" s="28"/>
      <c r="G197" s="29"/>
      <c r="J197" s="58"/>
    </row>
    <row r="198" spans="1:10" ht="30" customHeight="1" x14ac:dyDescent="0.25">
      <c r="A198" s="57"/>
      <c r="C198" s="28"/>
      <c r="G198" s="29"/>
      <c r="J198" s="58"/>
    </row>
    <row r="199" spans="1:10" ht="30" customHeight="1" x14ac:dyDescent="0.25">
      <c r="A199" s="57"/>
      <c r="C199" s="28"/>
      <c r="G199" s="29"/>
      <c r="J199" s="58"/>
    </row>
    <row r="200" spans="1:10" ht="30" customHeight="1" x14ac:dyDescent="0.25">
      <c r="A200" s="57"/>
      <c r="C200" s="28"/>
      <c r="G200" s="29"/>
      <c r="J200" s="58"/>
    </row>
    <row r="201" spans="1:10" ht="30" customHeight="1" x14ac:dyDescent="0.25">
      <c r="A201" s="57"/>
      <c r="C201" s="28"/>
      <c r="G201" s="29"/>
      <c r="J201" s="58"/>
    </row>
    <row r="202" spans="1:10" ht="30" customHeight="1" x14ac:dyDescent="0.25">
      <c r="A202" s="57"/>
      <c r="C202" s="28"/>
      <c r="G202" s="29"/>
      <c r="J202" s="58"/>
    </row>
    <row r="203" spans="1:10" ht="30" customHeight="1" x14ac:dyDescent="0.25">
      <c r="A203" s="57"/>
      <c r="C203" s="28"/>
      <c r="G203" s="29"/>
      <c r="J203" s="58"/>
    </row>
    <row r="204" spans="1:10" ht="30" customHeight="1" x14ac:dyDescent="0.25">
      <c r="A204" s="57"/>
      <c r="C204" s="28"/>
      <c r="G204" s="29"/>
      <c r="J204" s="58"/>
    </row>
    <row r="205" spans="1:10" ht="30" customHeight="1" x14ac:dyDescent="0.25">
      <c r="A205" s="57"/>
      <c r="C205" s="28"/>
      <c r="G205" s="29"/>
      <c r="J205" s="58"/>
    </row>
    <row r="206" spans="1:10" ht="30" customHeight="1" x14ac:dyDescent="0.25">
      <c r="A206" s="57"/>
      <c r="C206" s="28"/>
      <c r="G206" s="29"/>
      <c r="J206" s="58"/>
    </row>
    <row r="207" spans="1:10" ht="30" customHeight="1" x14ac:dyDescent="0.25">
      <c r="A207" s="57"/>
      <c r="C207" s="28"/>
      <c r="G207" s="29"/>
      <c r="J207" s="58"/>
    </row>
    <row r="208" spans="1:10" ht="30" customHeight="1" x14ac:dyDescent="0.25">
      <c r="A208" s="57"/>
      <c r="C208" s="28"/>
      <c r="G208" s="29"/>
      <c r="J208" s="58"/>
    </row>
    <row r="209" spans="1:10" ht="30" customHeight="1" x14ac:dyDescent="0.25">
      <c r="A209" s="57"/>
      <c r="C209" s="28"/>
      <c r="G209" s="29"/>
      <c r="J209" s="58"/>
    </row>
    <row r="210" spans="1:10" ht="30" customHeight="1" x14ac:dyDescent="0.25">
      <c r="A210" s="57"/>
      <c r="C210" s="28"/>
      <c r="G210" s="29"/>
      <c r="J210" s="58"/>
    </row>
    <row r="211" spans="1:10" ht="30" customHeight="1" x14ac:dyDescent="0.25">
      <c r="A211" s="57"/>
      <c r="C211" s="28"/>
      <c r="G211" s="29"/>
      <c r="J211" s="58"/>
    </row>
    <row r="212" spans="1:10" ht="30" customHeight="1" x14ac:dyDescent="0.25">
      <c r="A212" s="57"/>
      <c r="C212" s="28"/>
      <c r="G212" s="29"/>
      <c r="J212" s="58"/>
    </row>
    <row r="213" spans="1:10" ht="30" customHeight="1" x14ac:dyDescent="0.25">
      <c r="A213" s="57"/>
      <c r="C213" s="28"/>
      <c r="G213" s="29"/>
      <c r="J213" s="58"/>
    </row>
    <row r="214" spans="1:10" ht="30" customHeight="1" x14ac:dyDescent="0.25">
      <c r="A214" s="57"/>
      <c r="C214" s="28"/>
      <c r="G214" s="29"/>
      <c r="J214" s="58"/>
    </row>
    <row r="215" spans="1:10" ht="30" customHeight="1" x14ac:dyDescent="0.25">
      <c r="A215" s="57"/>
      <c r="C215" s="28"/>
      <c r="G215" s="29"/>
      <c r="J215" s="58"/>
    </row>
    <row r="216" spans="1:10" ht="30" customHeight="1" x14ac:dyDescent="0.25">
      <c r="A216" s="57"/>
      <c r="C216" s="28"/>
      <c r="G216" s="29"/>
      <c r="J216" s="58"/>
    </row>
    <row r="217" spans="1:10" ht="30" customHeight="1" x14ac:dyDescent="0.25">
      <c r="A217" s="57"/>
      <c r="C217" s="28"/>
      <c r="G217" s="29"/>
      <c r="J217" s="58"/>
    </row>
    <row r="218" spans="1:10" ht="30" customHeight="1" x14ac:dyDescent="0.25">
      <c r="A218" s="57"/>
      <c r="C218" s="28"/>
      <c r="G218" s="29"/>
      <c r="J218" s="58"/>
    </row>
    <row r="219" spans="1:10" ht="30" customHeight="1" x14ac:dyDescent="0.25">
      <c r="A219" s="57"/>
      <c r="C219" s="28"/>
      <c r="G219" s="29"/>
      <c r="J219" s="58"/>
    </row>
    <row r="220" spans="1:10" ht="30" customHeight="1" x14ac:dyDescent="0.25">
      <c r="A220" s="57"/>
      <c r="C220" s="28"/>
      <c r="G220" s="29"/>
      <c r="J220" s="58"/>
    </row>
    <row r="221" spans="1:10" ht="30" customHeight="1" x14ac:dyDescent="0.25">
      <c r="A221" s="57"/>
      <c r="C221" s="28"/>
      <c r="G221" s="29"/>
      <c r="J221" s="58"/>
    </row>
    <row r="222" spans="1:10" ht="30" customHeight="1" x14ac:dyDescent="0.25">
      <c r="A222" s="57"/>
      <c r="C222" s="28"/>
      <c r="G222" s="29"/>
      <c r="J222" s="58"/>
    </row>
    <row r="223" spans="1:10" ht="30" customHeight="1" x14ac:dyDescent="0.25">
      <c r="A223" s="57"/>
      <c r="C223" s="28"/>
      <c r="G223" s="29"/>
      <c r="J223" s="58"/>
    </row>
    <row r="224" spans="1:10" ht="30" customHeight="1" x14ac:dyDescent="0.25">
      <c r="A224" s="57"/>
      <c r="C224" s="28"/>
      <c r="G224" s="29"/>
      <c r="J224" s="58"/>
    </row>
    <row r="225" spans="1:10" ht="30" customHeight="1" x14ac:dyDescent="0.25">
      <c r="A225" s="57"/>
      <c r="C225" s="28"/>
      <c r="G225" s="29"/>
      <c r="J225" s="58"/>
    </row>
    <row r="226" spans="1:10" ht="30" customHeight="1" x14ac:dyDescent="0.25">
      <c r="A226" s="57"/>
      <c r="C226" s="28"/>
      <c r="G226" s="29"/>
      <c r="J226" s="58"/>
    </row>
    <row r="227" spans="1:10" ht="30" customHeight="1" x14ac:dyDescent="0.25">
      <c r="A227" s="57"/>
      <c r="C227" s="28"/>
      <c r="G227" s="29"/>
      <c r="J227" s="58"/>
    </row>
    <row r="228" spans="1:10" ht="30" customHeight="1" x14ac:dyDescent="0.25">
      <c r="A228" s="57"/>
      <c r="C228" s="28"/>
      <c r="G228" s="29"/>
      <c r="J228" s="58"/>
    </row>
    <row r="229" spans="1:10" ht="30" customHeight="1" x14ac:dyDescent="0.25">
      <c r="A229" s="57"/>
      <c r="C229" s="28"/>
      <c r="G229" s="29"/>
      <c r="J229" s="58"/>
    </row>
    <row r="230" spans="1:10" ht="30" customHeight="1" x14ac:dyDescent="0.25">
      <c r="A230" s="57"/>
      <c r="C230" s="28"/>
      <c r="G230" s="29"/>
      <c r="J230" s="58"/>
    </row>
    <row r="231" spans="1:10" ht="30" customHeight="1" x14ac:dyDescent="0.25">
      <c r="A231" s="57"/>
      <c r="C231" s="28"/>
      <c r="G231" s="29"/>
      <c r="J231" s="58"/>
    </row>
    <row r="232" spans="1:10" ht="30" customHeight="1" x14ac:dyDescent="0.25">
      <c r="A232" s="57"/>
      <c r="C232" s="28"/>
      <c r="G232" s="29"/>
      <c r="J232" s="58"/>
    </row>
    <row r="233" spans="1:10" ht="30" customHeight="1" x14ac:dyDescent="0.25">
      <c r="A233" s="57"/>
      <c r="C233" s="28"/>
      <c r="G233" s="29"/>
      <c r="J233" s="58"/>
    </row>
    <row r="234" spans="1:10" ht="30" customHeight="1" x14ac:dyDescent="0.25">
      <c r="A234" s="57"/>
      <c r="C234" s="28"/>
      <c r="G234" s="29"/>
      <c r="J234" s="58"/>
    </row>
    <row r="235" spans="1:10" ht="30" customHeight="1" x14ac:dyDescent="0.25">
      <c r="A235" s="57"/>
      <c r="C235" s="28"/>
      <c r="G235" s="29"/>
      <c r="J235" s="58"/>
    </row>
    <row r="236" spans="1:10" ht="30" customHeight="1" x14ac:dyDescent="0.25">
      <c r="A236" s="57"/>
      <c r="C236" s="28"/>
      <c r="G236" s="29"/>
      <c r="J236" s="58"/>
    </row>
    <row r="237" spans="1:10" ht="30" customHeight="1" x14ac:dyDescent="0.25">
      <c r="A237" s="57"/>
      <c r="C237" s="28"/>
      <c r="G237" s="29"/>
      <c r="J237" s="58"/>
    </row>
    <row r="238" spans="1:10" ht="30" customHeight="1" x14ac:dyDescent="0.25">
      <c r="A238" s="57"/>
      <c r="C238" s="28"/>
      <c r="G238" s="29"/>
      <c r="J238" s="58"/>
    </row>
    <row r="239" spans="1:10" ht="30" customHeight="1" x14ac:dyDescent="0.25">
      <c r="A239" s="57"/>
      <c r="C239" s="28"/>
      <c r="G239" s="29"/>
      <c r="J239" s="58"/>
    </row>
    <row r="240" spans="1:10" ht="30" customHeight="1" x14ac:dyDescent="0.25">
      <c r="A240" s="57"/>
      <c r="C240" s="28"/>
      <c r="G240" s="29"/>
      <c r="J240" s="58"/>
    </row>
    <row r="241" spans="1:10" ht="30" customHeight="1" x14ac:dyDescent="0.25">
      <c r="A241" s="57"/>
      <c r="C241" s="28"/>
      <c r="G241" s="29"/>
      <c r="J241" s="58"/>
    </row>
    <row r="242" spans="1:10" ht="30" customHeight="1" x14ac:dyDescent="0.25">
      <c r="A242" s="57"/>
      <c r="C242" s="28"/>
      <c r="G242" s="29"/>
      <c r="J242" s="58"/>
    </row>
    <row r="243" spans="1:10" ht="30" customHeight="1" x14ac:dyDescent="0.25">
      <c r="A243" s="57"/>
      <c r="C243" s="28"/>
      <c r="G243" s="29"/>
      <c r="J243" s="58"/>
    </row>
    <row r="244" spans="1:10" ht="30" customHeight="1" x14ac:dyDescent="0.25">
      <c r="A244" s="57"/>
      <c r="C244" s="28"/>
      <c r="G244" s="29"/>
      <c r="J244" s="58"/>
    </row>
    <row r="245" spans="1:10" ht="30" customHeight="1" x14ac:dyDescent="0.25">
      <c r="A245" s="57"/>
      <c r="C245" s="28"/>
      <c r="G245" s="29"/>
      <c r="J245" s="58"/>
    </row>
    <row r="246" spans="1:10" ht="30" customHeight="1" x14ac:dyDescent="0.25">
      <c r="A246" s="57"/>
      <c r="C246" s="28"/>
      <c r="G246" s="29"/>
      <c r="J246" s="58"/>
    </row>
    <row r="247" spans="1:10" ht="30" customHeight="1" x14ac:dyDescent="0.25">
      <c r="A247" s="57"/>
      <c r="C247" s="28"/>
      <c r="G247" s="29"/>
      <c r="J247" s="58"/>
    </row>
    <row r="248" spans="1:10" ht="30" customHeight="1" x14ac:dyDescent="0.25">
      <c r="A248" s="57"/>
      <c r="C248" s="28"/>
      <c r="G248" s="29"/>
      <c r="J248" s="58"/>
    </row>
    <row r="249" spans="1:10" ht="30" customHeight="1" x14ac:dyDescent="0.25">
      <c r="A249" s="57"/>
      <c r="C249" s="28"/>
      <c r="G249" s="29"/>
      <c r="J249" s="58"/>
    </row>
    <row r="250" spans="1:10" ht="30" customHeight="1" x14ac:dyDescent="0.25">
      <c r="A250" s="57"/>
      <c r="C250" s="28"/>
      <c r="G250" s="29"/>
      <c r="J250" s="58"/>
    </row>
    <row r="251" spans="1:10" ht="30" customHeight="1" x14ac:dyDescent="0.25">
      <c r="A251" s="57"/>
      <c r="C251" s="28"/>
      <c r="G251" s="29"/>
      <c r="J251" s="58"/>
    </row>
    <row r="252" spans="1:10" ht="30" customHeight="1" x14ac:dyDescent="0.25">
      <c r="A252" s="57"/>
      <c r="C252" s="28"/>
      <c r="G252" s="29"/>
      <c r="J252" s="58"/>
    </row>
    <row r="253" spans="1:10" ht="30" customHeight="1" x14ac:dyDescent="0.25">
      <c r="A253" s="57"/>
      <c r="C253" s="28"/>
      <c r="G253" s="29"/>
      <c r="J253" s="58"/>
    </row>
    <row r="254" spans="1:10" ht="30" customHeight="1" x14ac:dyDescent="0.25">
      <c r="A254" s="57"/>
      <c r="C254" s="28"/>
      <c r="G254" s="29"/>
      <c r="J254" s="58"/>
    </row>
    <row r="255" spans="1:10" ht="30" customHeight="1" x14ac:dyDescent="0.25">
      <c r="A255" s="57"/>
      <c r="C255" s="28"/>
      <c r="G255" s="29"/>
      <c r="J255" s="58"/>
    </row>
    <row r="256" spans="1:10" ht="30" customHeight="1" x14ac:dyDescent="0.25">
      <c r="A256" s="57"/>
      <c r="C256" s="28"/>
      <c r="G256" s="29"/>
      <c r="J256" s="58"/>
    </row>
    <row r="257" spans="1:10" ht="30" customHeight="1" x14ac:dyDescent="0.25">
      <c r="A257" s="57"/>
      <c r="C257" s="28"/>
      <c r="G257" s="29"/>
      <c r="J257" s="58"/>
    </row>
    <row r="258" spans="1:10" ht="30" customHeight="1" x14ac:dyDescent="0.25">
      <c r="A258" s="57"/>
      <c r="C258" s="28"/>
      <c r="G258" s="29"/>
      <c r="J258" s="58"/>
    </row>
    <row r="259" spans="1:10" ht="30" customHeight="1" x14ac:dyDescent="0.25">
      <c r="A259" s="57"/>
      <c r="C259" s="28"/>
      <c r="G259" s="29"/>
      <c r="J259" s="58"/>
    </row>
    <row r="260" spans="1:10" ht="30" customHeight="1" x14ac:dyDescent="0.25">
      <c r="A260" s="57"/>
      <c r="C260" s="28"/>
      <c r="G260" s="29"/>
      <c r="J260" s="58"/>
    </row>
    <row r="261" spans="1:10" ht="30" customHeight="1" x14ac:dyDescent="0.25">
      <c r="A261" s="57"/>
      <c r="C261" s="28"/>
      <c r="G261" s="29"/>
      <c r="J261" s="58"/>
    </row>
    <row r="262" spans="1:10" ht="30" customHeight="1" x14ac:dyDescent="0.25">
      <c r="A262" s="57"/>
      <c r="C262" s="28"/>
      <c r="G262" s="29"/>
      <c r="J262" s="58"/>
    </row>
    <row r="263" spans="1:10" ht="30" customHeight="1" x14ac:dyDescent="0.25">
      <c r="A263" s="57"/>
      <c r="C263" s="28"/>
      <c r="G263" s="29"/>
      <c r="J263" s="58"/>
    </row>
    <row r="264" spans="1:10" ht="30" customHeight="1" x14ac:dyDescent="0.25">
      <c r="A264" s="57"/>
      <c r="C264" s="28"/>
      <c r="G264" s="29"/>
      <c r="J264" s="58"/>
    </row>
    <row r="265" spans="1:10" ht="30" customHeight="1" x14ac:dyDescent="0.25">
      <c r="A265" s="57"/>
      <c r="C265" s="28"/>
      <c r="G265" s="29"/>
      <c r="J265" s="58"/>
    </row>
    <row r="266" spans="1:10" ht="30" customHeight="1" x14ac:dyDescent="0.25">
      <c r="A266" s="57"/>
      <c r="C266" s="28"/>
      <c r="G266" s="29"/>
      <c r="J266" s="58"/>
    </row>
    <row r="267" spans="1:10" ht="30" customHeight="1" x14ac:dyDescent="0.25">
      <c r="A267" s="57"/>
      <c r="C267" s="28"/>
      <c r="G267" s="29"/>
      <c r="J267" s="58"/>
    </row>
    <row r="268" spans="1:10" ht="30" customHeight="1" x14ac:dyDescent="0.25">
      <c r="A268" s="57"/>
      <c r="C268" s="28"/>
      <c r="G268" s="29"/>
      <c r="J268" s="58"/>
    </row>
    <row r="269" spans="1:10" ht="30" customHeight="1" x14ac:dyDescent="0.25">
      <c r="A269" s="57"/>
      <c r="C269" s="28"/>
      <c r="G269" s="29"/>
      <c r="J269" s="58"/>
    </row>
    <row r="270" spans="1:10" ht="30" customHeight="1" x14ac:dyDescent="0.25">
      <c r="A270" s="57"/>
      <c r="C270" s="28"/>
      <c r="G270" s="29"/>
      <c r="J270" s="58"/>
    </row>
    <row r="271" spans="1:10" ht="30" customHeight="1" x14ac:dyDescent="0.25">
      <c r="A271" s="57"/>
      <c r="C271" s="28"/>
      <c r="G271" s="29"/>
      <c r="J271" s="58"/>
    </row>
    <row r="272" spans="1:10" ht="30" customHeight="1" x14ac:dyDescent="0.25">
      <c r="A272" s="57"/>
      <c r="C272" s="28"/>
      <c r="G272" s="29"/>
      <c r="J272" s="58"/>
    </row>
    <row r="273" spans="1:10" ht="30" customHeight="1" x14ac:dyDescent="0.25">
      <c r="A273" s="57"/>
      <c r="C273" s="28"/>
      <c r="G273" s="29"/>
      <c r="J273" s="58"/>
    </row>
    <row r="274" spans="1:10" ht="30" customHeight="1" x14ac:dyDescent="0.25">
      <c r="A274" s="57"/>
      <c r="C274" s="28"/>
      <c r="G274" s="29"/>
      <c r="J274" s="58"/>
    </row>
    <row r="275" spans="1:10" ht="30" customHeight="1" x14ac:dyDescent="0.25">
      <c r="A275" s="57"/>
      <c r="C275" s="28"/>
      <c r="G275" s="29"/>
      <c r="J275" s="58"/>
    </row>
    <row r="276" spans="1:10" ht="30" customHeight="1" x14ac:dyDescent="0.25">
      <c r="A276" s="57"/>
      <c r="C276" s="28"/>
      <c r="G276" s="29"/>
      <c r="J276" s="58"/>
    </row>
    <row r="277" spans="1:10" ht="30" customHeight="1" x14ac:dyDescent="0.25">
      <c r="A277" s="57"/>
      <c r="C277" s="28"/>
      <c r="G277" s="29"/>
      <c r="J277" s="58"/>
    </row>
    <row r="278" spans="1:10" ht="30" customHeight="1" x14ac:dyDescent="0.25">
      <c r="A278" s="57"/>
      <c r="C278" s="28"/>
      <c r="G278" s="29"/>
      <c r="J278" s="58"/>
    </row>
    <row r="279" spans="1:10" ht="30" customHeight="1" x14ac:dyDescent="0.25">
      <c r="A279" s="57"/>
      <c r="C279" s="28"/>
      <c r="G279" s="29"/>
      <c r="J279" s="58"/>
    </row>
    <row r="280" spans="1:10" ht="30" customHeight="1" x14ac:dyDescent="0.25">
      <c r="A280" s="57"/>
      <c r="C280" s="28"/>
      <c r="G280" s="29"/>
      <c r="J280" s="58"/>
    </row>
    <row r="281" spans="1:10" ht="30" customHeight="1" x14ac:dyDescent="0.25">
      <c r="A281" s="57"/>
      <c r="C281" s="28"/>
      <c r="G281" s="29"/>
      <c r="J281" s="58"/>
    </row>
    <row r="282" spans="1:10" ht="30" customHeight="1" x14ac:dyDescent="0.25">
      <c r="A282" s="57"/>
      <c r="C282" s="28"/>
      <c r="G282" s="29"/>
      <c r="J282" s="58"/>
    </row>
    <row r="283" spans="1:10" ht="30" customHeight="1" x14ac:dyDescent="0.25">
      <c r="A283" s="57"/>
      <c r="C283" s="28"/>
      <c r="G283" s="29"/>
      <c r="J283" s="58"/>
    </row>
    <row r="284" spans="1:10" ht="30" customHeight="1" x14ac:dyDescent="0.25">
      <c r="A284" s="57"/>
      <c r="C284" s="28"/>
      <c r="G284" s="29"/>
      <c r="J284" s="58"/>
    </row>
    <row r="285" spans="1:10" ht="30" customHeight="1" x14ac:dyDescent="0.25">
      <c r="A285" s="57"/>
      <c r="C285" s="28"/>
      <c r="G285" s="29"/>
      <c r="J285" s="58"/>
    </row>
    <row r="286" spans="1:10" ht="30" customHeight="1" x14ac:dyDescent="0.25">
      <c r="A286" s="57"/>
      <c r="C286" s="28"/>
      <c r="G286" s="29"/>
      <c r="J286" s="58"/>
    </row>
    <row r="287" spans="1:10" ht="30" customHeight="1" x14ac:dyDescent="0.25">
      <c r="A287" s="57"/>
      <c r="C287" s="28"/>
      <c r="G287" s="29"/>
      <c r="J287" s="58"/>
    </row>
    <row r="288" spans="1:10" ht="30" customHeight="1" x14ac:dyDescent="0.25">
      <c r="A288" s="57"/>
      <c r="C288" s="28"/>
      <c r="G288" s="29"/>
      <c r="J288" s="58"/>
    </row>
    <row r="289" spans="1:10" ht="30" customHeight="1" x14ac:dyDescent="0.25">
      <c r="A289" s="57"/>
      <c r="C289" s="28"/>
      <c r="G289" s="29"/>
      <c r="J289" s="58"/>
    </row>
    <row r="290" spans="1:10" ht="30" customHeight="1" x14ac:dyDescent="0.25">
      <c r="A290" s="57"/>
      <c r="C290" s="28"/>
      <c r="G290" s="29"/>
      <c r="J290" s="58"/>
    </row>
    <row r="291" spans="1:10" ht="30" customHeight="1" x14ac:dyDescent="0.25">
      <c r="A291" s="57"/>
      <c r="C291" s="28"/>
      <c r="G291" s="29"/>
      <c r="J291" s="58"/>
    </row>
    <row r="292" spans="1:10" ht="30" customHeight="1" x14ac:dyDescent="0.25">
      <c r="A292" s="57"/>
      <c r="C292" s="28"/>
      <c r="G292" s="29"/>
      <c r="J292" s="58"/>
    </row>
    <row r="293" spans="1:10" ht="30" customHeight="1" x14ac:dyDescent="0.25">
      <c r="A293" s="57"/>
      <c r="C293" s="28"/>
      <c r="G293" s="29"/>
      <c r="J293" s="58"/>
    </row>
    <row r="294" spans="1:10" ht="30" customHeight="1" x14ac:dyDescent="0.25">
      <c r="A294" s="57"/>
      <c r="C294" s="28"/>
      <c r="G294" s="29"/>
      <c r="J294" s="58"/>
    </row>
    <row r="295" spans="1:10" ht="30" customHeight="1" x14ac:dyDescent="0.25">
      <c r="A295" s="57"/>
      <c r="C295" s="28"/>
      <c r="G295" s="29"/>
      <c r="J295" s="58"/>
    </row>
    <row r="296" spans="1:10" ht="30" customHeight="1" x14ac:dyDescent="0.25">
      <c r="A296" s="57"/>
      <c r="C296" s="28"/>
      <c r="G296" s="29"/>
      <c r="J296" s="58"/>
    </row>
    <row r="297" spans="1:10" ht="30" customHeight="1" x14ac:dyDescent="0.25">
      <c r="A297" s="57"/>
      <c r="C297" s="28"/>
      <c r="G297" s="29"/>
      <c r="J297" s="58"/>
    </row>
    <row r="298" spans="1:10" ht="30" customHeight="1" x14ac:dyDescent="0.25">
      <c r="A298" s="57"/>
      <c r="C298" s="28"/>
      <c r="G298" s="29"/>
      <c r="J298" s="58"/>
    </row>
    <row r="299" spans="1:10" ht="30" customHeight="1" x14ac:dyDescent="0.25">
      <c r="A299" s="57"/>
      <c r="C299" s="28"/>
      <c r="G299" s="29"/>
      <c r="J299" s="58"/>
    </row>
    <row r="300" spans="1:10" ht="30" customHeight="1" x14ac:dyDescent="0.25">
      <c r="A300" s="57"/>
      <c r="C300" s="28"/>
      <c r="G300" s="29"/>
      <c r="J300" s="58"/>
    </row>
    <row r="301" spans="1:10" ht="30" customHeight="1" x14ac:dyDescent="0.25">
      <c r="A301" s="57"/>
      <c r="C301" s="28"/>
      <c r="G301" s="29"/>
      <c r="J301" s="58"/>
    </row>
    <row r="302" spans="1:10" ht="30" customHeight="1" x14ac:dyDescent="0.25">
      <c r="A302" s="57"/>
      <c r="C302" s="28"/>
      <c r="G302" s="29"/>
      <c r="J302" s="58"/>
    </row>
    <row r="303" spans="1:10" ht="30" customHeight="1" x14ac:dyDescent="0.25">
      <c r="A303" s="57"/>
      <c r="C303" s="28"/>
      <c r="G303" s="29"/>
      <c r="J303" s="58"/>
    </row>
    <row r="304" spans="1:10" ht="30" customHeight="1" x14ac:dyDescent="0.25">
      <c r="A304" s="57"/>
      <c r="C304" s="28"/>
      <c r="G304" s="29"/>
      <c r="J304" s="58"/>
    </row>
    <row r="305" spans="1:10" ht="30" customHeight="1" x14ac:dyDescent="0.25">
      <c r="A305" s="57"/>
      <c r="C305" s="28"/>
      <c r="G305" s="29"/>
      <c r="J305" s="58"/>
    </row>
    <row r="306" spans="1:10" ht="30" customHeight="1" x14ac:dyDescent="0.25">
      <c r="A306" s="57"/>
      <c r="C306" s="28"/>
      <c r="G306" s="29"/>
      <c r="J306" s="58"/>
    </row>
    <row r="307" spans="1:10" ht="30" customHeight="1" x14ac:dyDescent="0.25">
      <c r="A307" s="57"/>
      <c r="C307" s="28"/>
      <c r="G307" s="29"/>
      <c r="J307" s="58"/>
    </row>
    <row r="308" spans="1:10" ht="30" customHeight="1" x14ac:dyDescent="0.25">
      <c r="A308" s="57"/>
      <c r="C308" s="28"/>
      <c r="G308" s="29"/>
      <c r="J308" s="58"/>
    </row>
    <row r="309" spans="1:10" ht="30" customHeight="1" x14ac:dyDescent="0.25">
      <c r="A309" s="57"/>
      <c r="C309" s="28"/>
      <c r="G309" s="29"/>
      <c r="J309" s="58"/>
    </row>
    <row r="310" spans="1:10" ht="30" customHeight="1" x14ac:dyDescent="0.25">
      <c r="A310" s="57"/>
      <c r="C310" s="28"/>
      <c r="G310" s="29"/>
      <c r="J310" s="58"/>
    </row>
    <row r="311" spans="1:10" ht="30" customHeight="1" x14ac:dyDescent="0.25">
      <c r="A311" s="57"/>
      <c r="C311" s="28"/>
      <c r="G311" s="29"/>
      <c r="J311" s="58"/>
    </row>
    <row r="312" spans="1:10" ht="30" customHeight="1" x14ac:dyDescent="0.25">
      <c r="A312" s="57"/>
      <c r="C312" s="28"/>
      <c r="G312" s="29"/>
      <c r="J312" s="58"/>
    </row>
    <row r="313" spans="1:10" ht="30" customHeight="1" x14ac:dyDescent="0.25">
      <c r="A313" s="57"/>
      <c r="C313" s="28"/>
      <c r="G313" s="29"/>
      <c r="J313" s="58"/>
    </row>
    <row r="314" spans="1:10" ht="30" customHeight="1" x14ac:dyDescent="0.25">
      <c r="A314" s="57"/>
      <c r="C314" s="28"/>
      <c r="G314" s="29"/>
      <c r="J314" s="58"/>
    </row>
    <row r="315" spans="1:10" ht="30" customHeight="1" x14ac:dyDescent="0.25">
      <c r="A315" s="57"/>
      <c r="C315" s="28"/>
      <c r="G315" s="29"/>
      <c r="J315" s="58"/>
    </row>
    <row r="316" spans="1:10" ht="30" customHeight="1" x14ac:dyDescent="0.25">
      <c r="A316" s="57"/>
      <c r="C316" s="28"/>
      <c r="G316" s="29"/>
      <c r="J316" s="58"/>
    </row>
    <row r="317" spans="1:10" ht="30" customHeight="1" x14ac:dyDescent="0.25">
      <c r="A317" s="57"/>
      <c r="C317" s="28"/>
      <c r="G317" s="29"/>
      <c r="J317" s="58"/>
    </row>
    <row r="318" spans="1:10" ht="30" customHeight="1" x14ac:dyDescent="0.25">
      <c r="A318" s="57"/>
      <c r="C318" s="28"/>
      <c r="G318" s="29"/>
      <c r="J318" s="58"/>
    </row>
    <row r="319" spans="1:10" ht="30" customHeight="1" x14ac:dyDescent="0.25">
      <c r="A319" s="57"/>
      <c r="C319" s="28"/>
      <c r="G319" s="29"/>
      <c r="J319" s="58"/>
    </row>
    <row r="320" spans="1:10" ht="30" customHeight="1" x14ac:dyDescent="0.25">
      <c r="A320" s="57"/>
      <c r="C320" s="28"/>
      <c r="G320" s="29"/>
      <c r="J320" s="58"/>
    </row>
    <row r="321" spans="1:10" ht="30" customHeight="1" x14ac:dyDescent="0.25">
      <c r="A321" s="57"/>
      <c r="C321" s="28"/>
      <c r="G321" s="29"/>
      <c r="J321" s="58"/>
    </row>
    <row r="322" spans="1:10" ht="30" customHeight="1" x14ac:dyDescent="0.25">
      <c r="A322" s="57"/>
      <c r="C322" s="28"/>
      <c r="G322" s="29"/>
      <c r="J322" s="58"/>
    </row>
    <row r="323" spans="1:10" ht="30" customHeight="1" x14ac:dyDescent="0.25">
      <c r="A323" s="57"/>
      <c r="C323" s="28"/>
      <c r="G323" s="29"/>
      <c r="J323" s="58"/>
    </row>
    <row r="324" spans="1:10" ht="30" customHeight="1" x14ac:dyDescent="0.25">
      <c r="A324" s="57"/>
      <c r="C324" s="28"/>
      <c r="G324" s="29"/>
      <c r="J324" s="58"/>
    </row>
    <row r="325" spans="1:10" ht="30" customHeight="1" x14ac:dyDescent="0.25">
      <c r="A325" s="57"/>
      <c r="C325" s="28"/>
      <c r="G325" s="29"/>
      <c r="J325" s="58"/>
    </row>
    <row r="326" spans="1:10" ht="30" customHeight="1" x14ac:dyDescent="0.25">
      <c r="A326" s="57"/>
      <c r="C326" s="28"/>
      <c r="G326" s="29"/>
      <c r="J326" s="58"/>
    </row>
    <row r="327" spans="1:10" ht="30" customHeight="1" x14ac:dyDescent="0.25">
      <c r="A327" s="57"/>
      <c r="C327" s="28"/>
      <c r="G327" s="29"/>
      <c r="J327" s="58"/>
    </row>
    <row r="328" spans="1:10" ht="30" customHeight="1" x14ac:dyDescent="0.25">
      <c r="A328" s="57"/>
      <c r="C328" s="28"/>
      <c r="G328" s="29"/>
      <c r="J328" s="58"/>
    </row>
    <row r="329" spans="1:10" ht="30" customHeight="1" x14ac:dyDescent="0.25">
      <c r="A329" s="57"/>
      <c r="C329" s="28"/>
      <c r="G329" s="29"/>
      <c r="J329" s="58"/>
    </row>
    <row r="330" spans="1:10" ht="30" customHeight="1" x14ac:dyDescent="0.25">
      <c r="A330" s="57"/>
      <c r="C330" s="28"/>
      <c r="G330" s="29"/>
      <c r="J330" s="58"/>
    </row>
    <row r="331" spans="1:10" ht="30" customHeight="1" x14ac:dyDescent="0.25">
      <c r="A331" s="57"/>
      <c r="C331" s="28"/>
      <c r="G331" s="29"/>
      <c r="J331" s="58"/>
    </row>
    <row r="332" spans="1:10" ht="30" customHeight="1" x14ac:dyDescent="0.25">
      <c r="A332" s="57"/>
      <c r="C332" s="28"/>
      <c r="G332" s="29"/>
      <c r="J332" s="58"/>
    </row>
    <row r="333" spans="1:10" ht="30" customHeight="1" x14ac:dyDescent="0.25">
      <c r="A333" s="57"/>
      <c r="C333" s="28"/>
      <c r="G333" s="29"/>
      <c r="J333" s="58"/>
    </row>
    <row r="334" spans="1:10" ht="30" customHeight="1" x14ac:dyDescent="0.25">
      <c r="A334" s="57"/>
      <c r="C334" s="28"/>
      <c r="G334" s="29"/>
      <c r="J334" s="58"/>
    </row>
    <row r="335" spans="1:10" ht="30" customHeight="1" x14ac:dyDescent="0.25">
      <c r="A335" s="57"/>
      <c r="C335" s="28"/>
      <c r="G335" s="29"/>
      <c r="J335" s="58"/>
    </row>
    <row r="336" spans="1:10" ht="30" customHeight="1" x14ac:dyDescent="0.25">
      <c r="A336" s="57"/>
      <c r="C336" s="28"/>
      <c r="G336" s="29"/>
      <c r="J336" s="58"/>
    </row>
    <row r="337" spans="1:10" ht="30" customHeight="1" x14ac:dyDescent="0.25">
      <c r="A337" s="57"/>
      <c r="C337" s="28"/>
      <c r="G337" s="29"/>
      <c r="J337" s="58"/>
    </row>
    <row r="338" spans="1:10" ht="30" customHeight="1" x14ac:dyDescent="0.25">
      <c r="A338" s="57"/>
      <c r="C338" s="28"/>
      <c r="G338" s="29"/>
      <c r="J338" s="58"/>
    </row>
    <row r="339" spans="1:10" ht="30" customHeight="1" x14ac:dyDescent="0.25">
      <c r="A339" s="57"/>
      <c r="C339" s="28"/>
      <c r="G339" s="29"/>
      <c r="J339" s="58"/>
    </row>
    <row r="340" spans="1:10" ht="30" customHeight="1" x14ac:dyDescent="0.25">
      <c r="A340" s="57"/>
      <c r="C340" s="28"/>
      <c r="G340" s="29"/>
      <c r="J340" s="58"/>
    </row>
    <row r="341" spans="1:10" ht="30" customHeight="1" x14ac:dyDescent="0.25">
      <c r="A341" s="57"/>
      <c r="C341" s="28"/>
      <c r="G341" s="29"/>
      <c r="J341" s="58"/>
    </row>
    <row r="342" spans="1:10" ht="30" customHeight="1" x14ac:dyDescent="0.25">
      <c r="A342" s="57"/>
      <c r="C342" s="28"/>
      <c r="G342" s="29"/>
      <c r="J342" s="58"/>
    </row>
    <row r="343" spans="1:10" ht="30" customHeight="1" x14ac:dyDescent="0.25">
      <c r="A343" s="57"/>
      <c r="C343" s="28"/>
      <c r="G343" s="29"/>
      <c r="J343" s="58"/>
    </row>
    <row r="344" spans="1:10" ht="30" customHeight="1" x14ac:dyDescent="0.25">
      <c r="A344" s="57"/>
      <c r="C344" s="28"/>
      <c r="G344" s="29"/>
      <c r="J344" s="58"/>
    </row>
    <row r="345" spans="1:10" ht="30" customHeight="1" x14ac:dyDescent="0.25">
      <c r="A345" s="57"/>
      <c r="C345" s="28"/>
      <c r="G345" s="29"/>
      <c r="J345" s="58"/>
    </row>
    <row r="346" spans="1:10" ht="30" customHeight="1" x14ac:dyDescent="0.25">
      <c r="A346" s="57"/>
      <c r="C346" s="28"/>
      <c r="G346" s="29"/>
      <c r="J346" s="58"/>
    </row>
    <row r="347" spans="1:10" ht="30" customHeight="1" x14ac:dyDescent="0.25">
      <c r="A347" s="57"/>
      <c r="C347" s="28"/>
      <c r="G347" s="29"/>
      <c r="J347" s="58"/>
    </row>
    <row r="348" spans="1:10" ht="30" customHeight="1" x14ac:dyDescent="0.25">
      <c r="A348" s="57"/>
      <c r="C348" s="28"/>
      <c r="G348" s="29"/>
      <c r="J348" s="58"/>
    </row>
    <row r="349" spans="1:10" ht="30" customHeight="1" x14ac:dyDescent="0.25">
      <c r="A349" s="57"/>
      <c r="C349" s="28"/>
      <c r="G349" s="29"/>
      <c r="J349" s="58"/>
    </row>
    <row r="350" spans="1:10" ht="30" customHeight="1" x14ac:dyDescent="0.25">
      <c r="A350" s="57"/>
      <c r="C350" s="28"/>
      <c r="G350" s="29"/>
      <c r="J350" s="58"/>
    </row>
    <row r="351" spans="1:10" ht="30" customHeight="1" x14ac:dyDescent="0.25">
      <c r="A351" s="57"/>
      <c r="C351" s="28"/>
      <c r="G351" s="29"/>
      <c r="J351" s="58"/>
    </row>
    <row r="352" spans="1:10" ht="30" customHeight="1" x14ac:dyDescent="0.25">
      <c r="A352" s="57"/>
      <c r="C352" s="28"/>
      <c r="G352" s="29"/>
      <c r="J352" s="58"/>
    </row>
    <row r="353" spans="1:10" ht="30" customHeight="1" x14ac:dyDescent="0.25">
      <c r="A353" s="57"/>
      <c r="C353" s="28"/>
      <c r="G353" s="29"/>
      <c r="J353" s="58"/>
    </row>
    <row r="354" spans="1:10" ht="30" customHeight="1" x14ac:dyDescent="0.25">
      <c r="A354" s="57"/>
      <c r="C354" s="28"/>
      <c r="G354" s="29"/>
      <c r="J354" s="58"/>
    </row>
    <row r="355" spans="1:10" ht="30" customHeight="1" x14ac:dyDescent="0.25">
      <c r="A355" s="57"/>
      <c r="C355" s="28"/>
      <c r="G355" s="29"/>
      <c r="J355" s="58"/>
    </row>
    <row r="356" spans="1:10" ht="30" customHeight="1" x14ac:dyDescent="0.25">
      <c r="A356" s="57"/>
      <c r="C356" s="28"/>
      <c r="G356" s="29"/>
      <c r="J356" s="58"/>
    </row>
    <row r="357" spans="1:10" ht="30" customHeight="1" x14ac:dyDescent="0.25">
      <c r="A357" s="57"/>
      <c r="C357" s="28"/>
      <c r="G357" s="29"/>
      <c r="J357" s="58"/>
    </row>
    <row r="358" spans="1:10" ht="30" customHeight="1" x14ac:dyDescent="0.25">
      <c r="A358" s="57"/>
      <c r="C358" s="28"/>
      <c r="G358" s="29"/>
      <c r="J358" s="58"/>
    </row>
    <row r="359" spans="1:10" ht="30" customHeight="1" x14ac:dyDescent="0.25">
      <c r="A359" s="57"/>
      <c r="C359" s="28"/>
      <c r="G359" s="29"/>
      <c r="J359" s="58"/>
    </row>
    <row r="360" spans="1:10" ht="30" customHeight="1" x14ac:dyDescent="0.25">
      <c r="A360" s="57"/>
      <c r="C360" s="28"/>
      <c r="G360" s="29"/>
      <c r="J360" s="58"/>
    </row>
    <row r="361" spans="1:10" ht="30" customHeight="1" x14ac:dyDescent="0.25">
      <c r="A361" s="57"/>
      <c r="C361" s="28"/>
      <c r="G361" s="29"/>
      <c r="J361" s="58"/>
    </row>
    <row r="362" spans="1:10" ht="30" customHeight="1" x14ac:dyDescent="0.25">
      <c r="A362" s="57"/>
      <c r="C362" s="28"/>
      <c r="G362" s="29"/>
      <c r="J362" s="58"/>
    </row>
    <row r="363" spans="1:10" ht="30" customHeight="1" x14ac:dyDescent="0.25">
      <c r="A363" s="57"/>
      <c r="C363" s="28"/>
      <c r="G363" s="29"/>
      <c r="J363" s="58"/>
    </row>
    <row r="364" spans="1:10" ht="30" customHeight="1" x14ac:dyDescent="0.25">
      <c r="A364" s="57"/>
      <c r="C364" s="28"/>
      <c r="G364" s="29"/>
      <c r="J364" s="58"/>
    </row>
    <row r="365" spans="1:10" ht="30" customHeight="1" x14ac:dyDescent="0.25">
      <c r="A365" s="57"/>
      <c r="C365" s="28"/>
      <c r="G365" s="29"/>
      <c r="J365" s="58"/>
    </row>
    <row r="366" spans="1:10" ht="30" customHeight="1" x14ac:dyDescent="0.25">
      <c r="A366" s="57"/>
      <c r="C366" s="28"/>
      <c r="G366" s="29"/>
      <c r="J366" s="58"/>
    </row>
    <row r="367" spans="1:10" ht="30" customHeight="1" x14ac:dyDescent="0.25">
      <c r="A367" s="57"/>
      <c r="C367" s="28"/>
      <c r="G367" s="29"/>
      <c r="J367" s="58"/>
    </row>
    <row r="368" spans="1:10" ht="30" customHeight="1" x14ac:dyDescent="0.25">
      <c r="A368" s="57"/>
      <c r="C368" s="28"/>
      <c r="G368" s="29"/>
      <c r="J368" s="58"/>
    </row>
    <row r="369" spans="1:10" ht="30" customHeight="1" x14ac:dyDescent="0.25">
      <c r="A369" s="57"/>
      <c r="C369" s="28"/>
      <c r="G369" s="29"/>
      <c r="J369" s="58"/>
    </row>
    <row r="370" spans="1:10" ht="30" customHeight="1" x14ac:dyDescent="0.25">
      <c r="A370" s="57"/>
      <c r="C370" s="28"/>
      <c r="G370" s="29"/>
      <c r="J370" s="58"/>
    </row>
    <row r="371" spans="1:10" ht="30" customHeight="1" x14ac:dyDescent="0.25">
      <c r="A371" s="57"/>
      <c r="C371" s="28"/>
      <c r="G371" s="29"/>
      <c r="J371" s="58"/>
    </row>
    <row r="372" spans="1:10" ht="30" customHeight="1" x14ac:dyDescent="0.25">
      <c r="A372" s="57"/>
      <c r="C372" s="28"/>
      <c r="G372" s="29"/>
      <c r="J372" s="58"/>
    </row>
    <row r="373" spans="1:10" ht="30" customHeight="1" x14ac:dyDescent="0.25">
      <c r="A373" s="57"/>
      <c r="C373" s="28"/>
      <c r="G373" s="29"/>
      <c r="J373" s="58"/>
    </row>
    <row r="374" spans="1:10" ht="30" customHeight="1" x14ac:dyDescent="0.25">
      <c r="A374" s="57"/>
      <c r="C374" s="28"/>
      <c r="G374" s="29"/>
      <c r="J374" s="58"/>
    </row>
    <row r="375" spans="1:10" ht="30" customHeight="1" x14ac:dyDescent="0.25">
      <c r="A375" s="57"/>
      <c r="C375" s="28"/>
      <c r="G375" s="29"/>
      <c r="J375" s="58"/>
    </row>
    <row r="376" spans="1:10" ht="30" customHeight="1" x14ac:dyDescent="0.25">
      <c r="A376" s="57"/>
      <c r="C376" s="28"/>
      <c r="G376" s="29"/>
      <c r="J376" s="58"/>
    </row>
    <row r="377" spans="1:10" ht="30" customHeight="1" x14ac:dyDescent="0.25">
      <c r="A377" s="57"/>
      <c r="C377" s="28"/>
      <c r="G377" s="29"/>
      <c r="J377" s="58"/>
    </row>
    <row r="378" spans="1:10" ht="30" customHeight="1" x14ac:dyDescent="0.25">
      <c r="A378" s="57"/>
      <c r="C378" s="28"/>
      <c r="G378" s="29"/>
      <c r="J378" s="58"/>
    </row>
    <row r="379" spans="1:10" ht="30" customHeight="1" x14ac:dyDescent="0.25">
      <c r="A379" s="57"/>
      <c r="C379" s="28"/>
      <c r="G379" s="29"/>
      <c r="J379" s="58"/>
    </row>
    <row r="380" spans="1:10" ht="30" customHeight="1" x14ac:dyDescent="0.25">
      <c r="A380" s="57"/>
      <c r="C380" s="28"/>
      <c r="G380" s="29"/>
      <c r="J380" s="58"/>
    </row>
    <row r="381" spans="1:10" ht="30" customHeight="1" x14ac:dyDescent="0.25">
      <c r="A381" s="57"/>
      <c r="C381" s="28"/>
      <c r="G381" s="29"/>
      <c r="J381" s="58"/>
    </row>
    <row r="382" spans="1:10" ht="30" customHeight="1" x14ac:dyDescent="0.25">
      <c r="A382" s="57"/>
      <c r="C382" s="28"/>
      <c r="G382" s="29"/>
      <c r="J382" s="58"/>
    </row>
    <row r="383" spans="1:10" ht="30" customHeight="1" x14ac:dyDescent="0.25">
      <c r="A383" s="57"/>
      <c r="C383" s="28"/>
      <c r="G383" s="29"/>
      <c r="J383" s="58"/>
    </row>
    <row r="384" spans="1:10" ht="30" customHeight="1" x14ac:dyDescent="0.25">
      <c r="A384" s="57"/>
      <c r="C384" s="28"/>
      <c r="G384" s="29"/>
      <c r="J384" s="58"/>
    </row>
    <row r="385" spans="1:10" ht="30" customHeight="1" x14ac:dyDescent="0.25">
      <c r="A385" s="57"/>
      <c r="C385" s="28"/>
      <c r="G385" s="29"/>
      <c r="J385" s="58"/>
    </row>
    <row r="386" spans="1:10" ht="30" customHeight="1" x14ac:dyDescent="0.25">
      <c r="A386" s="57"/>
      <c r="C386" s="28"/>
      <c r="G386" s="29"/>
      <c r="J386" s="58"/>
    </row>
    <row r="387" spans="1:10" ht="30" customHeight="1" x14ac:dyDescent="0.25">
      <c r="A387" s="57"/>
      <c r="C387" s="28"/>
      <c r="G387" s="29"/>
      <c r="J387" s="58"/>
    </row>
    <row r="388" spans="1:10" ht="30" customHeight="1" x14ac:dyDescent="0.25">
      <c r="A388" s="57"/>
      <c r="C388" s="28"/>
      <c r="G388" s="29"/>
      <c r="J388" s="58"/>
    </row>
    <row r="389" spans="1:10" ht="30" customHeight="1" x14ac:dyDescent="0.25">
      <c r="A389" s="57"/>
      <c r="C389" s="28"/>
      <c r="G389" s="29"/>
      <c r="J389" s="58"/>
    </row>
    <row r="390" spans="1:10" ht="30" customHeight="1" x14ac:dyDescent="0.25">
      <c r="A390" s="57"/>
      <c r="C390" s="28"/>
      <c r="G390" s="29"/>
      <c r="J390" s="58"/>
    </row>
    <row r="391" spans="1:10" ht="30" customHeight="1" x14ac:dyDescent="0.25">
      <c r="A391" s="57"/>
      <c r="C391" s="28"/>
      <c r="G391" s="29"/>
      <c r="J391" s="58"/>
    </row>
    <row r="392" spans="1:10" ht="30" customHeight="1" x14ac:dyDescent="0.25">
      <c r="A392" s="57"/>
      <c r="C392" s="28"/>
      <c r="G392" s="29"/>
      <c r="J392" s="58"/>
    </row>
    <row r="393" spans="1:10" ht="30" customHeight="1" x14ac:dyDescent="0.25">
      <c r="A393" s="57"/>
      <c r="C393" s="28"/>
      <c r="G393" s="29"/>
      <c r="J393" s="58"/>
    </row>
    <row r="394" spans="1:10" ht="30" customHeight="1" x14ac:dyDescent="0.25">
      <c r="A394" s="57"/>
      <c r="C394" s="28"/>
      <c r="G394" s="29"/>
      <c r="J394" s="58"/>
    </row>
    <row r="395" spans="1:10" ht="30" customHeight="1" x14ac:dyDescent="0.25">
      <c r="A395" s="57"/>
      <c r="C395" s="28"/>
      <c r="G395" s="29"/>
      <c r="J395" s="58"/>
    </row>
    <row r="396" spans="1:10" ht="30" customHeight="1" x14ac:dyDescent="0.25">
      <c r="A396" s="57"/>
      <c r="C396" s="28"/>
      <c r="G396" s="29"/>
      <c r="J396" s="58"/>
    </row>
    <row r="397" spans="1:10" ht="30" customHeight="1" x14ac:dyDescent="0.25">
      <c r="A397" s="57"/>
      <c r="C397" s="28"/>
      <c r="G397" s="29"/>
      <c r="J397" s="58"/>
    </row>
    <row r="398" spans="1:10" ht="30" customHeight="1" x14ac:dyDescent="0.25">
      <c r="A398" s="57"/>
      <c r="C398" s="28"/>
      <c r="G398" s="29"/>
      <c r="J398" s="58"/>
    </row>
    <row r="399" spans="1:10" ht="30" customHeight="1" x14ac:dyDescent="0.25">
      <c r="A399" s="57"/>
      <c r="C399" s="28"/>
      <c r="G399" s="29"/>
      <c r="J399" s="58"/>
    </row>
    <row r="400" spans="1:10" ht="30" customHeight="1" x14ac:dyDescent="0.25">
      <c r="A400" s="57"/>
      <c r="C400" s="28"/>
      <c r="G400" s="29"/>
      <c r="J400" s="58"/>
    </row>
    <row r="401" spans="1:10" ht="30" customHeight="1" x14ac:dyDescent="0.25">
      <c r="A401" s="57"/>
      <c r="C401" s="28"/>
      <c r="G401" s="29"/>
      <c r="J401" s="58"/>
    </row>
    <row r="402" spans="1:10" ht="30" customHeight="1" x14ac:dyDescent="0.25">
      <c r="A402" s="57"/>
      <c r="C402" s="28"/>
      <c r="G402" s="29"/>
      <c r="J402" s="58"/>
    </row>
    <row r="403" spans="1:10" ht="30" customHeight="1" x14ac:dyDescent="0.25">
      <c r="A403" s="57"/>
      <c r="C403" s="28"/>
      <c r="G403" s="29"/>
      <c r="J403" s="58"/>
    </row>
    <row r="404" spans="1:10" ht="30" customHeight="1" x14ac:dyDescent="0.25">
      <c r="A404" s="57"/>
      <c r="C404" s="28"/>
      <c r="G404" s="29"/>
      <c r="J404" s="58"/>
    </row>
    <row r="405" spans="1:10" ht="30" customHeight="1" x14ac:dyDescent="0.25">
      <c r="A405" s="57"/>
      <c r="C405" s="28"/>
      <c r="G405" s="29"/>
      <c r="J405" s="58"/>
    </row>
    <row r="406" spans="1:10" ht="30" customHeight="1" x14ac:dyDescent="0.25">
      <c r="A406" s="57"/>
      <c r="C406" s="28"/>
      <c r="G406" s="29"/>
      <c r="J406" s="58"/>
    </row>
    <row r="407" spans="1:10" ht="30" customHeight="1" x14ac:dyDescent="0.25">
      <c r="A407" s="57"/>
      <c r="C407" s="28"/>
      <c r="G407" s="29"/>
      <c r="J407" s="58"/>
    </row>
    <row r="408" spans="1:10" ht="30" customHeight="1" x14ac:dyDescent="0.25">
      <c r="A408" s="57"/>
      <c r="C408" s="28"/>
      <c r="G408" s="29"/>
      <c r="J408" s="58"/>
    </row>
    <row r="409" spans="1:10" ht="30" customHeight="1" x14ac:dyDescent="0.25">
      <c r="A409" s="57"/>
      <c r="C409" s="28"/>
      <c r="G409" s="29"/>
      <c r="J409" s="58"/>
    </row>
    <row r="410" spans="1:10" ht="30" customHeight="1" x14ac:dyDescent="0.25">
      <c r="A410" s="57"/>
      <c r="C410" s="28"/>
      <c r="G410" s="29"/>
      <c r="J410" s="58"/>
    </row>
    <row r="411" spans="1:10" ht="30" customHeight="1" x14ac:dyDescent="0.25">
      <c r="A411" s="57"/>
      <c r="C411" s="28"/>
      <c r="G411" s="29"/>
      <c r="J411" s="58"/>
    </row>
    <row r="412" spans="1:10" ht="30" customHeight="1" x14ac:dyDescent="0.25">
      <c r="A412" s="57"/>
      <c r="C412" s="28"/>
      <c r="G412" s="29"/>
      <c r="J412" s="58"/>
    </row>
    <row r="413" spans="1:10" ht="30" customHeight="1" x14ac:dyDescent="0.25">
      <c r="A413" s="57"/>
      <c r="C413" s="28"/>
      <c r="G413" s="29"/>
      <c r="J413" s="58"/>
    </row>
    <row r="414" spans="1:10" ht="30" customHeight="1" x14ac:dyDescent="0.25">
      <c r="A414" s="57"/>
      <c r="C414" s="28"/>
      <c r="G414" s="29"/>
      <c r="J414" s="58"/>
    </row>
    <row r="415" spans="1:10" ht="30" customHeight="1" x14ac:dyDescent="0.25">
      <c r="A415" s="57"/>
      <c r="C415" s="28"/>
      <c r="G415" s="29"/>
      <c r="J415" s="58"/>
    </row>
    <row r="416" spans="1:10" ht="30" customHeight="1" x14ac:dyDescent="0.25">
      <c r="A416" s="57"/>
      <c r="C416" s="28"/>
      <c r="G416" s="29"/>
      <c r="J416" s="58"/>
    </row>
    <row r="417" spans="1:10" ht="30" customHeight="1" x14ac:dyDescent="0.25">
      <c r="A417" s="57"/>
      <c r="C417" s="28"/>
      <c r="G417" s="29"/>
      <c r="J417" s="58"/>
    </row>
    <row r="418" spans="1:10" ht="30" customHeight="1" x14ac:dyDescent="0.25">
      <c r="A418" s="57"/>
      <c r="C418" s="28"/>
      <c r="G418" s="29"/>
      <c r="J418" s="58"/>
    </row>
    <row r="419" spans="1:10" ht="30" customHeight="1" x14ac:dyDescent="0.25">
      <c r="A419" s="57"/>
      <c r="C419" s="28"/>
      <c r="G419" s="29"/>
      <c r="J419" s="58"/>
    </row>
    <row r="420" spans="1:10" ht="30" customHeight="1" x14ac:dyDescent="0.25">
      <c r="A420" s="57"/>
      <c r="C420" s="28"/>
      <c r="G420" s="29"/>
      <c r="J420" s="58"/>
    </row>
    <row r="421" spans="1:10" ht="30" customHeight="1" x14ac:dyDescent="0.25">
      <c r="A421" s="57"/>
      <c r="C421" s="28"/>
      <c r="G421" s="29"/>
      <c r="J421" s="58"/>
    </row>
    <row r="422" spans="1:10" ht="30" customHeight="1" x14ac:dyDescent="0.25">
      <c r="A422" s="57"/>
      <c r="C422" s="28"/>
      <c r="G422" s="29"/>
      <c r="J422" s="58"/>
    </row>
    <row r="423" spans="1:10" ht="30" customHeight="1" x14ac:dyDescent="0.25">
      <c r="A423" s="57"/>
      <c r="C423" s="28"/>
      <c r="G423" s="29"/>
      <c r="J423" s="58"/>
    </row>
    <row r="424" spans="1:10" ht="30" customHeight="1" x14ac:dyDescent="0.25">
      <c r="A424" s="57"/>
      <c r="C424" s="28"/>
      <c r="G424" s="29"/>
      <c r="J424" s="58"/>
    </row>
    <row r="425" spans="1:10" ht="30" customHeight="1" x14ac:dyDescent="0.25">
      <c r="A425" s="57"/>
      <c r="C425" s="28"/>
      <c r="G425" s="29"/>
      <c r="J425" s="58"/>
    </row>
    <row r="426" spans="1:10" ht="30" customHeight="1" x14ac:dyDescent="0.25">
      <c r="A426" s="57"/>
      <c r="C426" s="28"/>
      <c r="G426" s="29"/>
      <c r="J426" s="58"/>
    </row>
    <row r="427" spans="1:10" ht="30" customHeight="1" x14ac:dyDescent="0.25">
      <c r="A427" s="57"/>
      <c r="C427" s="28"/>
      <c r="G427" s="29"/>
      <c r="J427" s="58"/>
    </row>
    <row r="428" spans="1:10" ht="30" customHeight="1" x14ac:dyDescent="0.25">
      <c r="A428" s="57"/>
      <c r="C428" s="28"/>
      <c r="G428" s="29"/>
      <c r="J428" s="58"/>
    </row>
    <row r="429" spans="1:10" ht="30" customHeight="1" x14ac:dyDescent="0.25">
      <c r="A429" s="57"/>
      <c r="C429" s="28"/>
      <c r="G429" s="29"/>
      <c r="J429" s="58"/>
    </row>
    <row r="430" spans="1:10" ht="30" customHeight="1" x14ac:dyDescent="0.25">
      <c r="A430" s="57"/>
      <c r="C430" s="28"/>
      <c r="G430" s="29"/>
      <c r="J430" s="58"/>
    </row>
    <row r="431" spans="1:10" ht="30" customHeight="1" x14ac:dyDescent="0.25">
      <c r="A431" s="57"/>
      <c r="C431" s="28"/>
      <c r="G431" s="29"/>
      <c r="J431" s="58"/>
    </row>
    <row r="432" spans="1:10" ht="30" customHeight="1" x14ac:dyDescent="0.25">
      <c r="A432" s="57"/>
      <c r="C432" s="28"/>
      <c r="G432" s="29"/>
      <c r="J432" s="58"/>
    </row>
    <row r="433" spans="1:10" ht="30" customHeight="1" x14ac:dyDescent="0.25">
      <c r="A433" s="57"/>
      <c r="C433" s="28"/>
      <c r="G433" s="29"/>
      <c r="J433" s="58"/>
    </row>
    <row r="434" spans="1:10" ht="30" customHeight="1" x14ac:dyDescent="0.25">
      <c r="A434" s="57"/>
      <c r="C434" s="28"/>
      <c r="G434" s="29"/>
      <c r="J434" s="58"/>
    </row>
    <row r="435" spans="1:10" ht="30" customHeight="1" x14ac:dyDescent="0.25">
      <c r="A435" s="57"/>
      <c r="C435" s="28"/>
      <c r="G435" s="29"/>
      <c r="J435" s="58"/>
    </row>
    <row r="436" spans="1:10" ht="30" customHeight="1" x14ac:dyDescent="0.25">
      <c r="A436" s="57"/>
      <c r="C436" s="28"/>
      <c r="G436" s="29"/>
      <c r="J436" s="58"/>
    </row>
    <row r="437" spans="1:10" ht="30" customHeight="1" x14ac:dyDescent="0.25">
      <c r="A437" s="57"/>
      <c r="C437" s="28"/>
      <c r="G437" s="29"/>
      <c r="J437" s="58"/>
    </row>
    <row r="438" spans="1:10" ht="30" customHeight="1" x14ac:dyDescent="0.25">
      <c r="A438" s="57"/>
      <c r="C438" s="28"/>
      <c r="G438" s="29"/>
      <c r="J438" s="58"/>
    </row>
    <row r="439" spans="1:10" ht="30" customHeight="1" x14ac:dyDescent="0.25">
      <c r="A439" s="57"/>
      <c r="C439" s="28"/>
      <c r="G439" s="29"/>
      <c r="J439" s="58"/>
    </row>
    <row r="440" spans="1:10" ht="30" customHeight="1" x14ac:dyDescent="0.25">
      <c r="A440" s="57"/>
      <c r="C440" s="28"/>
      <c r="G440" s="29"/>
      <c r="J440" s="58"/>
    </row>
    <row r="441" spans="1:10" ht="30" customHeight="1" x14ac:dyDescent="0.25">
      <c r="A441" s="57"/>
      <c r="C441" s="28"/>
      <c r="G441" s="29"/>
      <c r="J441" s="58"/>
    </row>
    <row r="442" spans="1:10" ht="30" customHeight="1" x14ac:dyDescent="0.25">
      <c r="A442" s="57"/>
      <c r="C442" s="28"/>
      <c r="G442" s="29"/>
      <c r="J442" s="58"/>
    </row>
    <row r="443" spans="1:10" ht="30" customHeight="1" x14ac:dyDescent="0.25">
      <c r="A443" s="57"/>
      <c r="C443" s="28"/>
      <c r="G443" s="29"/>
      <c r="J443" s="58"/>
    </row>
    <row r="444" spans="1:10" ht="30" customHeight="1" x14ac:dyDescent="0.25">
      <c r="A444" s="57"/>
      <c r="C444" s="28"/>
      <c r="G444" s="29"/>
      <c r="J444" s="58"/>
    </row>
    <row r="445" spans="1:10" ht="30" customHeight="1" x14ac:dyDescent="0.25">
      <c r="A445" s="57"/>
      <c r="C445" s="28"/>
      <c r="G445" s="29"/>
      <c r="J445" s="58"/>
    </row>
    <row r="446" spans="1:10" ht="30" customHeight="1" x14ac:dyDescent="0.25">
      <c r="A446" s="57"/>
      <c r="C446" s="28"/>
      <c r="G446" s="29"/>
      <c r="J446" s="58"/>
    </row>
    <row r="447" spans="1:10" ht="30" customHeight="1" x14ac:dyDescent="0.25">
      <c r="A447" s="57"/>
      <c r="C447" s="28"/>
      <c r="G447" s="29"/>
      <c r="J447" s="58"/>
    </row>
    <row r="448" spans="1:10" ht="30" customHeight="1" x14ac:dyDescent="0.25">
      <c r="A448" s="57"/>
      <c r="C448" s="28"/>
      <c r="G448" s="29"/>
      <c r="J448" s="58"/>
    </row>
    <row r="449" spans="1:10" ht="30" customHeight="1" x14ac:dyDescent="0.25">
      <c r="A449" s="57"/>
      <c r="C449" s="28"/>
      <c r="G449" s="29"/>
      <c r="J449" s="58"/>
    </row>
    <row r="450" spans="1:10" ht="30" customHeight="1" x14ac:dyDescent="0.25">
      <c r="A450" s="57"/>
      <c r="C450" s="28"/>
      <c r="G450" s="29"/>
      <c r="J450" s="58"/>
    </row>
    <row r="451" spans="1:10" ht="30" customHeight="1" x14ac:dyDescent="0.25">
      <c r="A451" s="57"/>
      <c r="C451" s="28"/>
      <c r="G451" s="29"/>
      <c r="J451" s="58"/>
    </row>
    <row r="452" spans="1:10" ht="30" customHeight="1" x14ac:dyDescent="0.25">
      <c r="A452" s="57"/>
      <c r="C452" s="28"/>
      <c r="G452" s="29"/>
      <c r="J452" s="58"/>
    </row>
    <row r="453" spans="1:10" ht="30" customHeight="1" x14ac:dyDescent="0.25">
      <c r="A453" s="57"/>
      <c r="C453" s="28"/>
      <c r="G453" s="29"/>
      <c r="J453" s="58"/>
    </row>
    <row r="454" spans="1:10" ht="30" customHeight="1" x14ac:dyDescent="0.25">
      <c r="A454" s="57"/>
      <c r="C454" s="28"/>
      <c r="G454" s="29"/>
      <c r="J454" s="58"/>
    </row>
    <row r="455" spans="1:10" ht="30" customHeight="1" x14ac:dyDescent="0.25">
      <c r="A455" s="57"/>
      <c r="C455" s="28"/>
      <c r="G455" s="29"/>
      <c r="J455" s="58"/>
    </row>
    <row r="456" spans="1:10" ht="30" customHeight="1" x14ac:dyDescent="0.25">
      <c r="A456" s="57"/>
      <c r="C456" s="28"/>
      <c r="G456" s="29"/>
      <c r="J456" s="58"/>
    </row>
    <row r="457" spans="1:10" ht="30" customHeight="1" x14ac:dyDescent="0.25">
      <c r="A457" s="57"/>
      <c r="C457" s="28"/>
      <c r="G457" s="29"/>
      <c r="J457" s="58"/>
    </row>
    <row r="458" spans="1:10" ht="30" customHeight="1" x14ac:dyDescent="0.25">
      <c r="A458" s="57"/>
      <c r="C458" s="28"/>
      <c r="G458" s="29"/>
      <c r="J458" s="58"/>
    </row>
    <row r="459" spans="1:10" ht="30" customHeight="1" x14ac:dyDescent="0.25">
      <c r="A459" s="57"/>
      <c r="C459" s="28"/>
      <c r="G459" s="29"/>
      <c r="J459" s="58"/>
    </row>
    <row r="460" spans="1:10" ht="30" customHeight="1" x14ac:dyDescent="0.25">
      <c r="A460" s="57"/>
      <c r="C460" s="28"/>
      <c r="G460" s="29"/>
      <c r="J460" s="58"/>
    </row>
    <row r="461" spans="1:10" ht="30" customHeight="1" x14ac:dyDescent="0.25">
      <c r="A461" s="57"/>
      <c r="C461" s="28"/>
      <c r="G461" s="29"/>
      <c r="J461" s="58"/>
    </row>
    <row r="462" spans="1:10" ht="30" customHeight="1" x14ac:dyDescent="0.25">
      <c r="A462" s="57"/>
      <c r="C462" s="28"/>
      <c r="G462" s="29"/>
      <c r="J462" s="58"/>
    </row>
    <row r="463" spans="1:10" ht="30" customHeight="1" x14ac:dyDescent="0.25">
      <c r="A463" s="57"/>
      <c r="C463" s="28"/>
      <c r="G463" s="29"/>
      <c r="J463" s="58"/>
    </row>
    <row r="464" spans="1:10" ht="30" customHeight="1" x14ac:dyDescent="0.25">
      <c r="A464" s="57"/>
      <c r="C464" s="28"/>
      <c r="G464" s="29"/>
      <c r="J464" s="58"/>
    </row>
    <row r="465" spans="1:10" ht="30" customHeight="1" x14ac:dyDescent="0.25">
      <c r="A465" s="57"/>
      <c r="C465" s="28"/>
      <c r="G465" s="29"/>
      <c r="J465" s="58"/>
    </row>
    <row r="466" spans="1:10" ht="30" customHeight="1" x14ac:dyDescent="0.25">
      <c r="A466" s="57"/>
      <c r="C466" s="28"/>
      <c r="G466" s="29"/>
      <c r="J466" s="58"/>
    </row>
    <row r="467" spans="1:10" ht="30" customHeight="1" x14ac:dyDescent="0.25">
      <c r="A467" s="57"/>
      <c r="C467" s="28"/>
      <c r="G467" s="29"/>
      <c r="J467" s="58"/>
    </row>
    <row r="468" spans="1:10" ht="30" customHeight="1" x14ac:dyDescent="0.25">
      <c r="A468" s="57"/>
      <c r="C468" s="28"/>
      <c r="G468" s="29"/>
      <c r="J468" s="58"/>
    </row>
    <row r="469" spans="1:10" ht="30" customHeight="1" x14ac:dyDescent="0.25">
      <c r="A469" s="57"/>
      <c r="C469" s="28"/>
      <c r="G469" s="29"/>
      <c r="J469" s="58"/>
    </row>
    <row r="470" spans="1:10" ht="30" customHeight="1" x14ac:dyDescent="0.25">
      <c r="A470" s="57"/>
      <c r="C470" s="28"/>
      <c r="G470" s="29"/>
      <c r="J470" s="58"/>
    </row>
    <row r="471" spans="1:10" ht="30" customHeight="1" x14ac:dyDescent="0.25">
      <c r="A471" s="57"/>
      <c r="C471" s="28"/>
      <c r="G471" s="29"/>
      <c r="J471" s="58"/>
    </row>
    <row r="472" spans="1:10" ht="30" customHeight="1" x14ac:dyDescent="0.25">
      <c r="A472" s="57"/>
      <c r="C472" s="28"/>
      <c r="G472" s="29"/>
      <c r="J472" s="58"/>
    </row>
    <row r="473" spans="1:10" ht="30" customHeight="1" x14ac:dyDescent="0.25">
      <c r="A473" s="57"/>
      <c r="C473" s="28"/>
      <c r="G473" s="29"/>
      <c r="J473" s="58"/>
    </row>
    <row r="474" spans="1:10" ht="30" customHeight="1" x14ac:dyDescent="0.25">
      <c r="A474" s="57"/>
      <c r="C474" s="28"/>
      <c r="G474" s="29"/>
      <c r="J474" s="58"/>
    </row>
    <row r="475" spans="1:10" ht="30" customHeight="1" x14ac:dyDescent="0.25">
      <c r="A475" s="57"/>
      <c r="C475" s="28"/>
      <c r="G475" s="29"/>
      <c r="J475" s="58"/>
    </row>
    <row r="476" spans="1:10" ht="30" customHeight="1" x14ac:dyDescent="0.25">
      <c r="A476" s="57"/>
      <c r="C476" s="28"/>
      <c r="G476" s="29"/>
      <c r="J476" s="58"/>
    </row>
    <row r="477" spans="1:10" ht="30" customHeight="1" x14ac:dyDescent="0.25">
      <c r="A477" s="57"/>
      <c r="C477" s="28"/>
      <c r="G477" s="29"/>
      <c r="J477" s="58"/>
    </row>
    <row r="478" spans="1:10" ht="30" customHeight="1" x14ac:dyDescent="0.25">
      <c r="A478" s="57"/>
      <c r="C478" s="28"/>
      <c r="G478" s="29"/>
      <c r="J478" s="58"/>
    </row>
    <row r="479" spans="1:10" ht="30" customHeight="1" x14ac:dyDescent="0.25">
      <c r="A479" s="57"/>
      <c r="C479" s="28"/>
      <c r="G479" s="29"/>
      <c r="J479" s="58"/>
    </row>
    <row r="480" spans="1:10" ht="30" customHeight="1" x14ac:dyDescent="0.25">
      <c r="A480" s="57"/>
      <c r="C480" s="28"/>
      <c r="G480" s="29"/>
      <c r="J480" s="58"/>
    </row>
    <row r="481" spans="1:10" ht="30" customHeight="1" x14ac:dyDescent="0.25">
      <c r="A481" s="57"/>
      <c r="C481" s="28"/>
      <c r="G481" s="29"/>
      <c r="J481" s="58"/>
    </row>
    <row r="482" spans="1:10" ht="30" customHeight="1" x14ac:dyDescent="0.25">
      <c r="A482" s="57"/>
      <c r="C482" s="28"/>
      <c r="G482" s="29"/>
      <c r="J482" s="58"/>
    </row>
    <row r="483" spans="1:10" ht="30" customHeight="1" x14ac:dyDescent="0.25">
      <c r="A483" s="57"/>
      <c r="C483" s="28"/>
      <c r="G483" s="29"/>
      <c r="J483" s="58"/>
    </row>
    <row r="484" spans="1:10" ht="30" customHeight="1" x14ac:dyDescent="0.25">
      <c r="A484" s="57"/>
      <c r="C484" s="28"/>
      <c r="G484" s="29"/>
      <c r="J484" s="58"/>
    </row>
    <row r="485" spans="1:10" ht="30" customHeight="1" x14ac:dyDescent="0.25">
      <c r="A485" s="57"/>
      <c r="C485" s="28"/>
      <c r="G485" s="29"/>
      <c r="J485" s="58"/>
    </row>
    <row r="486" spans="1:10" ht="30" customHeight="1" x14ac:dyDescent="0.25">
      <c r="A486" s="57"/>
      <c r="C486" s="28"/>
      <c r="G486" s="29"/>
      <c r="J486" s="58"/>
    </row>
    <row r="487" spans="1:10" ht="30" customHeight="1" x14ac:dyDescent="0.25">
      <c r="A487" s="57"/>
      <c r="C487" s="28"/>
      <c r="G487" s="29"/>
      <c r="J487" s="58"/>
    </row>
    <row r="488" spans="1:10" ht="30" customHeight="1" x14ac:dyDescent="0.25">
      <c r="A488" s="57"/>
      <c r="C488" s="28"/>
      <c r="G488" s="29"/>
      <c r="J488" s="58"/>
    </row>
    <row r="489" spans="1:10" ht="30" customHeight="1" x14ac:dyDescent="0.25">
      <c r="A489" s="57"/>
      <c r="C489" s="28"/>
      <c r="G489" s="29"/>
      <c r="J489" s="58"/>
    </row>
    <row r="490" spans="1:10" ht="30" customHeight="1" x14ac:dyDescent="0.25">
      <c r="A490" s="57"/>
      <c r="C490" s="28"/>
      <c r="G490" s="29"/>
      <c r="J490" s="58"/>
    </row>
    <row r="491" spans="1:10" ht="30" customHeight="1" x14ac:dyDescent="0.25">
      <c r="A491" s="57"/>
      <c r="C491" s="28"/>
      <c r="G491" s="29"/>
      <c r="J491" s="58"/>
    </row>
    <row r="492" spans="1:10" ht="30" customHeight="1" x14ac:dyDescent="0.25">
      <c r="A492" s="57"/>
      <c r="C492" s="28"/>
      <c r="G492" s="29"/>
      <c r="J492" s="58"/>
    </row>
    <row r="493" spans="1:10" ht="30" customHeight="1" x14ac:dyDescent="0.25">
      <c r="A493" s="57"/>
      <c r="C493" s="28"/>
      <c r="G493" s="29"/>
      <c r="J493" s="58"/>
    </row>
    <row r="494" spans="1:10" ht="30" customHeight="1" x14ac:dyDescent="0.25">
      <c r="A494" s="57"/>
      <c r="C494" s="28"/>
      <c r="G494" s="29"/>
      <c r="J494" s="58"/>
    </row>
    <row r="495" spans="1:10" ht="30" customHeight="1" x14ac:dyDescent="0.25">
      <c r="A495" s="57"/>
      <c r="C495" s="28"/>
      <c r="G495" s="29"/>
      <c r="J495" s="58"/>
    </row>
    <row r="496" spans="1:10" ht="30" customHeight="1" x14ac:dyDescent="0.25">
      <c r="A496" s="57"/>
      <c r="C496" s="28"/>
      <c r="G496" s="29"/>
      <c r="J496" s="58"/>
    </row>
    <row r="497" spans="1:10" ht="30" customHeight="1" x14ac:dyDescent="0.25">
      <c r="A497" s="57"/>
      <c r="C497" s="28"/>
      <c r="G497" s="29"/>
      <c r="J497" s="58"/>
    </row>
    <row r="498" spans="1:10" ht="30" customHeight="1" x14ac:dyDescent="0.25">
      <c r="A498" s="57"/>
      <c r="C498" s="28"/>
      <c r="G498" s="29"/>
      <c r="J498" s="58"/>
    </row>
    <row r="499" spans="1:10" ht="30" customHeight="1" x14ac:dyDescent="0.25">
      <c r="A499" s="57"/>
      <c r="C499" s="28"/>
      <c r="G499" s="29"/>
      <c r="J499" s="58"/>
    </row>
    <row r="500" spans="1:10" ht="30" customHeight="1" x14ac:dyDescent="0.25">
      <c r="A500" s="57"/>
      <c r="C500" s="28"/>
      <c r="G500" s="29"/>
      <c r="J500" s="58"/>
    </row>
    <row r="501" spans="1:10" ht="30" customHeight="1" x14ac:dyDescent="0.25">
      <c r="A501" s="57"/>
      <c r="C501" s="28"/>
      <c r="G501" s="29"/>
      <c r="J501" s="58"/>
    </row>
    <row r="502" spans="1:10" ht="30" customHeight="1" x14ac:dyDescent="0.25">
      <c r="A502" s="57"/>
      <c r="C502" s="28"/>
      <c r="G502" s="29"/>
      <c r="J502" s="58"/>
    </row>
    <row r="503" spans="1:10" ht="30" customHeight="1" x14ac:dyDescent="0.25">
      <c r="A503" s="57"/>
      <c r="C503" s="28"/>
      <c r="G503" s="29"/>
      <c r="J503" s="58"/>
    </row>
    <row r="504" spans="1:10" ht="30" customHeight="1" x14ac:dyDescent="0.25">
      <c r="A504" s="57"/>
      <c r="C504" s="28"/>
      <c r="G504" s="29"/>
      <c r="J504" s="58"/>
    </row>
    <row r="505" spans="1:10" ht="30" customHeight="1" x14ac:dyDescent="0.25">
      <c r="A505" s="57"/>
      <c r="C505" s="28"/>
      <c r="G505" s="29"/>
      <c r="J505" s="58"/>
    </row>
    <row r="506" spans="1:10" ht="30" customHeight="1" x14ac:dyDescent="0.25">
      <c r="A506" s="57"/>
      <c r="C506" s="28"/>
      <c r="G506" s="29"/>
      <c r="J506" s="58"/>
    </row>
    <row r="507" spans="1:10" ht="30" customHeight="1" x14ac:dyDescent="0.25">
      <c r="A507" s="57"/>
      <c r="C507" s="28"/>
      <c r="G507" s="29"/>
      <c r="J507" s="58"/>
    </row>
    <row r="508" spans="1:10" ht="30" customHeight="1" x14ac:dyDescent="0.25">
      <c r="A508" s="57"/>
      <c r="C508" s="28"/>
      <c r="G508" s="29"/>
      <c r="J508" s="58"/>
    </row>
    <row r="509" spans="1:10" ht="30" customHeight="1" x14ac:dyDescent="0.25">
      <c r="A509" s="57"/>
      <c r="C509" s="28"/>
      <c r="G509" s="29"/>
      <c r="J509" s="58"/>
    </row>
    <row r="510" spans="1:10" ht="30" customHeight="1" x14ac:dyDescent="0.25">
      <c r="A510" s="57"/>
      <c r="C510" s="28"/>
      <c r="G510" s="29"/>
      <c r="J510" s="58"/>
    </row>
    <row r="511" spans="1:10" ht="30" customHeight="1" x14ac:dyDescent="0.25">
      <c r="A511" s="57"/>
      <c r="C511" s="28"/>
      <c r="G511" s="29"/>
      <c r="J511" s="58"/>
    </row>
    <row r="512" spans="1:10" ht="30" customHeight="1" x14ac:dyDescent="0.25">
      <c r="A512" s="57"/>
      <c r="C512" s="28"/>
      <c r="G512" s="29"/>
      <c r="J512" s="58"/>
    </row>
    <row r="513" spans="1:10" ht="30" customHeight="1" x14ac:dyDescent="0.25">
      <c r="A513" s="57"/>
      <c r="C513" s="28"/>
      <c r="G513" s="29"/>
      <c r="J513" s="58"/>
    </row>
    <row r="514" spans="1:10" ht="30" customHeight="1" x14ac:dyDescent="0.25">
      <c r="A514" s="57"/>
      <c r="C514" s="28"/>
      <c r="G514" s="29"/>
      <c r="J514" s="58"/>
    </row>
    <row r="515" spans="1:10" ht="30" customHeight="1" x14ac:dyDescent="0.25">
      <c r="A515" s="57"/>
      <c r="C515" s="28"/>
      <c r="G515" s="29"/>
      <c r="J515" s="58"/>
    </row>
    <row r="516" spans="1:10" ht="30" customHeight="1" x14ac:dyDescent="0.25">
      <c r="A516" s="57"/>
      <c r="C516" s="28"/>
      <c r="G516" s="29"/>
      <c r="J516" s="58"/>
    </row>
    <row r="517" spans="1:10" ht="30" customHeight="1" x14ac:dyDescent="0.25">
      <c r="A517" s="57"/>
      <c r="C517" s="28"/>
      <c r="G517" s="29"/>
      <c r="J517" s="58"/>
    </row>
    <row r="518" spans="1:10" ht="30" customHeight="1" x14ac:dyDescent="0.25">
      <c r="A518" s="57"/>
      <c r="C518" s="28"/>
      <c r="G518" s="29"/>
      <c r="J518" s="58"/>
    </row>
    <row r="519" spans="1:10" ht="30" customHeight="1" x14ac:dyDescent="0.25">
      <c r="A519" s="57"/>
      <c r="C519" s="28"/>
      <c r="G519" s="29"/>
      <c r="J519" s="58"/>
    </row>
    <row r="520" spans="1:10" ht="30" customHeight="1" x14ac:dyDescent="0.25">
      <c r="A520" s="57"/>
      <c r="C520" s="28"/>
      <c r="G520" s="29"/>
      <c r="J520" s="58"/>
    </row>
    <row r="521" spans="1:10" ht="30" customHeight="1" x14ac:dyDescent="0.25">
      <c r="A521" s="57"/>
      <c r="C521" s="28"/>
      <c r="G521" s="29"/>
      <c r="J521" s="58"/>
    </row>
    <row r="522" spans="1:10" ht="30" customHeight="1" x14ac:dyDescent="0.25">
      <c r="A522" s="57"/>
      <c r="C522" s="28"/>
      <c r="G522" s="29"/>
      <c r="J522" s="58"/>
    </row>
    <row r="523" spans="1:10" ht="30" customHeight="1" x14ac:dyDescent="0.25">
      <c r="A523" s="57"/>
      <c r="C523" s="28"/>
      <c r="G523" s="29"/>
      <c r="J523" s="58"/>
    </row>
    <row r="524" spans="1:10" ht="30" customHeight="1" x14ac:dyDescent="0.25">
      <c r="A524" s="57"/>
      <c r="C524" s="28"/>
      <c r="G524" s="29"/>
      <c r="J524" s="58"/>
    </row>
    <row r="525" spans="1:10" ht="30" customHeight="1" x14ac:dyDescent="0.25">
      <c r="A525" s="57"/>
      <c r="C525" s="28"/>
      <c r="G525" s="29"/>
      <c r="J525" s="58"/>
    </row>
    <row r="526" spans="1:10" ht="30" customHeight="1" x14ac:dyDescent="0.25">
      <c r="A526" s="57"/>
      <c r="C526" s="28"/>
      <c r="G526" s="29"/>
      <c r="J526" s="58"/>
    </row>
    <row r="527" spans="1:10" ht="30" customHeight="1" x14ac:dyDescent="0.25">
      <c r="A527" s="57"/>
      <c r="C527" s="28"/>
      <c r="G527" s="29"/>
      <c r="J527" s="58"/>
    </row>
    <row r="528" spans="1:10" ht="30" customHeight="1" x14ac:dyDescent="0.25">
      <c r="A528" s="57"/>
      <c r="C528" s="28"/>
      <c r="G528" s="29"/>
      <c r="J528" s="58"/>
    </row>
    <row r="529" spans="1:10" ht="30" customHeight="1" x14ac:dyDescent="0.25">
      <c r="A529" s="57"/>
      <c r="C529" s="28"/>
      <c r="G529" s="29"/>
      <c r="J529" s="58"/>
    </row>
    <row r="530" spans="1:10" ht="30" customHeight="1" x14ac:dyDescent="0.25">
      <c r="A530" s="57"/>
      <c r="C530" s="28"/>
      <c r="G530" s="29"/>
      <c r="J530" s="58"/>
    </row>
    <row r="531" spans="1:10" ht="30" customHeight="1" x14ac:dyDescent="0.25">
      <c r="A531" s="57"/>
      <c r="C531" s="28"/>
      <c r="G531" s="29"/>
      <c r="J531" s="58"/>
    </row>
    <row r="532" spans="1:10" ht="30" customHeight="1" x14ac:dyDescent="0.25">
      <c r="A532" s="57"/>
      <c r="C532" s="28"/>
      <c r="G532" s="29"/>
      <c r="J532" s="58"/>
    </row>
    <row r="533" spans="1:10" ht="30" customHeight="1" x14ac:dyDescent="0.25">
      <c r="A533" s="57"/>
      <c r="C533" s="28"/>
      <c r="G533" s="29"/>
      <c r="J533" s="58"/>
    </row>
    <row r="534" spans="1:10" ht="30" customHeight="1" x14ac:dyDescent="0.25">
      <c r="A534" s="57"/>
      <c r="C534" s="28"/>
      <c r="G534" s="29"/>
      <c r="J534" s="58"/>
    </row>
    <row r="535" spans="1:10" ht="30" customHeight="1" x14ac:dyDescent="0.25">
      <c r="A535" s="57"/>
      <c r="C535" s="28"/>
      <c r="G535" s="29"/>
      <c r="J535" s="58"/>
    </row>
    <row r="536" spans="1:10" ht="30" customHeight="1" x14ac:dyDescent="0.25">
      <c r="A536" s="57"/>
      <c r="C536" s="28"/>
      <c r="G536" s="29"/>
      <c r="J536" s="58"/>
    </row>
    <row r="537" spans="1:10" ht="30" customHeight="1" x14ac:dyDescent="0.25">
      <c r="A537" s="57"/>
      <c r="C537" s="28"/>
      <c r="G537" s="29"/>
      <c r="J537" s="58"/>
    </row>
    <row r="538" spans="1:10" ht="30" customHeight="1" x14ac:dyDescent="0.25">
      <c r="A538" s="57"/>
      <c r="C538" s="28"/>
      <c r="G538" s="29"/>
      <c r="J538" s="58"/>
    </row>
    <row r="539" spans="1:10" ht="30" customHeight="1" x14ac:dyDescent="0.25">
      <c r="A539" s="57"/>
      <c r="C539" s="28"/>
      <c r="G539" s="29"/>
      <c r="J539" s="58"/>
    </row>
    <row r="540" spans="1:10" ht="30" customHeight="1" x14ac:dyDescent="0.25">
      <c r="A540" s="57"/>
      <c r="C540" s="28"/>
      <c r="G540" s="29"/>
      <c r="J540" s="58"/>
    </row>
    <row r="541" spans="1:10" ht="30" customHeight="1" x14ac:dyDescent="0.25">
      <c r="A541" s="57"/>
      <c r="C541" s="28"/>
      <c r="G541" s="29"/>
      <c r="J541" s="58"/>
    </row>
    <row r="542" spans="1:10" ht="30" customHeight="1" x14ac:dyDescent="0.25">
      <c r="A542" s="57"/>
      <c r="C542" s="28"/>
      <c r="G542" s="29"/>
      <c r="J542" s="58"/>
    </row>
    <row r="543" spans="1:10" ht="30" customHeight="1" x14ac:dyDescent="0.25">
      <c r="A543" s="57"/>
      <c r="C543" s="28"/>
      <c r="G543" s="29"/>
      <c r="J543" s="58"/>
    </row>
    <row r="544" spans="1:10" ht="30" customHeight="1" x14ac:dyDescent="0.25">
      <c r="A544" s="57"/>
      <c r="C544" s="28"/>
      <c r="G544" s="29"/>
      <c r="J544" s="58"/>
    </row>
    <row r="545" spans="1:10" ht="30" customHeight="1" x14ac:dyDescent="0.25">
      <c r="A545" s="57"/>
      <c r="C545" s="28"/>
      <c r="G545" s="29"/>
      <c r="J545" s="58"/>
    </row>
    <row r="546" spans="1:10" ht="30" customHeight="1" x14ac:dyDescent="0.25">
      <c r="A546" s="57"/>
      <c r="C546" s="28"/>
      <c r="G546" s="29"/>
      <c r="J546" s="58"/>
    </row>
    <row r="547" spans="1:10" ht="30" customHeight="1" x14ac:dyDescent="0.25">
      <c r="A547" s="57"/>
      <c r="C547" s="28"/>
      <c r="G547" s="29"/>
      <c r="J547" s="58"/>
    </row>
    <row r="548" spans="1:10" ht="30" customHeight="1" x14ac:dyDescent="0.25">
      <c r="A548" s="57"/>
      <c r="C548" s="28"/>
      <c r="G548" s="29"/>
      <c r="J548" s="58"/>
    </row>
    <row r="549" spans="1:10" ht="30" customHeight="1" x14ac:dyDescent="0.25">
      <c r="A549" s="57"/>
      <c r="C549" s="28"/>
      <c r="G549" s="29"/>
      <c r="J549" s="58"/>
    </row>
    <row r="550" spans="1:10" ht="30" customHeight="1" x14ac:dyDescent="0.25">
      <c r="A550" s="57"/>
      <c r="C550" s="28"/>
      <c r="G550" s="29"/>
      <c r="J550" s="58"/>
    </row>
    <row r="551" spans="1:10" ht="30" customHeight="1" x14ac:dyDescent="0.25">
      <c r="A551" s="57"/>
      <c r="C551" s="28"/>
      <c r="G551" s="29"/>
      <c r="J551" s="58"/>
    </row>
    <row r="552" spans="1:10" ht="30" customHeight="1" x14ac:dyDescent="0.25">
      <c r="A552" s="57"/>
      <c r="C552" s="28"/>
      <c r="G552" s="29"/>
      <c r="J552" s="58"/>
    </row>
    <row r="553" spans="1:10" ht="30" customHeight="1" x14ac:dyDescent="0.25">
      <c r="A553" s="57"/>
      <c r="C553" s="28"/>
      <c r="G553" s="29"/>
      <c r="J553" s="58"/>
    </row>
    <row r="554" spans="1:10" ht="30" customHeight="1" x14ac:dyDescent="0.25">
      <c r="A554" s="57"/>
      <c r="C554" s="28"/>
      <c r="G554" s="29"/>
      <c r="J554" s="58"/>
    </row>
    <row r="555" spans="1:10" ht="30" customHeight="1" x14ac:dyDescent="0.25">
      <c r="A555" s="57"/>
      <c r="C555" s="28"/>
      <c r="G555" s="29"/>
      <c r="J555" s="58"/>
    </row>
    <row r="556" spans="1:10" ht="30" customHeight="1" x14ac:dyDescent="0.25">
      <c r="A556" s="57"/>
      <c r="C556" s="28"/>
      <c r="G556" s="29"/>
      <c r="J556" s="58"/>
    </row>
    <row r="557" spans="1:10" ht="30" customHeight="1" x14ac:dyDescent="0.25">
      <c r="A557" s="57"/>
      <c r="C557" s="28"/>
      <c r="G557" s="29"/>
      <c r="J557" s="58"/>
    </row>
    <row r="558" spans="1:10" ht="30" customHeight="1" x14ac:dyDescent="0.25">
      <c r="A558" s="57"/>
      <c r="C558" s="28"/>
      <c r="G558" s="29"/>
      <c r="J558" s="58"/>
    </row>
    <row r="559" spans="1:10" ht="30" customHeight="1" x14ac:dyDescent="0.25">
      <c r="A559" s="57"/>
      <c r="C559" s="28"/>
      <c r="G559" s="29"/>
      <c r="J559" s="58"/>
    </row>
    <row r="560" spans="1:10" ht="30" customHeight="1" x14ac:dyDescent="0.25">
      <c r="A560" s="57"/>
      <c r="C560" s="28"/>
      <c r="G560" s="29"/>
      <c r="J560" s="58"/>
    </row>
    <row r="561" spans="1:10" ht="30" customHeight="1" x14ac:dyDescent="0.25">
      <c r="A561" s="57"/>
      <c r="C561" s="28"/>
      <c r="G561" s="29"/>
      <c r="J561" s="58"/>
    </row>
    <row r="562" spans="1:10" ht="30" customHeight="1" x14ac:dyDescent="0.25">
      <c r="A562" s="57"/>
      <c r="C562" s="28"/>
      <c r="G562" s="29"/>
      <c r="J562" s="58"/>
    </row>
    <row r="563" spans="1:10" ht="30" customHeight="1" x14ac:dyDescent="0.25">
      <c r="A563" s="57"/>
      <c r="C563" s="28"/>
      <c r="G563" s="29"/>
      <c r="J563" s="58"/>
    </row>
    <row r="564" spans="1:10" ht="30" customHeight="1" x14ac:dyDescent="0.25">
      <c r="A564" s="57"/>
      <c r="C564" s="28"/>
      <c r="G564" s="29"/>
      <c r="J564" s="58"/>
    </row>
    <row r="565" spans="1:10" ht="30" customHeight="1" x14ac:dyDescent="0.25">
      <c r="A565" s="57"/>
      <c r="C565" s="28"/>
      <c r="G565" s="29"/>
      <c r="J565" s="58"/>
    </row>
    <row r="566" spans="1:10" ht="30" customHeight="1" x14ac:dyDescent="0.25">
      <c r="A566" s="57"/>
      <c r="C566" s="28"/>
      <c r="G566" s="29"/>
      <c r="J566" s="58"/>
    </row>
    <row r="567" spans="1:10" ht="30" customHeight="1" x14ac:dyDescent="0.25">
      <c r="A567" s="57"/>
      <c r="C567" s="28"/>
      <c r="G567" s="29"/>
      <c r="J567" s="58"/>
    </row>
    <row r="568" spans="1:10" ht="30" customHeight="1" x14ac:dyDescent="0.25">
      <c r="A568" s="57"/>
      <c r="C568" s="28"/>
      <c r="G568" s="29"/>
      <c r="J568" s="58"/>
    </row>
    <row r="569" spans="1:10" ht="30" customHeight="1" x14ac:dyDescent="0.25">
      <c r="A569" s="57"/>
      <c r="C569" s="28"/>
      <c r="G569" s="29"/>
      <c r="J569" s="58"/>
    </row>
    <row r="570" spans="1:10" ht="30" customHeight="1" x14ac:dyDescent="0.25">
      <c r="A570" s="57"/>
      <c r="C570" s="28"/>
      <c r="G570" s="29"/>
      <c r="J570" s="58"/>
    </row>
    <row r="571" spans="1:10" ht="30" customHeight="1" x14ac:dyDescent="0.25">
      <c r="A571" s="57"/>
      <c r="C571" s="28"/>
      <c r="G571" s="29"/>
      <c r="J571" s="58"/>
    </row>
    <row r="572" spans="1:10" ht="30" customHeight="1" x14ac:dyDescent="0.25">
      <c r="A572" s="57"/>
      <c r="C572" s="28"/>
      <c r="G572" s="29"/>
      <c r="J572" s="58"/>
    </row>
    <row r="573" spans="1:10" ht="30" customHeight="1" x14ac:dyDescent="0.25">
      <c r="A573" s="57"/>
      <c r="C573" s="28"/>
      <c r="G573" s="29"/>
      <c r="J573" s="58"/>
    </row>
    <row r="574" spans="1:10" ht="30" customHeight="1" x14ac:dyDescent="0.25">
      <c r="A574" s="57"/>
      <c r="C574" s="28"/>
      <c r="G574" s="29"/>
      <c r="J574" s="58"/>
    </row>
    <row r="575" spans="1:10" ht="30" customHeight="1" x14ac:dyDescent="0.25">
      <c r="A575" s="57"/>
      <c r="C575" s="28"/>
      <c r="G575" s="29"/>
      <c r="J575" s="58"/>
    </row>
    <row r="576" spans="1:10" ht="30" customHeight="1" x14ac:dyDescent="0.25">
      <c r="A576" s="57"/>
      <c r="C576" s="28"/>
      <c r="G576" s="29"/>
      <c r="J576" s="58"/>
    </row>
    <row r="577" spans="1:10" ht="30" customHeight="1" x14ac:dyDescent="0.25">
      <c r="A577" s="57"/>
      <c r="C577" s="28"/>
      <c r="G577" s="29"/>
      <c r="J577" s="58"/>
    </row>
    <row r="578" spans="1:10" ht="30" customHeight="1" x14ac:dyDescent="0.25">
      <c r="A578" s="57"/>
      <c r="C578" s="28"/>
      <c r="G578" s="29"/>
      <c r="J578" s="58"/>
    </row>
    <row r="579" spans="1:10" ht="30" customHeight="1" x14ac:dyDescent="0.25">
      <c r="A579" s="57"/>
      <c r="C579" s="28"/>
      <c r="G579" s="29"/>
      <c r="J579" s="58"/>
    </row>
    <row r="580" spans="1:10" ht="30" customHeight="1" x14ac:dyDescent="0.25">
      <c r="A580" s="57"/>
      <c r="C580" s="28"/>
      <c r="G580" s="29"/>
      <c r="J580" s="58"/>
    </row>
    <row r="581" spans="1:10" ht="30" customHeight="1" x14ac:dyDescent="0.25">
      <c r="A581" s="57"/>
      <c r="C581" s="28"/>
      <c r="G581" s="29"/>
      <c r="J581" s="58"/>
    </row>
    <row r="582" spans="1:10" ht="30" customHeight="1" x14ac:dyDescent="0.25">
      <c r="A582" s="57"/>
      <c r="C582" s="28"/>
      <c r="G582" s="29"/>
      <c r="J582" s="58"/>
    </row>
    <row r="583" spans="1:10" ht="30" customHeight="1" x14ac:dyDescent="0.25">
      <c r="A583" s="57"/>
      <c r="C583" s="28"/>
      <c r="G583" s="29"/>
      <c r="J583" s="58"/>
    </row>
    <row r="584" spans="1:10" ht="30" customHeight="1" x14ac:dyDescent="0.25">
      <c r="A584" s="57"/>
      <c r="C584" s="28"/>
      <c r="G584" s="29"/>
      <c r="J584" s="58"/>
    </row>
    <row r="585" spans="1:10" ht="30" customHeight="1" x14ac:dyDescent="0.25">
      <c r="A585" s="57"/>
      <c r="C585" s="28"/>
      <c r="G585" s="29"/>
      <c r="J585" s="58"/>
    </row>
    <row r="586" spans="1:10" ht="30" customHeight="1" x14ac:dyDescent="0.25">
      <c r="A586" s="57"/>
      <c r="C586" s="28"/>
      <c r="G586" s="29"/>
      <c r="J586" s="58"/>
    </row>
    <row r="587" spans="1:10" ht="30" customHeight="1" x14ac:dyDescent="0.25">
      <c r="A587" s="57"/>
      <c r="C587" s="28"/>
      <c r="G587" s="29"/>
      <c r="J587" s="58"/>
    </row>
    <row r="588" spans="1:10" ht="30" customHeight="1" x14ac:dyDescent="0.25">
      <c r="A588" s="57"/>
      <c r="C588" s="28"/>
      <c r="G588" s="29"/>
      <c r="J588" s="58"/>
    </row>
    <row r="589" spans="1:10" ht="30" customHeight="1" x14ac:dyDescent="0.25">
      <c r="A589" s="57"/>
      <c r="C589" s="28"/>
      <c r="G589" s="29"/>
      <c r="J589" s="58"/>
    </row>
    <row r="590" spans="1:10" ht="30" customHeight="1" x14ac:dyDescent="0.25">
      <c r="A590" s="57"/>
      <c r="C590" s="28"/>
      <c r="G590" s="29"/>
      <c r="J590" s="58"/>
    </row>
    <row r="591" spans="1:10" ht="30" customHeight="1" x14ac:dyDescent="0.25">
      <c r="A591" s="57"/>
      <c r="C591" s="28"/>
      <c r="G591" s="29"/>
      <c r="J591" s="58"/>
    </row>
    <row r="592" spans="1:10" ht="30" customHeight="1" x14ac:dyDescent="0.25">
      <c r="A592" s="57"/>
      <c r="C592" s="28"/>
      <c r="G592" s="29"/>
      <c r="J592" s="58"/>
    </row>
    <row r="593" spans="1:10" ht="30" customHeight="1" x14ac:dyDescent="0.25">
      <c r="A593" s="57"/>
      <c r="C593" s="28"/>
      <c r="G593" s="29"/>
      <c r="J593" s="58"/>
    </row>
    <row r="594" spans="1:10" ht="30" customHeight="1" x14ac:dyDescent="0.25">
      <c r="A594" s="57"/>
      <c r="C594" s="28"/>
      <c r="G594" s="29"/>
      <c r="J594" s="58"/>
    </row>
    <row r="595" spans="1:10" ht="30" customHeight="1" x14ac:dyDescent="0.25">
      <c r="A595" s="57"/>
      <c r="C595" s="28"/>
      <c r="G595" s="29"/>
      <c r="J595" s="58"/>
    </row>
    <row r="596" spans="1:10" ht="30" customHeight="1" x14ac:dyDescent="0.25">
      <c r="A596" s="57"/>
      <c r="C596" s="28"/>
      <c r="G596" s="29"/>
      <c r="J596" s="58"/>
    </row>
    <row r="597" spans="1:10" ht="30" customHeight="1" x14ac:dyDescent="0.25">
      <c r="A597" s="57"/>
      <c r="C597" s="28"/>
      <c r="G597" s="29"/>
      <c r="J597" s="58"/>
    </row>
    <row r="598" spans="1:10" ht="30" customHeight="1" x14ac:dyDescent="0.25">
      <c r="A598" s="57"/>
      <c r="C598" s="28"/>
      <c r="G598" s="29"/>
      <c r="J598" s="58"/>
    </row>
    <row r="599" spans="1:10" ht="30" customHeight="1" x14ac:dyDescent="0.25">
      <c r="A599" s="57"/>
      <c r="C599" s="28"/>
      <c r="G599" s="29"/>
      <c r="J599" s="58"/>
    </row>
    <row r="600" spans="1:10" ht="30" customHeight="1" x14ac:dyDescent="0.25">
      <c r="A600" s="57"/>
      <c r="C600" s="28"/>
      <c r="G600" s="29"/>
      <c r="J600" s="58"/>
    </row>
    <row r="601" spans="1:10" ht="30" customHeight="1" x14ac:dyDescent="0.25">
      <c r="A601" s="57"/>
      <c r="C601" s="28"/>
      <c r="G601" s="29"/>
      <c r="J601" s="58"/>
    </row>
    <row r="602" spans="1:10" ht="30" customHeight="1" x14ac:dyDescent="0.25">
      <c r="A602" s="57"/>
      <c r="C602" s="28"/>
      <c r="G602" s="29"/>
      <c r="J602" s="58"/>
    </row>
    <row r="603" spans="1:10" ht="30" customHeight="1" x14ac:dyDescent="0.25">
      <c r="A603" s="57"/>
      <c r="C603" s="28"/>
      <c r="G603" s="29"/>
      <c r="J603" s="58"/>
    </row>
    <row r="604" spans="1:10" ht="30" customHeight="1" x14ac:dyDescent="0.25">
      <c r="A604" s="57"/>
      <c r="C604" s="28"/>
      <c r="G604" s="29"/>
      <c r="J604" s="58"/>
    </row>
    <row r="605" spans="1:10" ht="30" customHeight="1" x14ac:dyDescent="0.25">
      <c r="A605" s="57"/>
      <c r="C605" s="28"/>
      <c r="G605" s="29"/>
      <c r="J605" s="58"/>
    </row>
    <row r="606" spans="1:10" ht="30" customHeight="1" x14ac:dyDescent="0.25">
      <c r="A606" s="57"/>
      <c r="C606" s="28"/>
      <c r="G606" s="29"/>
      <c r="J606" s="58"/>
    </row>
    <row r="607" spans="1:10" ht="30" customHeight="1" x14ac:dyDescent="0.25">
      <c r="A607" s="57"/>
      <c r="C607" s="28"/>
      <c r="G607" s="29"/>
      <c r="J607" s="58"/>
    </row>
    <row r="608" spans="1:10" ht="30" customHeight="1" x14ac:dyDescent="0.25">
      <c r="A608" s="57"/>
      <c r="C608" s="28"/>
      <c r="G608" s="29"/>
      <c r="J608" s="58"/>
    </row>
    <row r="609" spans="1:10" ht="30" customHeight="1" x14ac:dyDescent="0.25">
      <c r="A609" s="57"/>
      <c r="C609" s="28"/>
      <c r="G609" s="29"/>
      <c r="J609" s="58"/>
    </row>
    <row r="610" spans="1:10" ht="30" customHeight="1" x14ac:dyDescent="0.25">
      <c r="A610" s="57"/>
      <c r="C610" s="28"/>
      <c r="G610" s="29"/>
      <c r="J610" s="58"/>
    </row>
    <row r="611" spans="1:10" ht="30" customHeight="1" x14ac:dyDescent="0.25">
      <c r="A611" s="57"/>
      <c r="C611" s="28"/>
      <c r="G611" s="29"/>
      <c r="J611" s="58"/>
    </row>
    <row r="612" spans="1:10" ht="30" customHeight="1" x14ac:dyDescent="0.25">
      <c r="A612" s="57"/>
      <c r="C612" s="28"/>
      <c r="G612" s="29"/>
      <c r="J612" s="58"/>
    </row>
    <row r="613" spans="1:10" ht="30" customHeight="1" x14ac:dyDescent="0.25">
      <c r="A613" s="57"/>
      <c r="C613" s="28"/>
      <c r="G613" s="29"/>
      <c r="J613" s="58"/>
    </row>
    <row r="614" spans="1:10" ht="30" customHeight="1" x14ac:dyDescent="0.25">
      <c r="A614" s="57"/>
      <c r="C614" s="28"/>
      <c r="G614" s="29"/>
      <c r="J614" s="58"/>
    </row>
    <row r="615" spans="1:10" ht="30" customHeight="1" x14ac:dyDescent="0.25">
      <c r="A615" s="57"/>
      <c r="C615" s="28"/>
      <c r="G615" s="29"/>
      <c r="J615" s="58"/>
    </row>
    <row r="616" spans="1:10" ht="30" customHeight="1" x14ac:dyDescent="0.25">
      <c r="A616" s="57"/>
      <c r="C616" s="28"/>
      <c r="G616" s="29"/>
      <c r="J616" s="58"/>
    </row>
    <row r="617" spans="1:10" ht="30" customHeight="1" x14ac:dyDescent="0.25">
      <c r="A617" s="57"/>
      <c r="C617" s="28"/>
      <c r="G617" s="29"/>
      <c r="J617" s="58"/>
    </row>
    <row r="618" spans="1:10" ht="30" customHeight="1" x14ac:dyDescent="0.25">
      <c r="A618" s="57"/>
      <c r="C618" s="28"/>
      <c r="G618" s="29"/>
      <c r="J618" s="58"/>
    </row>
    <row r="619" spans="1:10" ht="30" customHeight="1" x14ac:dyDescent="0.25">
      <c r="A619" s="57"/>
      <c r="C619" s="28"/>
      <c r="G619" s="29"/>
      <c r="J619" s="58"/>
    </row>
    <row r="620" spans="1:10" ht="30" customHeight="1" x14ac:dyDescent="0.25">
      <c r="A620" s="57"/>
      <c r="C620" s="28"/>
      <c r="G620" s="29"/>
      <c r="J620" s="58"/>
    </row>
    <row r="621" spans="1:10" ht="30" customHeight="1" x14ac:dyDescent="0.25">
      <c r="A621" s="57"/>
      <c r="C621" s="28"/>
      <c r="G621" s="29"/>
      <c r="J621" s="58"/>
    </row>
    <row r="622" spans="1:10" ht="30" customHeight="1" x14ac:dyDescent="0.25">
      <c r="A622" s="57"/>
      <c r="C622" s="28"/>
      <c r="G622" s="29"/>
      <c r="J622" s="58"/>
    </row>
    <row r="623" spans="1:10" ht="30" customHeight="1" x14ac:dyDescent="0.25">
      <c r="A623" s="57"/>
      <c r="C623" s="28"/>
      <c r="G623" s="29"/>
      <c r="J623" s="58"/>
    </row>
    <row r="624" spans="1:10" ht="30" customHeight="1" x14ac:dyDescent="0.25">
      <c r="A624" s="57"/>
      <c r="C624" s="28"/>
      <c r="G624" s="29"/>
      <c r="J624" s="58"/>
    </row>
    <row r="625" spans="1:10" ht="30" customHeight="1" x14ac:dyDescent="0.25">
      <c r="A625" s="57"/>
      <c r="C625" s="28"/>
      <c r="G625" s="29"/>
      <c r="J625" s="58"/>
    </row>
    <row r="626" spans="1:10" ht="30" customHeight="1" x14ac:dyDescent="0.25">
      <c r="A626" s="57"/>
      <c r="C626" s="28"/>
      <c r="G626" s="29"/>
      <c r="J626" s="58"/>
    </row>
    <row r="627" spans="1:10" ht="30" customHeight="1" x14ac:dyDescent="0.25">
      <c r="A627" s="57"/>
      <c r="C627" s="28"/>
      <c r="G627" s="29"/>
      <c r="J627" s="58"/>
    </row>
    <row r="628" spans="1:10" ht="30" customHeight="1" x14ac:dyDescent="0.25">
      <c r="A628" s="57"/>
      <c r="C628" s="28"/>
      <c r="G628" s="29"/>
      <c r="J628" s="58"/>
    </row>
    <row r="629" spans="1:10" ht="30" customHeight="1" x14ac:dyDescent="0.25">
      <c r="A629" s="57"/>
      <c r="C629" s="28"/>
      <c r="G629" s="29"/>
      <c r="J629" s="58"/>
    </row>
    <row r="630" spans="1:10" ht="30" customHeight="1" x14ac:dyDescent="0.25">
      <c r="A630" s="57"/>
      <c r="C630" s="28"/>
      <c r="G630" s="29"/>
      <c r="J630" s="58"/>
    </row>
    <row r="631" spans="1:10" ht="30" customHeight="1" x14ac:dyDescent="0.25">
      <c r="A631" s="57"/>
      <c r="C631" s="28"/>
      <c r="G631" s="29"/>
      <c r="J631" s="58"/>
    </row>
    <row r="632" spans="1:10" ht="30" customHeight="1" x14ac:dyDescent="0.25">
      <c r="A632" s="57"/>
      <c r="C632" s="28"/>
      <c r="G632" s="29"/>
      <c r="J632" s="58"/>
    </row>
    <row r="633" spans="1:10" ht="30" customHeight="1" x14ac:dyDescent="0.25">
      <c r="A633" s="57"/>
      <c r="C633" s="28"/>
      <c r="G633" s="29"/>
      <c r="J633" s="58"/>
    </row>
    <row r="634" spans="1:10" ht="30" customHeight="1" x14ac:dyDescent="0.25">
      <c r="A634" s="57"/>
      <c r="C634" s="28"/>
      <c r="G634" s="29"/>
      <c r="J634" s="58"/>
    </row>
    <row r="635" spans="1:10" ht="30" customHeight="1" x14ac:dyDescent="0.25">
      <c r="A635" s="57"/>
      <c r="C635" s="28"/>
      <c r="G635" s="29"/>
      <c r="J635" s="58"/>
    </row>
    <row r="636" spans="1:10" ht="30" customHeight="1" x14ac:dyDescent="0.25">
      <c r="A636" s="57"/>
      <c r="C636" s="28"/>
      <c r="G636" s="29"/>
      <c r="J636" s="58"/>
    </row>
    <row r="637" spans="1:10" ht="30" customHeight="1" x14ac:dyDescent="0.25">
      <c r="A637" s="57"/>
      <c r="C637" s="28"/>
      <c r="G637" s="29"/>
      <c r="J637" s="58"/>
    </row>
    <row r="638" spans="1:10" ht="30" customHeight="1" x14ac:dyDescent="0.25">
      <c r="A638" s="57"/>
      <c r="C638" s="28"/>
      <c r="G638" s="29"/>
      <c r="J638" s="58"/>
    </row>
    <row r="639" spans="1:10" ht="30" customHeight="1" x14ac:dyDescent="0.25">
      <c r="A639" s="57"/>
      <c r="C639" s="28"/>
      <c r="G639" s="29"/>
      <c r="J639" s="58"/>
    </row>
    <row r="640" spans="1:10" ht="30" customHeight="1" x14ac:dyDescent="0.25">
      <c r="A640" s="57"/>
      <c r="C640" s="28"/>
      <c r="G640" s="29"/>
      <c r="J640" s="58"/>
    </row>
    <row r="641" spans="1:10" ht="30" customHeight="1" x14ac:dyDescent="0.25">
      <c r="A641" s="57"/>
      <c r="C641" s="28"/>
      <c r="G641" s="29"/>
      <c r="J641" s="58"/>
    </row>
    <row r="642" spans="1:10" ht="30" customHeight="1" x14ac:dyDescent="0.25">
      <c r="A642" s="57"/>
      <c r="C642" s="28"/>
      <c r="G642" s="29"/>
      <c r="J642" s="58"/>
    </row>
    <row r="643" spans="1:10" ht="30" customHeight="1" x14ac:dyDescent="0.25">
      <c r="A643" s="57"/>
      <c r="C643" s="28"/>
      <c r="G643" s="29"/>
      <c r="J643" s="58"/>
    </row>
    <row r="644" spans="1:10" ht="30" customHeight="1" x14ac:dyDescent="0.25">
      <c r="A644" s="57"/>
      <c r="C644" s="28"/>
      <c r="G644" s="29"/>
      <c r="J644" s="58"/>
    </row>
    <row r="645" spans="1:10" ht="30" customHeight="1" x14ac:dyDescent="0.25">
      <c r="A645" s="57"/>
      <c r="C645" s="28"/>
      <c r="G645" s="29"/>
      <c r="J645" s="58"/>
    </row>
    <row r="646" spans="1:10" ht="30" customHeight="1" x14ac:dyDescent="0.25">
      <c r="A646" s="57"/>
      <c r="C646" s="28"/>
      <c r="G646" s="29"/>
      <c r="J646" s="58"/>
    </row>
    <row r="647" spans="1:10" ht="30" customHeight="1" x14ac:dyDescent="0.25">
      <c r="A647" s="57"/>
      <c r="C647" s="28"/>
      <c r="G647" s="29"/>
      <c r="J647" s="58"/>
    </row>
    <row r="648" spans="1:10" ht="30" customHeight="1" x14ac:dyDescent="0.25">
      <c r="A648" s="57"/>
      <c r="C648" s="28"/>
      <c r="G648" s="29"/>
      <c r="J648" s="58"/>
    </row>
    <row r="649" spans="1:10" ht="30" customHeight="1" x14ac:dyDescent="0.25">
      <c r="A649" s="57"/>
      <c r="C649" s="28"/>
      <c r="G649" s="29"/>
      <c r="J649" s="58"/>
    </row>
    <row r="650" spans="1:10" ht="30" customHeight="1" x14ac:dyDescent="0.25">
      <c r="A650" s="57"/>
      <c r="C650" s="28"/>
      <c r="G650" s="29"/>
      <c r="J650" s="58"/>
    </row>
    <row r="651" spans="1:10" ht="30" customHeight="1" x14ac:dyDescent="0.25">
      <c r="A651" s="57"/>
      <c r="C651" s="28"/>
      <c r="G651" s="29"/>
      <c r="J651" s="58"/>
    </row>
    <row r="652" spans="1:10" ht="30" customHeight="1" x14ac:dyDescent="0.25">
      <c r="A652" s="57"/>
      <c r="C652" s="28"/>
      <c r="G652" s="29"/>
      <c r="J652" s="58"/>
    </row>
    <row r="653" spans="1:10" ht="30" customHeight="1" x14ac:dyDescent="0.25">
      <c r="A653" s="57"/>
      <c r="C653" s="28"/>
      <c r="G653" s="29"/>
      <c r="J653" s="58"/>
    </row>
    <row r="654" spans="1:10" ht="30" customHeight="1" x14ac:dyDescent="0.25">
      <c r="A654" s="57"/>
      <c r="C654" s="28"/>
      <c r="G654" s="29"/>
      <c r="J654" s="58"/>
    </row>
    <row r="655" spans="1:10" ht="30" customHeight="1" x14ac:dyDescent="0.25">
      <c r="A655" s="57"/>
      <c r="C655" s="28"/>
      <c r="G655" s="29"/>
      <c r="J655" s="58"/>
    </row>
    <row r="656" spans="1:10" ht="30" customHeight="1" x14ac:dyDescent="0.25">
      <c r="A656" s="57"/>
      <c r="C656" s="28"/>
      <c r="G656" s="29"/>
      <c r="J656" s="58"/>
    </row>
    <row r="657" spans="1:10" ht="30" customHeight="1" x14ac:dyDescent="0.25">
      <c r="A657" s="57"/>
      <c r="C657" s="28"/>
      <c r="G657" s="29"/>
      <c r="J657" s="58"/>
    </row>
    <row r="658" spans="1:10" ht="30" customHeight="1" x14ac:dyDescent="0.25">
      <c r="A658" s="57"/>
      <c r="C658" s="28"/>
      <c r="G658" s="29"/>
      <c r="J658" s="58"/>
    </row>
    <row r="659" spans="1:10" ht="30" customHeight="1" x14ac:dyDescent="0.25">
      <c r="A659" s="57"/>
      <c r="C659" s="28"/>
      <c r="G659" s="29"/>
      <c r="J659" s="58"/>
    </row>
    <row r="660" spans="1:10" ht="30" customHeight="1" x14ac:dyDescent="0.25">
      <c r="A660" s="57"/>
      <c r="C660" s="28"/>
      <c r="G660" s="29"/>
      <c r="J660" s="58"/>
    </row>
    <row r="661" spans="1:10" ht="30" customHeight="1" x14ac:dyDescent="0.25">
      <c r="A661" s="57"/>
      <c r="C661" s="28"/>
      <c r="G661" s="29"/>
      <c r="J661" s="58"/>
    </row>
    <row r="662" spans="1:10" ht="30" customHeight="1" x14ac:dyDescent="0.25">
      <c r="A662" s="57"/>
      <c r="C662" s="28"/>
      <c r="G662" s="29"/>
      <c r="J662" s="58"/>
    </row>
    <row r="663" spans="1:10" ht="30" customHeight="1" x14ac:dyDescent="0.25">
      <c r="A663" s="57"/>
      <c r="C663" s="28"/>
      <c r="G663" s="29"/>
      <c r="J663" s="58"/>
    </row>
    <row r="664" spans="1:10" ht="30" customHeight="1" x14ac:dyDescent="0.25">
      <c r="A664" s="57"/>
      <c r="C664" s="28"/>
      <c r="G664" s="29"/>
      <c r="J664" s="58"/>
    </row>
    <row r="665" spans="1:10" ht="30" customHeight="1" x14ac:dyDescent="0.25">
      <c r="A665" s="57"/>
      <c r="C665" s="28"/>
      <c r="G665" s="29"/>
      <c r="J665" s="58"/>
    </row>
    <row r="666" spans="1:10" ht="30" customHeight="1" x14ac:dyDescent="0.25">
      <c r="A666" s="57"/>
      <c r="C666" s="28"/>
      <c r="G666" s="29"/>
      <c r="J666" s="58"/>
    </row>
    <row r="667" spans="1:10" ht="30" customHeight="1" x14ac:dyDescent="0.25">
      <c r="A667" s="57"/>
      <c r="C667" s="28"/>
      <c r="G667" s="29"/>
      <c r="J667" s="58"/>
    </row>
    <row r="668" spans="1:10" ht="30" customHeight="1" x14ac:dyDescent="0.25">
      <c r="A668" s="57"/>
      <c r="C668" s="28"/>
      <c r="G668" s="29"/>
      <c r="J668" s="58"/>
    </row>
    <row r="669" spans="1:10" ht="30" customHeight="1" x14ac:dyDescent="0.25">
      <c r="A669" s="57"/>
      <c r="C669" s="28"/>
      <c r="G669" s="29"/>
      <c r="J669" s="58"/>
    </row>
    <row r="670" spans="1:10" ht="30" customHeight="1" x14ac:dyDescent="0.25">
      <c r="A670" s="57"/>
      <c r="C670" s="28"/>
      <c r="G670" s="29"/>
      <c r="J670" s="58"/>
    </row>
    <row r="671" spans="1:10" ht="30" customHeight="1" x14ac:dyDescent="0.25">
      <c r="A671" s="57"/>
      <c r="C671" s="28"/>
      <c r="G671" s="29"/>
      <c r="J671" s="58"/>
    </row>
    <row r="672" spans="1:10" ht="30" customHeight="1" x14ac:dyDescent="0.25">
      <c r="A672" s="57"/>
      <c r="C672" s="28"/>
      <c r="G672" s="29"/>
      <c r="J672" s="58"/>
    </row>
    <row r="673" spans="1:10" ht="30" customHeight="1" x14ac:dyDescent="0.25">
      <c r="A673" s="57"/>
      <c r="C673" s="28"/>
      <c r="G673" s="29"/>
      <c r="J673" s="58"/>
    </row>
    <row r="674" spans="1:10" ht="30" customHeight="1" x14ac:dyDescent="0.25">
      <c r="A674" s="57"/>
      <c r="C674" s="28"/>
      <c r="G674" s="29"/>
      <c r="J674" s="58"/>
    </row>
    <row r="675" spans="1:10" ht="30" customHeight="1" x14ac:dyDescent="0.25">
      <c r="A675" s="57"/>
      <c r="C675" s="28"/>
      <c r="G675" s="29"/>
      <c r="J675" s="58"/>
    </row>
    <row r="676" spans="1:10" ht="30" customHeight="1" x14ac:dyDescent="0.25">
      <c r="A676" s="57"/>
      <c r="C676" s="28"/>
      <c r="G676" s="29"/>
      <c r="J676" s="58"/>
    </row>
    <row r="677" spans="1:10" ht="30" customHeight="1" x14ac:dyDescent="0.25">
      <c r="A677" s="57"/>
      <c r="C677" s="28"/>
      <c r="G677" s="29"/>
      <c r="J677" s="58"/>
    </row>
    <row r="678" spans="1:10" ht="30" customHeight="1" x14ac:dyDescent="0.25">
      <c r="A678" s="57"/>
      <c r="C678" s="28"/>
      <c r="G678" s="29"/>
      <c r="J678" s="58"/>
    </row>
    <row r="679" spans="1:10" ht="30" customHeight="1" x14ac:dyDescent="0.25">
      <c r="A679" s="57"/>
      <c r="C679" s="28"/>
      <c r="G679" s="29"/>
      <c r="J679" s="58"/>
    </row>
    <row r="680" spans="1:10" ht="30" customHeight="1" x14ac:dyDescent="0.25">
      <c r="A680" s="57"/>
      <c r="C680" s="28"/>
      <c r="G680" s="29"/>
      <c r="J680" s="58"/>
    </row>
    <row r="681" spans="1:10" ht="30" customHeight="1" x14ac:dyDescent="0.25">
      <c r="A681" s="57"/>
      <c r="C681" s="28"/>
      <c r="G681" s="29"/>
      <c r="J681" s="58"/>
    </row>
    <row r="682" spans="1:10" ht="30" customHeight="1" x14ac:dyDescent="0.25">
      <c r="A682" s="57"/>
      <c r="C682" s="28"/>
      <c r="G682" s="29"/>
      <c r="J682" s="58"/>
    </row>
    <row r="683" spans="1:10" ht="30" customHeight="1" x14ac:dyDescent="0.25">
      <c r="A683" s="57"/>
      <c r="C683" s="28"/>
      <c r="G683" s="29"/>
      <c r="J683" s="58"/>
    </row>
    <row r="684" spans="1:10" ht="30" customHeight="1" x14ac:dyDescent="0.25">
      <c r="A684" s="57"/>
      <c r="C684" s="28"/>
      <c r="G684" s="29"/>
      <c r="J684" s="58"/>
    </row>
    <row r="685" spans="1:10" ht="30" customHeight="1" x14ac:dyDescent="0.25">
      <c r="A685" s="57"/>
      <c r="C685" s="28"/>
      <c r="G685" s="29"/>
      <c r="J685" s="58"/>
    </row>
    <row r="686" spans="1:10" ht="30" customHeight="1" x14ac:dyDescent="0.25">
      <c r="A686" s="57"/>
      <c r="C686" s="28"/>
      <c r="G686" s="29"/>
      <c r="J686" s="58"/>
    </row>
    <row r="687" spans="1:10" ht="30" customHeight="1" x14ac:dyDescent="0.25">
      <c r="A687" s="57"/>
      <c r="C687" s="28"/>
      <c r="G687" s="29"/>
      <c r="J687" s="58"/>
    </row>
    <row r="688" spans="1:10" ht="30" customHeight="1" x14ac:dyDescent="0.25">
      <c r="A688" s="57"/>
      <c r="C688" s="28"/>
      <c r="G688" s="29"/>
      <c r="J688" s="58"/>
    </row>
    <row r="689" spans="1:10" ht="30" customHeight="1" x14ac:dyDescent="0.25">
      <c r="A689" s="57"/>
      <c r="C689" s="28"/>
      <c r="G689" s="29"/>
      <c r="J689" s="58"/>
    </row>
    <row r="690" spans="1:10" ht="30" customHeight="1" x14ac:dyDescent="0.25">
      <c r="A690" s="57"/>
      <c r="C690" s="28"/>
      <c r="G690" s="29"/>
      <c r="J690" s="58"/>
    </row>
    <row r="691" spans="1:10" ht="30" customHeight="1" x14ac:dyDescent="0.25">
      <c r="A691" s="57"/>
      <c r="C691" s="28"/>
      <c r="G691" s="29"/>
      <c r="J691" s="58"/>
    </row>
    <row r="692" spans="1:10" ht="30" customHeight="1" x14ac:dyDescent="0.25">
      <c r="A692" s="57"/>
      <c r="C692" s="28"/>
      <c r="G692" s="29"/>
      <c r="J692" s="58"/>
    </row>
    <row r="693" spans="1:10" ht="30" customHeight="1" x14ac:dyDescent="0.25">
      <c r="A693" s="57"/>
      <c r="C693" s="28"/>
      <c r="G693" s="29"/>
      <c r="J693" s="58"/>
    </row>
    <row r="694" spans="1:10" ht="30" customHeight="1" x14ac:dyDescent="0.25">
      <c r="A694" s="57"/>
      <c r="C694" s="28"/>
      <c r="G694" s="29"/>
      <c r="J694" s="58"/>
    </row>
    <row r="695" spans="1:10" ht="30" customHeight="1" x14ac:dyDescent="0.25">
      <c r="A695" s="57"/>
      <c r="C695" s="28"/>
      <c r="G695" s="29"/>
      <c r="J695" s="58"/>
    </row>
    <row r="696" spans="1:10" ht="30" customHeight="1" x14ac:dyDescent="0.25">
      <c r="A696" s="57"/>
      <c r="C696" s="28"/>
      <c r="G696" s="29"/>
      <c r="J696" s="58"/>
    </row>
    <row r="697" spans="1:10" ht="30" customHeight="1" x14ac:dyDescent="0.25">
      <c r="A697" s="57"/>
      <c r="C697" s="28"/>
      <c r="G697" s="29"/>
      <c r="J697" s="58"/>
    </row>
    <row r="698" spans="1:10" ht="30" customHeight="1" x14ac:dyDescent="0.25">
      <c r="A698" s="57"/>
      <c r="C698" s="28"/>
      <c r="G698" s="29"/>
      <c r="J698" s="58"/>
    </row>
    <row r="699" spans="1:10" ht="30" customHeight="1" x14ac:dyDescent="0.25">
      <c r="A699" s="57"/>
      <c r="C699" s="28"/>
      <c r="G699" s="29"/>
      <c r="J699" s="58"/>
    </row>
    <row r="700" spans="1:10" ht="30" customHeight="1" x14ac:dyDescent="0.25">
      <c r="A700" s="57"/>
      <c r="C700" s="28"/>
      <c r="G700" s="29"/>
      <c r="J700" s="58"/>
    </row>
    <row r="701" spans="1:10" ht="30" customHeight="1" x14ac:dyDescent="0.25">
      <c r="A701" s="57"/>
      <c r="C701" s="28"/>
      <c r="G701" s="29"/>
      <c r="J701" s="58"/>
    </row>
    <row r="702" spans="1:10" ht="30" customHeight="1" x14ac:dyDescent="0.25">
      <c r="A702" s="57"/>
      <c r="C702" s="28"/>
      <c r="G702" s="29"/>
      <c r="J702" s="58"/>
    </row>
    <row r="703" spans="1:10" ht="30" customHeight="1" x14ac:dyDescent="0.25">
      <c r="A703" s="57"/>
      <c r="C703" s="28"/>
      <c r="G703" s="29"/>
      <c r="J703" s="58"/>
    </row>
    <row r="704" spans="1:10" ht="30" customHeight="1" x14ac:dyDescent="0.25">
      <c r="A704" s="57"/>
      <c r="C704" s="28"/>
      <c r="G704" s="29"/>
      <c r="J704" s="58"/>
    </row>
    <row r="705" spans="1:10" ht="30" customHeight="1" x14ac:dyDescent="0.25">
      <c r="A705" s="57"/>
      <c r="C705" s="28"/>
      <c r="G705" s="29"/>
      <c r="J705" s="58"/>
    </row>
    <row r="706" spans="1:10" ht="30" customHeight="1" x14ac:dyDescent="0.25">
      <c r="A706" s="57"/>
      <c r="C706" s="28"/>
      <c r="G706" s="29"/>
      <c r="J706" s="58"/>
    </row>
    <row r="707" spans="1:10" ht="30" customHeight="1" x14ac:dyDescent="0.25">
      <c r="A707" s="57"/>
      <c r="C707" s="28"/>
      <c r="G707" s="29"/>
      <c r="J707" s="58"/>
    </row>
    <row r="708" spans="1:10" ht="30" customHeight="1" x14ac:dyDescent="0.25">
      <c r="A708" s="57"/>
      <c r="C708" s="28"/>
      <c r="G708" s="29"/>
      <c r="J708" s="58"/>
    </row>
    <row r="709" spans="1:10" ht="30" customHeight="1" x14ac:dyDescent="0.25">
      <c r="A709" s="57"/>
      <c r="C709" s="28"/>
      <c r="G709" s="29"/>
      <c r="J709" s="58"/>
    </row>
    <row r="710" spans="1:10" ht="30" customHeight="1" x14ac:dyDescent="0.25">
      <c r="A710" s="57"/>
      <c r="C710" s="28"/>
      <c r="G710" s="29"/>
      <c r="J710" s="58"/>
    </row>
    <row r="711" spans="1:10" ht="30" customHeight="1" x14ac:dyDescent="0.25">
      <c r="A711" s="57"/>
      <c r="C711" s="28"/>
      <c r="G711" s="29"/>
      <c r="J711" s="58"/>
    </row>
    <row r="712" spans="1:10" ht="30" customHeight="1" x14ac:dyDescent="0.25">
      <c r="A712" s="57"/>
      <c r="C712" s="28"/>
      <c r="G712" s="29"/>
      <c r="J712" s="58"/>
    </row>
    <row r="713" spans="1:10" ht="30" customHeight="1" x14ac:dyDescent="0.25">
      <c r="A713" s="57"/>
      <c r="C713" s="28"/>
      <c r="G713" s="29"/>
      <c r="J713" s="58"/>
    </row>
    <row r="714" spans="1:10" ht="30" customHeight="1" x14ac:dyDescent="0.25">
      <c r="A714" s="57"/>
      <c r="C714" s="28"/>
      <c r="G714" s="29"/>
      <c r="J714" s="58"/>
    </row>
    <row r="715" spans="1:10" ht="30" customHeight="1" x14ac:dyDescent="0.25">
      <c r="A715" s="57"/>
      <c r="C715" s="28"/>
      <c r="G715" s="29"/>
      <c r="J715" s="58"/>
    </row>
    <row r="716" spans="1:10" ht="30" customHeight="1" x14ac:dyDescent="0.25">
      <c r="A716" s="57"/>
      <c r="C716" s="28"/>
      <c r="G716" s="29"/>
      <c r="J716" s="58"/>
    </row>
    <row r="717" spans="1:10" ht="30" customHeight="1" x14ac:dyDescent="0.25">
      <c r="A717" s="57"/>
      <c r="C717" s="28"/>
      <c r="G717" s="29"/>
      <c r="J717" s="58"/>
    </row>
    <row r="718" spans="1:10" ht="30" customHeight="1" x14ac:dyDescent="0.25">
      <c r="A718" s="57"/>
      <c r="C718" s="28"/>
      <c r="G718" s="29"/>
      <c r="J718" s="58"/>
    </row>
    <row r="719" spans="1:10" ht="30" customHeight="1" x14ac:dyDescent="0.25">
      <c r="A719" s="57"/>
      <c r="C719" s="28"/>
      <c r="G719" s="29"/>
      <c r="J719" s="58"/>
    </row>
    <row r="720" spans="1:10" ht="30" customHeight="1" x14ac:dyDescent="0.25">
      <c r="A720" s="57"/>
      <c r="C720" s="28"/>
      <c r="G720" s="29"/>
      <c r="J720" s="58"/>
    </row>
    <row r="721" spans="1:10" ht="30" customHeight="1" x14ac:dyDescent="0.25">
      <c r="A721" s="57"/>
      <c r="C721" s="28"/>
      <c r="G721" s="29"/>
      <c r="J721" s="58"/>
    </row>
    <row r="722" spans="1:10" ht="30" customHeight="1" x14ac:dyDescent="0.25">
      <c r="A722" s="57"/>
      <c r="C722" s="28"/>
      <c r="G722" s="29"/>
      <c r="J722" s="58"/>
    </row>
    <row r="723" spans="1:10" ht="30" customHeight="1" x14ac:dyDescent="0.25">
      <c r="A723" s="57"/>
      <c r="C723" s="28"/>
      <c r="G723" s="29"/>
      <c r="J723" s="58"/>
    </row>
    <row r="724" spans="1:10" ht="30" customHeight="1" x14ac:dyDescent="0.25">
      <c r="A724" s="57"/>
      <c r="C724" s="28"/>
      <c r="G724" s="29"/>
      <c r="J724" s="58"/>
    </row>
    <row r="725" spans="1:10" ht="30" customHeight="1" x14ac:dyDescent="0.25">
      <c r="A725" s="57"/>
      <c r="C725" s="28"/>
      <c r="G725" s="29"/>
      <c r="J725" s="58"/>
    </row>
    <row r="726" spans="1:10" ht="30" customHeight="1" x14ac:dyDescent="0.25">
      <c r="A726" s="57"/>
      <c r="C726" s="28"/>
      <c r="G726" s="29"/>
      <c r="J726" s="58"/>
    </row>
    <row r="727" spans="1:10" ht="30" customHeight="1" x14ac:dyDescent="0.25">
      <c r="A727" s="57"/>
      <c r="C727" s="28"/>
      <c r="G727" s="29"/>
      <c r="J727" s="58"/>
    </row>
    <row r="728" spans="1:10" ht="30" customHeight="1" x14ac:dyDescent="0.25">
      <c r="A728" s="57"/>
      <c r="C728" s="28"/>
      <c r="G728" s="29"/>
      <c r="J728" s="58"/>
    </row>
    <row r="729" spans="1:10" ht="30" customHeight="1" x14ac:dyDescent="0.25">
      <c r="A729" s="57"/>
      <c r="C729" s="28"/>
      <c r="G729" s="29"/>
      <c r="J729" s="58"/>
    </row>
    <row r="730" spans="1:10" ht="30" customHeight="1" x14ac:dyDescent="0.25">
      <c r="A730" s="57"/>
      <c r="C730" s="28"/>
      <c r="G730" s="29"/>
      <c r="J730" s="58"/>
    </row>
    <row r="731" spans="1:10" ht="30" customHeight="1" x14ac:dyDescent="0.25">
      <c r="A731" s="57"/>
      <c r="C731" s="28"/>
      <c r="G731" s="29"/>
      <c r="J731" s="58"/>
    </row>
    <row r="732" spans="1:10" ht="30" customHeight="1" x14ac:dyDescent="0.25">
      <c r="A732" s="57"/>
      <c r="C732" s="28"/>
      <c r="G732" s="29"/>
      <c r="J732" s="58"/>
    </row>
    <row r="733" spans="1:10" ht="30" customHeight="1" x14ac:dyDescent="0.25">
      <c r="A733" s="57"/>
      <c r="C733" s="28"/>
      <c r="G733" s="29"/>
      <c r="J733" s="58"/>
    </row>
    <row r="734" spans="1:10" ht="30" customHeight="1" x14ac:dyDescent="0.25">
      <c r="A734" s="57"/>
      <c r="C734" s="28"/>
      <c r="G734" s="29"/>
      <c r="J734" s="58"/>
    </row>
    <row r="735" spans="1:10" ht="30" customHeight="1" x14ac:dyDescent="0.25">
      <c r="A735" s="57"/>
      <c r="C735" s="28"/>
      <c r="G735" s="29"/>
      <c r="J735" s="58"/>
    </row>
    <row r="736" spans="1:10" ht="30" customHeight="1" x14ac:dyDescent="0.25">
      <c r="A736" s="57"/>
      <c r="C736" s="28"/>
      <c r="G736" s="29"/>
      <c r="J736" s="58"/>
    </row>
    <row r="737" spans="1:10" ht="30" customHeight="1" x14ac:dyDescent="0.25">
      <c r="A737" s="57"/>
      <c r="C737" s="28"/>
      <c r="G737" s="29"/>
      <c r="J737" s="58"/>
    </row>
    <row r="738" spans="1:10" ht="30" customHeight="1" x14ac:dyDescent="0.25">
      <c r="A738" s="57"/>
      <c r="C738" s="28"/>
      <c r="G738" s="29"/>
      <c r="J738" s="58"/>
    </row>
    <row r="739" spans="1:10" ht="30" customHeight="1" x14ac:dyDescent="0.25">
      <c r="A739" s="57"/>
      <c r="C739" s="28"/>
      <c r="G739" s="29"/>
      <c r="J739" s="58"/>
    </row>
    <row r="740" spans="1:10" ht="30" customHeight="1" x14ac:dyDescent="0.25">
      <c r="A740" s="57"/>
      <c r="C740" s="28"/>
      <c r="G740" s="29"/>
      <c r="J740" s="58"/>
    </row>
    <row r="741" spans="1:10" ht="30" customHeight="1" x14ac:dyDescent="0.25">
      <c r="A741" s="57"/>
      <c r="C741" s="28"/>
      <c r="G741" s="29"/>
      <c r="J741" s="58"/>
    </row>
    <row r="742" spans="1:10" ht="30" customHeight="1" x14ac:dyDescent="0.25">
      <c r="A742" s="57"/>
      <c r="C742" s="28"/>
      <c r="G742" s="29"/>
      <c r="J742" s="58"/>
    </row>
    <row r="743" spans="1:10" ht="30" customHeight="1" x14ac:dyDescent="0.25">
      <c r="A743" s="57"/>
      <c r="C743" s="28"/>
      <c r="G743" s="29"/>
      <c r="J743" s="58"/>
    </row>
    <row r="744" spans="1:10" ht="30" customHeight="1" x14ac:dyDescent="0.25">
      <c r="A744" s="57"/>
      <c r="C744" s="28"/>
      <c r="G744" s="29"/>
      <c r="J744" s="58"/>
    </row>
    <row r="745" spans="1:10" ht="30" customHeight="1" x14ac:dyDescent="0.25">
      <c r="A745" s="57"/>
      <c r="C745" s="28"/>
      <c r="G745" s="29"/>
      <c r="J745" s="58"/>
    </row>
    <row r="746" spans="1:10" ht="30" customHeight="1" x14ac:dyDescent="0.25">
      <c r="A746" s="57"/>
      <c r="C746" s="28"/>
      <c r="G746" s="29"/>
      <c r="J746" s="58"/>
    </row>
    <row r="747" spans="1:10" ht="30" customHeight="1" x14ac:dyDescent="0.25">
      <c r="A747" s="57"/>
      <c r="C747" s="28"/>
      <c r="G747" s="29"/>
      <c r="J747" s="58"/>
    </row>
    <row r="748" spans="1:10" ht="30" customHeight="1" x14ac:dyDescent="0.25">
      <c r="A748" s="57"/>
      <c r="C748" s="28"/>
      <c r="G748" s="29"/>
      <c r="J748" s="58"/>
    </row>
    <row r="749" spans="1:10" ht="30" customHeight="1" x14ac:dyDescent="0.25">
      <c r="A749" s="57"/>
      <c r="C749" s="28"/>
      <c r="G749" s="29"/>
      <c r="J749" s="58"/>
    </row>
    <row r="750" spans="1:10" ht="30" customHeight="1" x14ac:dyDescent="0.25">
      <c r="A750" s="57"/>
      <c r="C750" s="28"/>
      <c r="G750" s="29"/>
      <c r="J750" s="58"/>
    </row>
    <row r="751" spans="1:10" ht="30" customHeight="1" x14ac:dyDescent="0.25">
      <c r="A751" s="57"/>
      <c r="C751" s="28"/>
      <c r="G751" s="29"/>
      <c r="J751" s="58"/>
    </row>
    <row r="752" spans="1:10" ht="30" customHeight="1" x14ac:dyDescent="0.25">
      <c r="A752" s="57"/>
      <c r="C752" s="28"/>
      <c r="G752" s="29"/>
      <c r="J752" s="58"/>
    </row>
    <row r="753" spans="1:10" ht="30" customHeight="1" x14ac:dyDescent="0.25">
      <c r="A753" s="57"/>
      <c r="C753" s="28"/>
      <c r="G753" s="29"/>
      <c r="J753" s="58"/>
    </row>
    <row r="754" spans="1:10" ht="30" customHeight="1" x14ac:dyDescent="0.25">
      <c r="A754" s="57"/>
      <c r="C754" s="28"/>
      <c r="G754" s="29"/>
      <c r="J754" s="58"/>
    </row>
    <row r="755" spans="1:10" ht="30" customHeight="1" x14ac:dyDescent="0.25">
      <c r="A755" s="57"/>
      <c r="C755" s="28"/>
      <c r="G755" s="29"/>
      <c r="J755" s="58"/>
    </row>
    <row r="756" spans="1:10" ht="30" customHeight="1" x14ac:dyDescent="0.25">
      <c r="A756" s="57"/>
      <c r="C756" s="28"/>
      <c r="G756" s="29"/>
      <c r="J756" s="58"/>
    </row>
    <row r="757" spans="1:10" ht="30" customHeight="1" x14ac:dyDescent="0.25">
      <c r="A757" s="57"/>
      <c r="C757" s="28"/>
      <c r="G757" s="29"/>
      <c r="J757" s="58"/>
    </row>
    <row r="758" spans="1:10" ht="30" customHeight="1" x14ac:dyDescent="0.25">
      <c r="A758" s="57"/>
      <c r="C758" s="28"/>
      <c r="G758" s="29"/>
      <c r="J758" s="58"/>
    </row>
    <row r="759" spans="1:10" ht="30" customHeight="1" x14ac:dyDescent="0.25">
      <c r="A759" s="57"/>
      <c r="C759" s="28"/>
      <c r="G759" s="29"/>
      <c r="J759" s="58"/>
    </row>
    <row r="760" spans="1:10" ht="30" customHeight="1" x14ac:dyDescent="0.25">
      <c r="A760" s="57"/>
      <c r="C760" s="28"/>
      <c r="G760" s="29"/>
      <c r="J760" s="58"/>
    </row>
    <row r="761" spans="1:10" ht="30" customHeight="1" x14ac:dyDescent="0.25">
      <c r="A761" s="57"/>
      <c r="C761" s="28"/>
      <c r="G761" s="29"/>
      <c r="J761" s="58"/>
    </row>
    <row r="762" spans="1:10" ht="30" customHeight="1" x14ac:dyDescent="0.25">
      <c r="A762" s="57"/>
      <c r="C762" s="28"/>
      <c r="G762" s="29"/>
      <c r="J762" s="58"/>
    </row>
    <row r="763" spans="1:10" ht="30" customHeight="1" x14ac:dyDescent="0.25">
      <c r="A763" s="57"/>
      <c r="C763" s="28"/>
      <c r="G763" s="29"/>
      <c r="J763" s="58"/>
    </row>
    <row r="764" spans="1:10" ht="30" customHeight="1" x14ac:dyDescent="0.25">
      <c r="A764" s="57"/>
      <c r="C764" s="28"/>
      <c r="G764" s="29"/>
      <c r="J764" s="58"/>
    </row>
    <row r="765" spans="1:10" ht="30" customHeight="1" x14ac:dyDescent="0.25">
      <c r="A765" s="57"/>
      <c r="C765" s="28"/>
      <c r="G765" s="29"/>
      <c r="J765" s="58"/>
    </row>
    <row r="766" spans="1:10" ht="30" customHeight="1" x14ac:dyDescent="0.25">
      <c r="A766" s="57"/>
      <c r="C766" s="28"/>
      <c r="G766" s="29"/>
      <c r="J766" s="58"/>
    </row>
    <row r="767" spans="1:10" ht="30" customHeight="1" x14ac:dyDescent="0.25">
      <c r="A767" s="57"/>
      <c r="C767" s="28"/>
      <c r="G767" s="29"/>
      <c r="J767" s="58"/>
    </row>
    <row r="768" spans="1:10" ht="30" customHeight="1" x14ac:dyDescent="0.25">
      <c r="A768" s="57"/>
      <c r="C768" s="28"/>
      <c r="G768" s="29"/>
      <c r="J768" s="58"/>
    </row>
    <row r="769" spans="1:10" ht="30" customHeight="1" x14ac:dyDescent="0.25">
      <c r="A769" s="57"/>
      <c r="C769" s="28"/>
      <c r="G769" s="29"/>
      <c r="J769" s="58"/>
    </row>
    <row r="770" spans="1:10" ht="30" customHeight="1" x14ac:dyDescent="0.25">
      <c r="A770" s="57"/>
      <c r="C770" s="28"/>
      <c r="G770" s="29"/>
      <c r="J770" s="58"/>
    </row>
    <row r="771" spans="1:10" ht="30" customHeight="1" x14ac:dyDescent="0.25">
      <c r="A771" s="57"/>
      <c r="C771" s="28"/>
      <c r="G771" s="29"/>
      <c r="J771" s="58"/>
    </row>
    <row r="772" spans="1:10" ht="30" customHeight="1" x14ac:dyDescent="0.25">
      <c r="A772" s="57"/>
      <c r="C772" s="28"/>
      <c r="G772" s="29"/>
      <c r="J772" s="58"/>
    </row>
    <row r="773" spans="1:10" ht="30" customHeight="1" x14ac:dyDescent="0.25">
      <c r="A773" s="57"/>
      <c r="C773" s="28"/>
      <c r="G773" s="29"/>
      <c r="J773" s="58"/>
    </row>
    <row r="774" spans="1:10" ht="30" customHeight="1" x14ac:dyDescent="0.25">
      <c r="A774" s="57"/>
      <c r="C774" s="28"/>
      <c r="G774" s="29"/>
      <c r="J774" s="58"/>
    </row>
    <row r="775" spans="1:10" ht="30" customHeight="1" x14ac:dyDescent="0.25">
      <c r="A775" s="57"/>
      <c r="C775" s="28"/>
      <c r="G775" s="29"/>
      <c r="J775" s="58"/>
    </row>
    <row r="776" spans="1:10" ht="30" customHeight="1" x14ac:dyDescent="0.25">
      <c r="A776" s="57"/>
      <c r="C776" s="28"/>
      <c r="G776" s="29"/>
      <c r="J776" s="58"/>
    </row>
    <row r="777" spans="1:10" ht="30" customHeight="1" x14ac:dyDescent="0.25">
      <c r="A777" s="57"/>
      <c r="C777" s="28"/>
      <c r="G777" s="29"/>
      <c r="J777" s="58"/>
    </row>
    <row r="778" spans="1:10" ht="30" customHeight="1" x14ac:dyDescent="0.25">
      <c r="A778" s="57"/>
      <c r="C778" s="28"/>
      <c r="G778" s="29"/>
      <c r="J778" s="58"/>
    </row>
    <row r="779" spans="1:10" ht="30" customHeight="1" x14ac:dyDescent="0.25">
      <c r="A779" s="57"/>
      <c r="C779" s="28"/>
      <c r="G779" s="29"/>
      <c r="J779" s="58"/>
    </row>
    <row r="780" spans="1:10" ht="30" customHeight="1" x14ac:dyDescent="0.25">
      <c r="A780" s="57"/>
      <c r="C780" s="28"/>
      <c r="G780" s="29"/>
      <c r="J780" s="58"/>
    </row>
    <row r="781" spans="1:10" ht="30" customHeight="1" x14ac:dyDescent="0.25">
      <c r="A781" s="57"/>
      <c r="C781" s="28"/>
      <c r="G781" s="29"/>
      <c r="J781" s="58"/>
    </row>
    <row r="782" spans="1:10" ht="30" customHeight="1" x14ac:dyDescent="0.25">
      <c r="A782" s="57"/>
      <c r="C782" s="28"/>
      <c r="G782" s="29"/>
      <c r="J782" s="58"/>
    </row>
    <row r="783" spans="1:10" ht="30" customHeight="1" x14ac:dyDescent="0.25">
      <c r="A783" s="57"/>
      <c r="C783" s="28"/>
      <c r="G783" s="29"/>
      <c r="J783" s="58"/>
    </row>
    <row r="784" spans="1:10" ht="30" customHeight="1" x14ac:dyDescent="0.25">
      <c r="A784" s="57"/>
      <c r="C784" s="28"/>
      <c r="G784" s="29"/>
      <c r="J784" s="58"/>
    </row>
    <row r="785" spans="1:10" ht="30" customHeight="1" x14ac:dyDescent="0.25">
      <c r="A785" s="57"/>
      <c r="C785" s="28"/>
      <c r="G785" s="29"/>
      <c r="J785" s="58"/>
    </row>
    <row r="786" spans="1:10" ht="30" customHeight="1" x14ac:dyDescent="0.25">
      <c r="A786" s="57"/>
      <c r="C786" s="28"/>
      <c r="G786" s="29"/>
      <c r="J786" s="58"/>
    </row>
    <row r="787" spans="1:10" ht="30" customHeight="1" x14ac:dyDescent="0.25">
      <c r="A787" s="57"/>
      <c r="C787" s="28"/>
      <c r="G787" s="29"/>
      <c r="J787" s="58"/>
    </row>
    <row r="788" spans="1:10" ht="30" customHeight="1" x14ac:dyDescent="0.25">
      <c r="A788" s="57"/>
      <c r="C788" s="28"/>
      <c r="G788" s="29"/>
      <c r="J788" s="58"/>
    </row>
    <row r="789" spans="1:10" ht="30" customHeight="1" x14ac:dyDescent="0.25">
      <c r="A789" s="57"/>
      <c r="C789" s="28"/>
      <c r="G789" s="29"/>
      <c r="J789" s="58"/>
    </row>
    <row r="790" spans="1:10" ht="30" customHeight="1" x14ac:dyDescent="0.25">
      <c r="A790" s="57"/>
      <c r="C790" s="28"/>
      <c r="G790" s="29"/>
      <c r="J790" s="58"/>
    </row>
    <row r="791" spans="1:10" ht="30" customHeight="1" x14ac:dyDescent="0.25">
      <c r="A791" s="57"/>
      <c r="C791" s="28"/>
      <c r="G791" s="29"/>
      <c r="J791" s="58"/>
    </row>
    <row r="792" spans="1:10" ht="30" customHeight="1" x14ac:dyDescent="0.25">
      <c r="A792" s="57"/>
      <c r="C792" s="28"/>
      <c r="G792" s="29"/>
      <c r="J792" s="58"/>
    </row>
    <row r="793" spans="1:10" ht="30" customHeight="1" x14ac:dyDescent="0.25">
      <c r="A793" s="57"/>
      <c r="C793" s="28"/>
      <c r="G793" s="29"/>
      <c r="J793" s="58"/>
    </row>
    <row r="794" spans="1:10" ht="30" customHeight="1" x14ac:dyDescent="0.25">
      <c r="A794" s="57"/>
      <c r="C794" s="28"/>
      <c r="G794" s="29"/>
      <c r="J794" s="58"/>
    </row>
    <row r="795" spans="1:10" ht="30" customHeight="1" x14ac:dyDescent="0.25">
      <c r="A795" s="57"/>
      <c r="C795" s="28"/>
      <c r="G795" s="29"/>
      <c r="J795" s="58"/>
    </row>
    <row r="796" spans="1:10" ht="30" customHeight="1" x14ac:dyDescent="0.25">
      <c r="A796" s="57"/>
      <c r="C796" s="28"/>
      <c r="G796" s="29"/>
      <c r="J796" s="58"/>
    </row>
    <row r="797" spans="1:10" ht="30" customHeight="1" x14ac:dyDescent="0.25">
      <c r="A797" s="57"/>
      <c r="C797" s="28"/>
      <c r="G797" s="29"/>
      <c r="J797" s="58"/>
    </row>
    <row r="798" spans="1:10" ht="30" customHeight="1" x14ac:dyDescent="0.25">
      <c r="A798" s="57"/>
      <c r="C798" s="28"/>
      <c r="G798" s="29"/>
      <c r="J798" s="58"/>
    </row>
    <row r="799" spans="1:10" ht="30" customHeight="1" x14ac:dyDescent="0.25">
      <c r="A799" s="57"/>
      <c r="C799" s="28"/>
      <c r="G799" s="29"/>
      <c r="J799" s="58"/>
    </row>
    <row r="800" spans="1:10" ht="30" customHeight="1" x14ac:dyDescent="0.25">
      <c r="A800" s="57"/>
      <c r="C800" s="28"/>
      <c r="G800" s="29"/>
      <c r="J800" s="58"/>
    </row>
    <row r="801" spans="1:10" ht="30" customHeight="1" x14ac:dyDescent="0.25">
      <c r="A801" s="57"/>
      <c r="C801" s="28"/>
      <c r="G801" s="29"/>
      <c r="J801" s="58"/>
    </row>
    <row r="802" spans="1:10" ht="30" customHeight="1" x14ac:dyDescent="0.25">
      <c r="A802" s="57"/>
      <c r="C802" s="28"/>
      <c r="G802" s="29"/>
      <c r="J802" s="58"/>
    </row>
    <row r="803" spans="1:10" ht="30" customHeight="1" x14ac:dyDescent="0.25">
      <c r="A803" s="57"/>
      <c r="C803" s="28"/>
      <c r="G803" s="29"/>
      <c r="J803" s="58"/>
    </row>
    <row r="804" spans="1:10" ht="30" customHeight="1" x14ac:dyDescent="0.25">
      <c r="A804" s="57"/>
      <c r="C804" s="28"/>
      <c r="G804" s="29"/>
      <c r="J804" s="58"/>
    </row>
    <row r="805" spans="1:10" ht="30" customHeight="1" x14ac:dyDescent="0.25">
      <c r="A805" s="57"/>
      <c r="C805" s="28"/>
      <c r="G805" s="29"/>
      <c r="J805" s="58"/>
    </row>
    <row r="806" spans="1:10" ht="30" customHeight="1" x14ac:dyDescent="0.25">
      <c r="A806" s="57"/>
      <c r="C806" s="28"/>
      <c r="G806" s="29"/>
      <c r="J806" s="58"/>
    </row>
    <row r="807" spans="1:10" ht="30" customHeight="1" x14ac:dyDescent="0.25">
      <c r="A807" s="57"/>
      <c r="C807" s="28"/>
      <c r="G807" s="29"/>
      <c r="J807" s="58"/>
    </row>
    <row r="808" spans="1:10" ht="30" customHeight="1" x14ac:dyDescent="0.25">
      <c r="A808" s="57"/>
      <c r="C808" s="28"/>
      <c r="G808" s="29"/>
      <c r="J808" s="58"/>
    </row>
    <row r="809" spans="1:10" ht="30" customHeight="1" x14ac:dyDescent="0.25">
      <c r="A809" s="57"/>
      <c r="C809" s="28"/>
      <c r="G809" s="29"/>
      <c r="J809" s="58"/>
    </row>
    <row r="810" spans="1:10" ht="30" customHeight="1" x14ac:dyDescent="0.25">
      <c r="A810" s="57"/>
      <c r="C810" s="28"/>
      <c r="G810" s="29"/>
      <c r="J810" s="58"/>
    </row>
    <row r="811" spans="1:10" ht="30" customHeight="1" x14ac:dyDescent="0.25">
      <c r="A811" s="57"/>
      <c r="C811" s="28"/>
      <c r="G811" s="29"/>
      <c r="J811" s="58"/>
    </row>
    <row r="812" spans="1:10" ht="30" customHeight="1" x14ac:dyDescent="0.25">
      <c r="A812" s="57"/>
      <c r="C812" s="28"/>
      <c r="G812" s="29"/>
      <c r="J812" s="58"/>
    </row>
    <row r="813" spans="1:10" ht="30" customHeight="1" x14ac:dyDescent="0.25">
      <c r="A813" s="57"/>
      <c r="C813" s="28"/>
      <c r="G813" s="29"/>
      <c r="J813" s="58"/>
    </row>
    <row r="814" spans="1:10" ht="30" customHeight="1" x14ac:dyDescent="0.25">
      <c r="A814" s="57"/>
      <c r="C814" s="28"/>
      <c r="G814" s="29"/>
      <c r="J814" s="58"/>
    </row>
    <row r="815" spans="1:10" ht="30" customHeight="1" x14ac:dyDescent="0.25">
      <c r="A815" s="57"/>
      <c r="C815" s="28"/>
      <c r="G815" s="29"/>
      <c r="J815" s="58"/>
    </row>
    <row r="816" spans="1:10" ht="30" customHeight="1" x14ac:dyDescent="0.25">
      <c r="A816" s="57"/>
      <c r="C816" s="28"/>
      <c r="G816" s="29"/>
      <c r="J816" s="58"/>
    </row>
    <row r="817" spans="1:10" ht="30" customHeight="1" x14ac:dyDescent="0.25">
      <c r="A817" s="57"/>
      <c r="C817" s="28"/>
      <c r="G817" s="29"/>
      <c r="J817" s="58"/>
    </row>
    <row r="818" spans="1:10" ht="30" customHeight="1" x14ac:dyDescent="0.25">
      <c r="A818" s="57"/>
      <c r="C818" s="28"/>
      <c r="G818" s="29"/>
      <c r="J818" s="58"/>
    </row>
    <row r="819" spans="1:10" ht="30" customHeight="1" x14ac:dyDescent="0.25">
      <c r="A819" s="57"/>
      <c r="C819" s="28"/>
      <c r="G819" s="29"/>
      <c r="J819" s="58"/>
    </row>
    <row r="820" spans="1:10" ht="30" customHeight="1" x14ac:dyDescent="0.25">
      <c r="A820" s="57"/>
      <c r="C820" s="28"/>
      <c r="G820" s="29"/>
      <c r="J820" s="58"/>
    </row>
    <row r="821" spans="1:10" ht="30" customHeight="1" x14ac:dyDescent="0.25">
      <c r="A821" s="57"/>
      <c r="C821" s="28"/>
      <c r="G821" s="29"/>
      <c r="J821" s="58"/>
    </row>
    <row r="822" spans="1:10" ht="30" customHeight="1" x14ac:dyDescent="0.25">
      <c r="A822" s="57"/>
      <c r="C822" s="28"/>
      <c r="G822" s="29"/>
      <c r="J822" s="58"/>
    </row>
    <row r="823" spans="1:10" ht="30" customHeight="1" x14ac:dyDescent="0.25">
      <c r="A823" s="57"/>
      <c r="C823" s="28"/>
      <c r="G823" s="29"/>
      <c r="J823" s="58"/>
    </row>
    <row r="824" spans="1:10" ht="30" customHeight="1" x14ac:dyDescent="0.25">
      <c r="A824" s="57"/>
      <c r="C824" s="28"/>
      <c r="G824" s="29"/>
      <c r="J824" s="58"/>
    </row>
    <row r="825" spans="1:10" ht="30" customHeight="1" x14ac:dyDescent="0.25">
      <c r="A825" s="57"/>
      <c r="C825" s="28"/>
      <c r="G825" s="29"/>
      <c r="J825" s="58"/>
    </row>
    <row r="826" spans="1:10" ht="30" customHeight="1" x14ac:dyDescent="0.25">
      <c r="A826" s="57"/>
      <c r="C826" s="28"/>
      <c r="G826" s="29"/>
      <c r="J826" s="58"/>
    </row>
    <row r="827" spans="1:10" ht="30" customHeight="1" x14ac:dyDescent="0.25">
      <c r="A827" s="57"/>
      <c r="C827" s="28"/>
      <c r="G827" s="29"/>
      <c r="J827" s="58"/>
    </row>
    <row r="828" spans="1:10" ht="30" customHeight="1" x14ac:dyDescent="0.25">
      <c r="A828" s="57"/>
      <c r="C828" s="28"/>
      <c r="G828" s="29"/>
      <c r="J828" s="58"/>
    </row>
    <row r="829" spans="1:10" ht="30" customHeight="1" x14ac:dyDescent="0.25">
      <c r="A829" s="57"/>
      <c r="C829" s="28"/>
      <c r="G829" s="29"/>
      <c r="J829" s="58"/>
    </row>
    <row r="830" spans="1:10" ht="30" customHeight="1" x14ac:dyDescent="0.25">
      <c r="A830" s="57"/>
      <c r="C830" s="28"/>
      <c r="G830" s="29"/>
      <c r="J830" s="58"/>
    </row>
    <row r="831" spans="1:10" ht="30" customHeight="1" x14ac:dyDescent="0.25">
      <c r="A831" s="57"/>
      <c r="C831" s="28"/>
      <c r="G831" s="29"/>
      <c r="J831" s="58"/>
    </row>
    <row r="832" spans="1:10" ht="30" customHeight="1" x14ac:dyDescent="0.25">
      <c r="A832" s="57"/>
      <c r="C832" s="28"/>
      <c r="G832" s="29"/>
      <c r="J832" s="58"/>
    </row>
    <row r="833" spans="1:10" ht="30" customHeight="1" x14ac:dyDescent="0.25">
      <c r="A833" s="57"/>
      <c r="C833" s="28"/>
      <c r="G833" s="29"/>
      <c r="J833" s="58"/>
    </row>
    <row r="834" spans="1:10" ht="30" customHeight="1" x14ac:dyDescent="0.25">
      <c r="A834" s="57"/>
      <c r="C834" s="28"/>
      <c r="G834" s="29"/>
      <c r="J834" s="58"/>
    </row>
    <row r="835" spans="1:10" ht="30" customHeight="1" x14ac:dyDescent="0.25">
      <c r="A835" s="57"/>
      <c r="C835" s="28"/>
      <c r="G835" s="29"/>
      <c r="J835" s="58"/>
    </row>
    <row r="836" spans="1:10" ht="30" customHeight="1" x14ac:dyDescent="0.25">
      <c r="A836" s="57"/>
      <c r="C836" s="28"/>
      <c r="G836" s="29"/>
      <c r="J836" s="58"/>
    </row>
    <row r="837" spans="1:10" ht="30" customHeight="1" x14ac:dyDescent="0.25">
      <c r="A837" s="57"/>
      <c r="C837" s="28"/>
      <c r="G837" s="29"/>
      <c r="J837" s="58"/>
    </row>
    <row r="838" spans="1:10" ht="30" customHeight="1" x14ac:dyDescent="0.25">
      <c r="A838" s="57"/>
      <c r="C838" s="28"/>
      <c r="G838" s="29"/>
      <c r="J838" s="58"/>
    </row>
    <row r="839" spans="1:10" ht="30" customHeight="1" x14ac:dyDescent="0.25">
      <c r="A839" s="57"/>
      <c r="C839" s="28"/>
      <c r="G839" s="29"/>
      <c r="J839" s="58"/>
    </row>
    <row r="840" spans="1:10" ht="30" customHeight="1" x14ac:dyDescent="0.25">
      <c r="A840" s="57"/>
      <c r="C840" s="28"/>
      <c r="G840" s="29"/>
      <c r="J840" s="58"/>
    </row>
    <row r="841" spans="1:10" ht="30" customHeight="1" x14ac:dyDescent="0.25">
      <c r="A841" s="57"/>
      <c r="C841" s="28"/>
      <c r="G841" s="29"/>
      <c r="J841" s="58"/>
    </row>
    <row r="842" spans="1:10" ht="30" customHeight="1" x14ac:dyDescent="0.25">
      <c r="A842" s="57"/>
      <c r="C842" s="28"/>
      <c r="G842" s="29"/>
      <c r="J842" s="58"/>
    </row>
    <row r="843" spans="1:10" ht="30" customHeight="1" x14ac:dyDescent="0.25">
      <c r="A843" s="57"/>
      <c r="C843" s="28"/>
      <c r="G843" s="29"/>
      <c r="J843" s="58"/>
    </row>
    <row r="844" spans="1:10" ht="30" customHeight="1" x14ac:dyDescent="0.25">
      <c r="A844" s="57"/>
      <c r="C844" s="28"/>
      <c r="G844" s="29"/>
      <c r="J844" s="58"/>
    </row>
    <row r="845" spans="1:10" ht="30" customHeight="1" x14ac:dyDescent="0.25">
      <c r="A845" s="57"/>
      <c r="C845" s="28"/>
      <c r="G845" s="29"/>
      <c r="J845" s="58"/>
    </row>
    <row r="846" spans="1:10" ht="30" customHeight="1" x14ac:dyDescent="0.25">
      <c r="A846" s="57"/>
      <c r="C846" s="28"/>
      <c r="G846" s="29"/>
      <c r="J846" s="58"/>
    </row>
    <row r="847" spans="1:10" ht="30" customHeight="1" x14ac:dyDescent="0.25">
      <c r="A847" s="57"/>
      <c r="C847" s="28"/>
      <c r="G847" s="29"/>
      <c r="J847" s="58"/>
    </row>
    <row r="848" spans="1:10" ht="30" customHeight="1" x14ac:dyDescent="0.25">
      <c r="A848" s="57"/>
      <c r="C848" s="28"/>
      <c r="G848" s="29"/>
      <c r="J848" s="58"/>
    </row>
    <row r="849" spans="1:10" ht="30" customHeight="1" x14ac:dyDescent="0.25">
      <c r="A849" s="57"/>
      <c r="C849" s="28"/>
      <c r="G849" s="29"/>
      <c r="J849" s="58"/>
    </row>
    <row r="850" spans="1:10" ht="30" customHeight="1" x14ac:dyDescent="0.25">
      <c r="A850" s="57"/>
      <c r="C850" s="28"/>
      <c r="G850" s="29"/>
      <c r="J850" s="58"/>
    </row>
    <row r="851" spans="1:10" ht="30" customHeight="1" x14ac:dyDescent="0.25">
      <c r="A851" s="57"/>
      <c r="C851" s="28"/>
      <c r="G851" s="29"/>
      <c r="J851" s="58"/>
    </row>
    <row r="852" spans="1:10" ht="30" customHeight="1" x14ac:dyDescent="0.25">
      <c r="A852" s="57"/>
      <c r="C852" s="28"/>
      <c r="G852" s="29"/>
      <c r="J852" s="58"/>
    </row>
    <row r="853" spans="1:10" ht="30" customHeight="1" x14ac:dyDescent="0.25">
      <c r="A853" s="57"/>
      <c r="C853" s="28"/>
      <c r="G853" s="29"/>
      <c r="J853" s="58"/>
    </row>
    <row r="854" spans="1:10" ht="30" customHeight="1" x14ac:dyDescent="0.25">
      <c r="A854" s="57"/>
      <c r="C854" s="28"/>
      <c r="G854" s="29"/>
      <c r="J854" s="58"/>
    </row>
    <row r="855" spans="1:10" ht="30" customHeight="1" x14ac:dyDescent="0.25">
      <c r="A855" s="57"/>
      <c r="C855" s="28"/>
      <c r="G855" s="29"/>
      <c r="J855" s="58"/>
    </row>
    <row r="856" spans="1:10" ht="30" customHeight="1" x14ac:dyDescent="0.25">
      <c r="A856" s="57"/>
      <c r="C856" s="28"/>
      <c r="G856" s="29"/>
      <c r="J856" s="58"/>
    </row>
    <row r="857" spans="1:10" ht="30" customHeight="1" x14ac:dyDescent="0.25">
      <c r="A857" s="57"/>
      <c r="C857" s="28"/>
      <c r="G857" s="29"/>
      <c r="J857" s="58"/>
    </row>
    <row r="858" spans="1:10" ht="30" customHeight="1" x14ac:dyDescent="0.25">
      <c r="A858" s="57"/>
      <c r="C858" s="28"/>
      <c r="G858" s="29"/>
      <c r="J858" s="58"/>
    </row>
    <row r="859" spans="1:10" ht="30" customHeight="1" x14ac:dyDescent="0.25">
      <c r="A859" s="57"/>
      <c r="C859" s="28"/>
      <c r="G859" s="29"/>
      <c r="J859" s="58"/>
    </row>
    <row r="860" spans="1:10" ht="30" customHeight="1" x14ac:dyDescent="0.25">
      <c r="A860" s="57"/>
      <c r="C860" s="28"/>
      <c r="G860" s="29"/>
      <c r="J860" s="58"/>
    </row>
    <row r="861" spans="1:10" ht="30" customHeight="1" x14ac:dyDescent="0.25">
      <c r="A861" s="57"/>
      <c r="C861" s="28"/>
      <c r="G861" s="29"/>
      <c r="J861" s="58"/>
    </row>
    <row r="862" spans="1:10" ht="30" customHeight="1" x14ac:dyDescent="0.25">
      <c r="A862" s="57"/>
      <c r="C862" s="28"/>
      <c r="G862" s="29"/>
      <c r="J862" s="58"/>
    </row>
    <row r="863" spans="1:10" ht="30" customHeight="1" x14ac:dyDescent="0.25">
      <c r="A863" s="57"/>
      <c r="C863" s="28"/>
      <c r="G863" s="29"/>
      <c r="J863" s="58"/>
    </row>
    <row r="864" spans="1:10" ht="30" customHeight="1" x14ac:dyDescent="0.25">
      <c r="A864" s="57"/>
      <c r="C864" s="28"/>
      <c r="G864" s="29"/>
      <c r="J864" s="58"/>
    </row>
    <row r="865" spans="1:10" ht="30" customHeight="1" x14ac:dyDescent="0.25">
      <c r="A865" s="57"/>
      <c r="C865" s="28"/>
      <c r="G865" s="29"/>
      <c r="J865" s="58"/>
    </row>
    <row r="866" spans="1:10" ht="30" customHeight="1" x14ac:dyDescent="0.25">
      <c r="A866" s="57"/>
      <c r="C866" s="28"/>
      <c r="G866" s="29"/>
      <c r="J866" s="58"/>
    </row>
    <row r="867" spans="1:10" ht="30" customHeight="1" x14ac:dyDescent="0.25">
      <c r="A867" s="57"/>
      <c r="C867" s="28"/>
      <c r="G867" s="29"/>
      <c r="J867" s="58"/>
    </row>
    <row r="868" spans="1:10" ht="30" customHeight="1" x14ac:dyDescent="0.25">
      <c r="A868" s="57"/>
      <c r="C868" s="28"/>
      <c r="G868" s="29"/>
      <c r="J868" s="58"/>
    </row>
    <row r="869" spans="1:10" ht="30" customHeight="1" x14ac:dyDescent="0.25">
      <c r="A869" s="57"/>
      <c r="C869" s="28"/>
      <c r="G869" s="29"/>
      <c r="J869" s="58"/>
    </row>
    <row r="870" spans="1:10" ht="30" customHeight="1" x14ac:dyDescent="0.25">
      <c r="A870" s="57"/>
      <c r="C870" s="28"/>
      <c r="G870" s="29"/>
      <c r="J870" s="58"/>
    </row>
    <row r="871" spans="1:10" ht="30" customHeight="1" x14ac:dyDescent="0.25">
      <c r="A871" s="57"/>
      <c r="C871" s="28"/>
      <c r="G871" s="29"/>
      <c r="J871" s="58"/>
    </row>
    <row r="872" spans="1:10" ht="30" customHeight="1" x14ac:dyDescent="0.25">
      <c r="A872" s="57"/>
      <c r="C872" s="28"/>
      <c r="G872" s="29"/>
      <c r="J872" s="58"/>
    </row>
    <row r="873" spans="1:10" ht="30" customHeight="1" x14ac:dyDescent="0.25">
      <c r="A873" s="57"/>
      <c r="C873" s="28"/>
      <c r="G873" s="29"/>
      <c r="J873" s="58"/>
    </row>
    <row r="874" spans="1:10" ht="30" customHeight="1" x14ac:dyDescent="0.25">
      <c r="A874" s="57"/>
      <c r="C874" s="28"/>
      <c r="G874" s="29"/>
      <c r="J874" s="58"/>
    </row>
    <row r="875" spans="1:10" ht="30" customHeight="1" x14ac:dyDescent="0.25">
      <c r="A875" s="57"/>
      <c r="C875" s="28"/>
      <c r="G875" s="29"/>
      <c r="J875" s="58"/>
    </row>
    <row r="876" spans="1:10" ht="30" customHeight="1" x14ac:dyDescent="0.25">
      <c r="A876" s="57"/>
      <c r="C876" s="28"/>
      <c r="G876" s="29"/>
      <c r="J876" s="58"/>
    </row>
    <row r="877" spans="1:10" ht="30" customHeight="1" x14ac:dyDescent="0.25">
      <c r="A877" s="57"/>
      <c r="C877" s="28"/>
      <c r="G877" s="29"/>
      <c r="J877" s="58"/>
    </row>
    <row r="878" spans="1:10" ht="30" customHeight="1" x14ac:dyDescent="0.25">
      <c r="A878" s="57"/>
      <c r="C878" s="28"/>
      <c r="G878" s="29"/>
      <c r="J878" s="58"/>
    </row>
    <row r="879" spans="1:10" ht="30" customHeight="1" x14ac:dyDescent="0.25">
      <c r="A879" s="57"/>
      <c r="C879" s="28"/>
      <c r="G879" s="29"/>
      <c r="J879" s="58"/>
    </row>
    <row r="880" spans="1:10" ht="30" customHeight="1" x14ac:dyDescent="0.25">
      <c r="A880" s="57"/>
      <c r="C880" s="28"/>
      <c r="G880" s="29"/>
      <c r="J880" s="58"/>
    </row>
    <row r="881" spans="1:10" ht="30" customHeight="1" x14ac:dyDescent="0.25">
      <c r="A881" s="57"/>
      <c r="C881" s="28"/>
      <c r="G881" s="29"/>
      <c r="J881" s="58"/>
    </row>
    <row r="882" spans="1:10" ht="30" customHeight="1" x14ac:dyDescent="0.25">
      <c r="A882" s="57"/>
      <c r="C882" s="28"/>
      <c r="G882" s="29"/>
      <c r="J882" s="58"/>
    </row>
    <row r="883" spans="1:10" ht="30" customHeight="1" x14ac:dyDescent="0.25">
      <c r="A883" s="57"/>
      <c r="C883" s="28"/>
      <c r="G883" s="29"/>
      <c r="J883" s="58"/>
    </row>
    <row r="884" spans="1:10" ht="30" customHeight="1" x14ac:dyDescent="0.25">
      <c r="A884" s="57"/>
      <c r="C884" s="28"/>
      <c r="G884" s="29"/>
      <c r="J884" s="58"/>
    </row>
    <row r="885" spans="1:10" ht="30" customHeight="1" x14ac:dyDescent="0.25">
      <c r="A885" s="57"/>
      <c r="C885" s="28"/>
      <c r="G885" s="29"/>
      <c r="J885" s="58"/>
    </row>
    <row r="886" spans="1:10" ht="30" customHeight="1" x14ac:dyDescent="0.25">
      <c r="A886" s="57"/>
      <c r="C886" s="28"/>
      <c r="G886" s="29"/>
      <c r="J886" s="58"/>
    </row>
    <row r="887" spans="1:10" ht="30" customHeight="1" x14ac:dyDescent="0.25">
      <c r="A887" s="57"/>
      <c r="C887" s="28"/>
      <c r="G887" s="29"/>
      <c r="J887" s="58"/>
    </row>
    <row r="888" spans="1:10" ht="30" customHeight="1" x14ac:dyDescent="0.25">
      <c r="A888" s="57"/>
      <c r="C888" s="28"/>
      <c r="G888" s="29"/>
      <c r="J888" s="58"/>
    </row>
    <row r="889" spans="1:10" ht="30" customHeight="1" x14ac:dyDescent="0.25">
      <c r="A889" s="57"/>
      <c r="C889" s="28"/>
      <c r="G889" s="29"/>
      <c r="J889" s="58"/>
    </row>
    <row r="890" spans="1:10" ht="30" customHeight="1" x14ac:dyDescent="0.25">
      <c r="A890" s="57"/>
      <c r="C890" s="28"/>
      <c r="G890" s="29"/>
      <c r="J890" s="58"/>
    </row>
    <row r="891" spans="1:10" ht="30" customHeight="1" x14ac:dyDescent="0.25">
      <c r="A891" s="57"/>
      <c r="C891" s="28"/>
      <c r="G891" s="29"/>
      <c r="J891" s="58"/>
    </row>
    <row r="892" spans="1:10" ht="30" customHeight="1" x14ac:dyDescent="0.25">
      <c r="A892" s="57"/>
      <c r="C892" s="28"/>
      <c r="G892" s="29"/>
      <c r="J892" s="58"/>
    </row>
    <row r="893" spans="1:10" ht="30" customHeight="1" x14ac:dyDescent="0.25">
      <c r="A893" s="57"/>
      <c r="C893" s="28"/>
      <c r="G893" s="29"/>
      <c r="J893" s="58"/>
    </row>
    <row r="894" spans="1:10" ht="30" customHeight="1" x14ac:dyDescent="0.25">
      <c r="A894" s="57"/>
      <c r="C894" s="28"/>
      <c r="G894" s="29"/>
      <c r="J894" s="58"/>
    </row>
    <row r="895" spans="1:10" ht="30" customHeight="1" x14ac:dyDescent="0.25">
      <c r="A895" s="57"/>
      <c r="C895" s="28"/>
      <c r="G895" s="29"/>
      <c r="J895" s="58"/>
    </row>
    <row r="896" spans="1:10" ht="30" customHeight="1" x14ac:dyDescent="0.25">
      <c r="A896" s="57"/>
      <c r="C896" s="28"/>
      <c r="G896" s="29"/>
      <c r="J896" s="58"/>
    </row>
    <row r="897" spans="1:10" ht="30" customHeight="1" x14ac:dyDescent="0.25">
      <c r="A897" s="57"/>
      <c r="C897" s="28"/>
      <c r="G897" s="29"/>
      <c r="J897" s="58"/>
    </row>
    <row r="898" spans="1:10" ht="30" customHeight="1" x14ac:dyDescent="0.25">
      <c r="A898" s="57"/>
      <c r="C898" s="28"/>
      <c r="G898" s="29"/>
      <c r="J898" s="58"/>
    </row>
    <row r="899" spans="1:10" ht="30" customHeight="1" x14ac:dyDescent="0.25">
      <c r="A899" s="57"/>
      <c r="C899" s="28"/>
      <c r="G899" s="29"/>
      <c r="J899" s="58"/>
    </row>
    <row r="900" spans="1:10" ht="30" customHeight="1" x14ac:dyDescent="0.25">
      <c r="A900" s="57"/>
      <c r="C900" s="28"/>
      <c r="G900" s="29"/>
      <c r="J900" s="58"/>
    </row>
    <row r="901" spans="1:10" ht="30" customHeight="1" x14ac:dyDescent="0.25">
      <c r="A901" s="57"/>
      <c r="C901" s="28"/>
      <c r="G901" s="29"/>
      <c r="J901" s="58"/>
    </row>
    <row r="902" spans="1:10" ht="30" customHeight="1" x14ac:dyDescent="0.25">
      <c r="A902" s="57"/>
      <c r="C902" s="28"/>
      <c r="G902" s="29"/>
      <c r="J902" s="58"/>
    </row>
    <row r="903" spans="1:10" ht="30" customHeight="1" x14ac:dyDescent="0.25">
      <c r="A903" s="57"/>
      <c r="C903" s="28"/>
      <c r="G903" s="29"/>
      <c r="J903" s="58"/>
    </row>
    <row r="904" spans="1:10" ht="30" customHeight="1" x14ac:dyDescent="0.25">
      <c r="A904" s="57"/>
      <c r="C904" s="28"/>
      <c r="G904" s="29"/>
      <c r="J904" s="58"/>
    </row>
    <row r="905" spans="1:10" ht="30" customHeight="1" x14ac:dyDescent="0.25">
      <c r="A905" s="57"/>
      <c r="C905" s="28"/>
      <c r="G905" s="29"/>
      <c r="J905" s="58"/>
    </row>
    <row r="906" spans="1:10" ht="30" customHeight="1" x14ac:dyDescent="0.25">
      <c r="A906" s="57"/>
      <c r="C906" s="28"/>
      <c r="G906" s="29"/>
      <c r="J906" s="58"/>
    </row>
    <row r="907" spans="1:10" ht="30" customHeight="1" x14ac:dyDescent="0.25">
      <c r="A907" s="57"/>
      <c r="C907" s="28"/>
      <c r="G907" s="29"/>
      <c r="J907" s="58"/>
    </row>
    <row r="908" spans="1:10" ht="30" customHeight="1" x14ac:dyDescent="0.25">
      <c r="A908" s="57"/>
      <c r="C908" s="28"/>
      <c r="G908" s="29"/>
      <c r="J908" s="58"/>
    </row>
    <row r="909" spans="1:10" ht="30" customHeight="1" x14ac:dyDescent="0.25">
      <c r="A909" s="57"/>
      <c r="C909" s="28"/>
      <c r="G909" s="29"/>
      <c r="J909" s="58"/>
    </row>
    <row r="910" spans="1:10" ht="30" customHeight="1" x14ac:dyDescent="0.25">
      <c r="A910" s="57"/>
      <c r="C910" s="28"/>
      <c r="G910" s="29"/>
      <c r="J910" s="58"/>
    </row>
    <row r="911" spans="1:10" ht="30" customHeight="1" x14ac:dyDescent="0.25">
      <c r="A911" s="57"/>
      <c r="C911" s="28"/>
      <c r="G911" s="29"/>
      <c r="J911" s="58"/>
    </row>
    <row r="912" spans="1:10" ht="30" customHeight="1" x14ac:dyDescent="0.25">
      <c r="A912" s="57"/>
      <c r="C912" s="28"/>
      <c r="G912" s="29"/>
      <c r="J912" s="58"/>
    </row>
    <row r="913" spans="1:10" ht="30" customHeight="1" x14ac:dyDescent="0.25">
      <c r="A913" s="57"/>
      <c r="C913" s="28"/>
      <c r="G913" s="29"/>
      <c r="J913" s="58"/>
    </row>
    <row r="914" spans="1:10" ht="30" customHeight="1" x14ac:dyDescent="0.25">
      <c r="A914" s="57"/>
      <c r="C914" s="28"/>
      <c r="G914" s="29"/>
      <c r="J914" s="58"/>
    </row>
    <row r="915" spans="1:10" ht="30" customHeight="1" x14ac:dyDescent="0.25">
      <c r="A915" s="57"/>
      <c r="C915" s="28"/>
      <c r="G915" s="29"/>
      <c r="J915" s="58"/>
    </row>
    <row r="916" spans="1:10" ht="30" customHeight="1" x14ac:dyDescent="0.25">
      <c r="A916" s="57"/>
      <c r="C916" s="28"/>
      <c r="G916" s="29"/>
      <c r="J916" s="58"/>
    </row>
    <row r="917" spans="1:10" ht="30" customHeight="1" x14ac:dyDescent="0.25">
      <c r="A917" s="57"/>
      <c r="C917" s="28"/>
      <c r="G917" s="29"/>
      <c r="J917" s="58"/>
    </row>
    <row r="918" spans="1:10" ht="30" customHeight="1" x14ac:dyDescent="0.25">
      <c r="A918" s="57"/>
      <c r="C918" s="28"/>
      <c r="G918" s="29"/>
      <c r="J918" s="58"/>
    </row>
    <row r="919" spans="1:10" ht="30" customHeight="1" x14ac:dyDescent="0.25">
      <c r="A919" s="57"/>
      <c r="C919" s="28"/>
      <c r="G919" s="29"/>
      <c r="J919" s="58"/>
    </row>
    <row r="920" spans="1:10" ht="30" customHeight="1" x14ac:dyDescent="0.25">
      <c r="A920" s="57"/>
      <c r="C920" s="28"/>
      <c r="G920" s="29"/>
      <c r="J920" s="58"/>
    </row>
    <row r="921" spans="1:10" ht="30" customHeight="1" x14ac:dyDescent="0.25">
      <c r="A921" s="57"/>
      <c r="C921" s="28"/>
      <c r="G921" s="29"/>
      <c r="J921" s="58"/>
    </row>
    <row r="922" spans="1:10" ht="30" customHeight="1" x14ac:dyDescent="0.25">
      <c r="A922" s="57"/>
      <c r="C922" s="28"/>
      <c r="G922" s="29"/>
      <c r="J922" s="58"/>
    </row>
    <row r="923" spans="1:10" ht="30" customHeight="1" x14ac:dyDescent="0.25">
      <c r="A923" s="57"/>
      <c r="C923" s="28"/>
      <c r="G923" s="29"/>
      <c r="J923" s="58"/>
    </row>
    <row r="924" spans="1:10" ht="30" customHeight="1" x14ac:dyDescent="0.25">
      <c r="A924" s="57"/>
      <c r="C924" s="28"/>
      <c r="G924" s="29"/>
      <c r="J924" s="58"/>
    </row>
    <row r="925" spans="1:10" ht="30" customHeight="1" x14ac:dyDescent="0.25">
      <c r="A925" s="57"/>
      <c r="C925" s="28"/>
      <c r="G925" s="29"/>
      <c r="J925" s="58"/>
    </row>
    <row r="926" spans="1:10" ht="30" customHeight="1" x14ac:dyDescent="0.25">
      <c r="A926" s="57"/>
      <c r="C926" s="28"/>
      <c r="G926" s="29"/>
      <c r="J926" s="58"/>
    </row>
    <row r="927" spans="1:10" ht="30" customHeight="1" x14ac:dyDescent="0.25">
      <c r="A927" s="57"/>
      <c r="C927" s="28"/>
      <c r="G927" s="29"/>
      <c r="J927" s="58"/>
    </row>
    <row r="928" spans="1:10" ht="30" customHeight="1" x14ac:dyDescent="0.25">
      <c r="A928" s="57"/>
      <c r="C928" s="28"/>
      <c r="G928" s="29"/>
      <c r="J928" s="58"/>
    </row>
    <row r="929" spans="1:10" ht="30" customHeight="1" x14ac:dyDescent="0.25">
      <c r="A929" s="57"/>
      <c r="C929" s="28"/>
      <c r="G929" s="29"/>
      <c r="J929" s="58"/>
    </row>
    <row r="930" spans="1:10" ht="30" customHeight="1" x14ac:dyDescent="0.25">
      <c r="A930" s="57"/>
      <c r="C930" s="28"/>
      <c r="G930" s="29"/>
      <c r="J930" s="58"/>
    </row>
    <row r="931" spans="1:10" ht="30" customHeight="1" x14ac:dyDescent="0.25">
      <c r="A931" s="57"/>
      <c r="C931" s="28"/>
      <c r="G931" s="29"/>
      <c r="J931" s="58"/>
    </row>
    <row r="932" spans="1:10" ht="30" customHeight="1" x14ac:dyDescent="0.25">
      <c r="A932" s="57"/>
      <c r="C932" s="28"/>
      <c r="G932" s="29"/>
      <c r="J932" s="58"/>
    </row>
    <row r="933" spans="1:10" ht="30" customHeight="1" x14ac:dyDescent="0.25">
      <c r="A933" s="57"/>
      <c r="C933" s="28"/>
      <c r="G933" s="29"/>
      <c r="J933" s="58"/>
    </row>
    <row r="934" spans="1:10" ht="30" customHeight="1" x14ac:dyDescent="0.25">
      <c r="A934" s="57"/>
      <c r="C934" s="28"/>
      <c r="G934" s="29"/>
      <c r="J934" s="58"/>
    </row>
    <row r="935" spans="1:10" ht="30" customHeight="1" x14ac:dyDescent="0.25">
      <c r="A935" s="57"/>
      <c r="C935" s="28"/>
      <c r="G935" s="29"/>
      <c r="J935" s="58"/>
    </row>
    <row r="936" spans="1:10" ht="30" customHeight="1" x14ac:dyDescent="0.25">
      <c r="A936" s="57"/>
      <c r="C936" s="28"/>
      <c r="G936" s="29"/>
      <c r="J936" s="58"/>
    </row>
    <row r="937" spans="1:10" ht="30" customHeight="1" x14ac:dyDescent="0.25">
      <c r="A937" s="57"/>
      <c r="C937" s="28"/>
      <c r="G937" s="29"/>
      <c r="J937" s="58"/>
    </row>
    <row r="938" spans="1:10" ht="30" customHeight="1" x14ac:dyDescent="0.25">
      <c r="A938" s="57"/>
      <c r="C938" s="28"/>
      <c r="G938" s="29"/>
      <c r="J938" s="58"/>
    </row>
    <row r="939" spans="1:10" ht="30" customHeight="1" x14ac:dyDescent="0.25">
      <c r="A939" s="57"/>
      <c r="C939" s="28"/>
      <c r="G939" s="29"/>
      <c r="J939" s="58"/>
    </row>
    <row r="940" spans="1:10" ht="30" customHeight="1" x14ac:dyDescent="0.25">
      <c r="A940" s="57"/>
      <c r="C940" s="28"/>
      <c r="G940" s="29"/>
      <c r="J940" s="58"/>
    </row>
    <row r="941" spans="1:10" ht="30" customHeight="1" x14ac:dyDescent="0.25">
      <c r="A941" s="57"/>
      <c r="C941" s="28"/>
      <c r="G941" s="29"/>
      <c r="J941" s="58"/>
    </row>
    <row r="942" spans="1:10" ht="30" customHeight="1" x14ac:dyDescent="0.25">
      <c r="A942" s="57"/>
      <c r="C942" s="28"/>
      <c r="G942" s="29"/>
      <c r="J942" s="58"/>
    </row>
    <row r="943" spans="1:10" ht="30" customHeight="1" x14ac:dyDescent="0.25">
      <c r="A943" s="57"/>
      <c r="C943" s="28"/>
      <c r="G943" s="29"/>
      <c r="J943" s="58"/>
    </row>
    <row r="944" spans="1:10" ht="30" customHeight="1" x14ac:dyDescent="0.25">
      <c r="A944" s="57"/>
      <c r="C944" s="28"/>
      <c r="G944" s="29"/>
      <c r="J944" s="58"/>
    </row>
    <row r="945" spans="1:10" ht="30" customHeight="1" x14ac:dyDescent="0.25">
      <c r="A945" s="57"/>
      <c r="C945" s="28"/>
      <c r="G945" s="29"/>
      <c r="J945" s="58"/>
    </row>
    <row r="946" spans="1:10" ht="30" customHeight="1" x14ac:dyDescent="0.25">
      <c r="A946" s="57"/>
      <c r="C946" s="28"/>
      <c r="G946" s="29"/>
      <c r="J946" s="58"/>
    </row>
    <row r="947" spans="1:10" ht="30" customHeight="1" x14ac:dyDescent="0.25">
      <c r="A947" s="57"/>
      <c r="C947" s="28"/>
      <c r="G947" s="29"/>
      <c r="J947" s="58"/>
    </row>
    <row r="948" spans="1:10" ht="30" customHeight="1" x14ac:dyDescent="0.25">
      <c r="A948" s="57"/>
      <c r="C948" s="28"/>
      <c r="G948" s="29"/>
      <c r="J948" s="58"/>
    </row>
    <row r="949" spans="1:10" ht="30" customHeight="1" x14ac:dyDescent="0.25">
      <c r="A949" s="57"/>
      <c r="C949" s="28"/>
      <c r="G949" s="29"/>
      <c r="J949" s="58"/>
    </row>
    <row r="950" spans="1:10" ht="30" customHeight="1" x14ac:dyDescent="0.25">
      <c r="A950" s="57"/>
      <c r="C950" s="28"/>
      <c r="G950" s="29"/>
      <c r="J950" s="58"/>
    </row>
    <row r="951" spans="1:10" ht="30" customHeight="1" x14ac:dyDescent="0.25">
      <c r="A951" s="57"/>
      <c r="C951" s="28"/>
      <c r="G951" s="29"/>
      <c r="J951" s="58"/>
    </row>
    <row r="952" spans="1:10" ht="30" customHeight="1" x14ac:dyDescent="0.25">
      <c r="A952" s="57"/>
      <c r="C952" s="28"/>
      <c r="G952" s="29"/>
      <c r="J952" s="58"/>
    </row>
    <row r="953" spans="1:10" ht="30" customHeight="1" x14ac:dyDescent="0.25">
      <c r="A953" s="57"/>
      <c r="C953" s="28"/>
      <c r="G953" s="29"/>
      <c r="J953" s="58"/>
    </row>
    <row r="954" spans="1:10" ht="30" customHeight="1" x14ac:dyDescent="0.25">
      <c r="A954" s="57"/>
      <c r="C954" s="28"/>
      <c r="G954" s="29"/>
      <c r="J954" s="58"/>
    </row>
    <row r="955" spans="1:10" ht="30" customHeight="1" x14ac:dyDescent="0.25">
      <c r="A955" s="57"/>
      <c r="C955" s="28"/>
      <c r="G955" s="29"/>
      <c r="J955" s="58"/>
    </row>
    <row r="956" spans="1:10" ht="30" customHeight="1" x14ac:dyDescent="0.25">
      <c r="A956" s="57"/>
      <c r="C956" s="28"/>
      <c r="G956" s="29"/>
      <c r="J956" s="58"/>
    </row>
    <row r="957" spans="1:10" ht="30" customHeight="1" x14ac:dyDescent="0.25">
      <c r="A957" s="57"/>
      <c r="C957" s="28"/>
      <c r="G957" s="29"/>
      <c r="J957" s="58"/>
    </row>
    <row r="958" spans="1:10" ht="30" customHeight="1" x14ac:dyDescent="0.25">
      <c r="A958" s="57"/>
      <c r="C958" s="28"/>
      <c r="G958" s="29"/>
      <c r="J958" s="58"/>
    </row>
    <row r="959" spans="1:10" ht="30" customHeight="1" x14ac:dyDescent="0.25">
      <c r="A959" s="57"/>
      <c r="C959" s="28"/>
      <c r="G959" s="29"/>
      <c r="J959" s="58"/>
    </row>
    <row r="960" spans="1:10" ht="30" customHeight="1" x14ac:dyDescent="0.25">
      <c r="A960" s="57"/>
      <c r="C960" s="28"/>
      <c r="G960" s="29"/>
      <c r="J960" s="58"/>
    </row>
    <row r="961" spans="1:10" ht="30" customHeight="1" x14ac:dyDescent="0.25">
      <c r="A961" s="57"/>
      <c r="C961" s="28"/>
      <c r="G961" s="29"/>
      <c r="J961" s="58"/>
    </row>
    <row r="962" spans="1:10" ht="30" customHeight="1" x14ac:dyDescent="0.25">
      <c r="A962" s="57"/>
      <c r="C962" s="28"/>
      <c r="G962" s="29"/>
      <c r="J962" s="58"/>
    </row>
    <row r="963" spans="1:10" ht="30" customHeight="1" x14ac:dyDescent="0.25">
      <c r="A963" s="57"/>
      <c r="C963" s="28"/>
      <c r="G963" s="29"/>
      <c r="J963" s="58"/>
    </row>
    <row r="964" spans="1:10" ht="30" customHeight="1" x14ac:dyDescent="0.25">
      <c r="A964" s="57"/>
      <c r="C964" s="28"/>
      <c r="G964" s="29"/>
      <c r="J964" s="58"/>
    </row>
    <row r="965" spans="1:10" ht="30" customHeight="1" x14ac:dyDescent="0.25">
      <c r="A965" s="57"/>
      <c r="C965" s="28"/>
      <c r="G965" s="29"/>
      <c r="J965" s="58"/>
    </row>
    <row r="966" spans="1:10" ht="30" customHeight="1" x14ac:dyDescent="0.25">
      <c r="A966" s="57"/>
      <c r="C966" s="28"/>
      <c r="G966" s="29"/>
      <c r="J966" s="58"/>
    </row>
    <row r="967" spans="1:10" ht="30" customHeight="1" x14ac:dyDescent="0.25">
      <c r="A967" s="57"/>
      <c r="C967" s="28"/>
      <c r="G967" s="29"/>
      <c r="J967" s="58"/>
    </row>
    <row r="968" spans="1:10" ht="30" customHeight="1" x14ac:dyDescent="0.25">
      <c r="A968" s="57"/>
      <c r="C968" s="28"/>
      <c r="G968" s="29"/>
      <c r="J968" s="58"/>
    </row>
    <row r="969" spans="1:10" ht="30" customHeight="1" x14ac:dyDescent="0.25">
      <c r="A969" s="57"/>
      <c r="C969" s="28"/>
      <c r="G969" s="29"/>
      <c r="J969" s="58"/>
    </row>
    <row r="970" spans="1:10" ht="30" customHeight="1" x14ac:dyDescent="0.25">
      <c r="A970" s="57"/>
      <c r="C970" s="28"/>
      <c r="G970" s="29"/>
      <c r="J970" s="58"/>
    </row>
    <row r="971" spans="1:10" ht="30" customHeight="1" x14ac:dyDescent="0.25">
      <c r="A971" s="57"/>
      <c r="C971" s="28"/>
      <c r="G971" s="29"/>
      <c r="J971" s="58"/>
    </row>
    <row r="972" spans="1:10" ht="30" customHeight="1" x14ac:dyDescent="0.25">
      <c r="A972" s="57"/>
      <c r="C972" s="28"/>
      <c r="G972" s="29"/>
      <c r="J972" s="58"/>
    </row>
    <row r="973" spans="1:10" ht="30" customHeight="1" x14ac:dyDescent="0.25">
      <c r="A973" s="57"/>
      <c r="C973" s="28"/>
      <c r="G973" s="29"/>
      <c r="J973" s="58"/>
    </row>
    <row r="974" spans="1:10" ht="30" customHeight="1" x14ac:dyDescent="0.25">
      <c r="A974" s="57"/>
      <c r="C974" s="28"/>
      <c r="G974" s="29"/>
      <c r="J974" s="58"/>
    </row>
    <row r="975" spans="1:10" ht="30" customHeight="1" x14ac:dyDescent="0.25">
      <c r="A975" s="57"/>
      <c r="C975" s="28"/>
      <c r="G975" s="29"/>
      <c r="J975" s="58"/>
    </row>
    <row r="976" spans="1:10" ht="30" customHeight="1" x14ac:dyDescent="0.25">
      <c r="A976" s="57"/>
      <c r="C976" s="28"/>
      <c r="G976" s="29"/>
      <c r="J976" s="58"/>
    </row>
    <row r="977" spans="1:10" ht="30" customHeight="1" x14ac:dyDescent="0.25">
      <c r="A977" s="57"/>
      <c r="C977" s="28"/>
      <c r="G977" s="29"/>
      <c r="J977" s="58"/>
    </row>
    <row r="978" spans="1:10" ht="30" customHeight="1" x14ac:dyDescent="0.25">
      <c r="A978" s="57"/>
      <c r="C978" s="28"/>
      <c r="G978" s="29"/>
      <c r="J978" s="58"/>
    </row>
    <row r="979" spans="1:10" ht="30" customHeight="1" x14ac:dyDescent="0.25">
      <c r="A979" s="57"/>
      <c r="C979" s="28"/>
      <c r="G979" s="29"/>
      <c r="J979" s="58"/>
    </row>
    <row r="980" spans="1:10" ht="30" customHeight="1" x14ac:dyDescent="0.25">
      <c r="A980" s="57"/>
      <c r="C980" s="28"/>
      <c r="G980" s="29"/>
      <c r="J980" s="58"/>
    </row>
    <row r="981" spans="1:10" ht="30" customHeight="1" x14ac:dyDescent="0.25">
      <c r="A981" s="57"/>
      <c r="C981" s="28"/>
      <c r="G981" s="29"/>
      <c r="J981" s="58"/>
    </row>
    <row r="982" spans="1:10" ht="30" customHeight="1" x14ac:dyDescent="0.25">
      <c r="A982" s="57"/>
      <c r="C982" s="28"/>
      <c r="G982" s="29"/>
      <c r="J982" s="58"/>
    </row>
    <row r="983" spans="1:10" ht="30" customHeight="1" x14ac:dyDescent="0.25">
      <c r="A983" s="57"/>
      <c r="C983" s="28"/>
      <c r="G983" s="29"/>
      <c r="J983" s="58"/>
    </row>
    <row r="984" spans="1:10" ht="30" customHeight="1" x14ac:dyDescent="0.25">
      <c r="A984" s="57"/>
      <c r="C984" s="28"/>
      <c r="G984" s="29"/>
      <c r="J984" s="58"/>
    </row>
    <row r="985" spans="1:10" ht="30" customHeight="1" x14ac:dyDescent="0.25">
      <c r="A985" s="57"/>
      <c r="C985" s="28"/>
      <c r="G985" s="29"/>
      <c r="J985" s="58"/>
    </row>
    <row r="986" spans="1:10" ht="30" customHeight="1" x14ac:dyDescent="0.25">
      <c r="A986" s="57"/>
      <c r="C986" s="28"/>
      <c r="G986" s="29"/>
      <c r="J986" s="58"/>
    </row>
    <row r="987" spans="1:10" ht="30" customHeight="1" x14ac:dyDescent="0.25">
      <c r="A987" s="57"/>
      <c r="C987" s="28"/>
      <c r="G987" s="29"/>
      <c r="J987" s="58"/>
    </row>
    <row r="988" spans="1:10" ht="30" customHeight="1" x14ac:dyDescent="0.25">
      <c r="A988" s="57"/>
      <c r="C988" s="28"/>
      <c r="G988" s="29"/>
      <c r="J988" s="58"/>
    </row>
    <row r="989" spans="1:10" ht="30" customHeight="1" x14ac:dyDescent="0.25">
      <c r="A989" s="57"/>
      <c r="C989" s="28"/>
      <c r="G989" s="29"/>
      <c r="J989" s="58"/>
    </row>
    <row r="990" spans="1:10" ht="30" customHeight="1" x14ac:dyDescent="0.25">
      <c r="A990" s="57"/>
      <c r="C990" s="28"/>
      <c r="G990" s="29"/>
      <c r="J990" s="58"/>
    </row>
    <row r="991" spans="1:10" ht="30" customHeight="1" x14ac:dyDescent="0.25">
      <c r="A991" s="57"/>
      <c r="C991" s="28"/>
      <c r="G991" s="29"/>
      <c r="J991" s="58"/>
    </row>
    <row r="992" spans="1:10" ht="30" customHeight="1" x14ac:dyDescent="0.25">
      <c r="A992" s="57"/>
      <c r="C992" s="28"/>
      <c r="G992" s="29"/>
      <c r="J992" s="58"/>
    </row>
    <row r="993" spans="1:10" ht="30" customHeight="1" x14ac:dyDescent="0.25">
      <c r="A993" s="57"/>
      <c r="C993" s="28"/>
      <c r="G993" s="29"/>
      <c r="J993" s="58"/>
    </row>
    <row r="994" spans="1:10" ht="30" customHeight="1" x14ac:dyDescent="0.25">
      <c r="A994" s="57"/>
      <c r="C994" s="28"/>
      <c r="G994" s="29"/>
      <c r="J994" s="58"/>
    </row>
    <row r="995" spans="1:10" ht="30" customHeight="1" x14ac:dyDescent="0.25">
      <c r="A995" s="57"/>
      <c r="C995" s="28"/>
      <c r="G995" s="29"/>
      <c r="J995" s="58"/>
    </row>
    <row r="996" spans="1:10" ht="30" customHeight="1" x14ac:dyDescent="0.25">
      <c r="A996" s="57"/>
      <c r="C996" s="28"/>
      <c r="G996" s="29"/>
      <c r="J996" s="58"/>
    </row>
    <row r="997" spans="1:10" ht="30" customHeight="1" x14ac:dyDescent="0.25">
      <c r="A997" s="57"/>
      <c r="C997" s="28"/>
      <c r="G997" s="29"/>
      <c r="J997" s="58"/>
    </row>
    <row r="998" spans="1:10" ht="30" customHeight="1" x14ac:dyDescent="0.25">
      <c r="A998" s="57"/>
      <c r="C998" s="28"/>
      <c r="G998" s="29"/>
      <c r="J998" s="58"/>
    </row>
    <row r="999" spans="1:10" ht="30" customHeight="1" x14ac:dyDescent="0.25">
      <c r="A999" s="57"/>
      <c r="C999" s="28"/>
      <c r="G999" s="29"/>
      <c r="J999" s="58"/>
    </row>
    <row r="1000" spans="1:10" ht="30" customHeight="1" x14ac:dyDescent="0.25">
      <c r="A1000" s="57"/>
      <c r="C1000" s="28"/>
      <c r="G1000" s="29"/>
      <c r="J1000" s="58"/>
    </row>
    <row r="1001" spans="1:10" ht="30" customHeight="1" x14ac:dyDescent="0.25">
      <c r="A1001" s="57"/>
      <c r="C1001" s="28"/>
      <c r="G1001" s="29"/>
      <c r="J1001" s="58"/>
    </row>
    <row r="1002" spans="1:10" ht="30" customHeight="1" x14ac:dyDescent="0.25">
      <c r="A1002" s="57"/>
      <c r="C1002" s="28"/>
      <c r="G1002" s="29"/>
      <c r="J1002" s="58"/>
    </row>
    <row r="1003" spans="1:10" ht="30" customHeight="1" x14ac:dyDescent="0.25">
      <c r="A1003" s="57"/>
      <c r="C1003" s="28"/>
      <c r="G1003" s="29"/>
      <c r="J1003" s="58"/>
    </row>
    <row r="1004" spans="1:10" ht="30" customHeight="1" x14ac:dyDescent="0.25">
      <c r="A1004" s="57"/>
      <c r="C1004" s="28"/>
      <c r="G1004" s="29"/>
      <c r="J1004" s="58"/>
    </row>
    <row r="1005" spans="1:10" ht="30" customHeight="1" x14ac:dyDescent="0.25">
      <c r="A1005" s="57"/>
      <c r="C1005" s="28"/>
      <c r="G1005" s="29"/>
      <c r="J1005" s="58"/>
    </row>
    <row r="1006" spans="1:10" ht="30" customHeight="1" x14ac:dyDescent="0.25">
      <c r="A1006" s="57"/>
      <c r="C1006" s="28"/>
      <c r="G1006" s="29"/>
      <c r="J1006" s="58"/>
    </row>
    <row r="1007" spans="1:10" ht="30" customHeight="1" x14ac:dyDescent="0.25">
      <c r="A1007" s="57"/>
      <c r="C1007" s="28"/>
      <c r="G1007" s="29"/>
      <c r="J1007" s="58"/>
    </row>
    <row r="1008" spans="1:10" ht="30" customHeight="1" x14ac:dyDescent="0.25">
      <c r="A1008" s="57"/>
      <c r="C1008" s="28"/>
      <c r="G1008" s="29"/>
      <c r="J1008" s="58"/>
    </row>
    <row r="1009" spans="1:10" ht="30" customHeight="1" x14ac:dyDescent="0.25">
      <c r="A1009" s="57"/>
      <c r="C1009" s="28"/>
      <c r="G1009" s="29"/>
      <c r="J1009" s="58"/>
    </row>
    <row r="1010" spans="1:10" ht="30" customHeight="1" x14ac:dyDescent="0.25">
      <c r="A1010" s="57"/>
      <c r="C1010" s="28"/>
      <c r="G1010" s="29"/>
      <c r="J1010" s="58"/>
    </row>
    <row r="1011" spans="1:10" ht="30" customHeight="1" x14ac:dyDescent="0.25">
      <c r="A1011" s="57"/>
      <c r="C1011" s="28"/>
      <c r="G1011" s="29"/>
      <c r="J1011" s="58"/>
    </row>
    <row r="1012" spans="1:10" ht="30" customHeight="1" x14ac:dyDescent="0.25">
      <c r="A1012" s="57"/>
      <c r="C1012" s="28"/>
      <c r="G1012" s="29"/>
      <c r="J1012" s="58"/>
    </row>
    <row r="1013" spans="1:10" ht="30" customHeight="1" x14ac:dyDescent="0.25">
      <c r="A1013" s="57"/>
      <c r="C1013" s="28"/>
      <c r="G1013" s="29"/>
      <c r="J1013" s="58"/>
    </row>
    <row r="1014" spans="1:10" ht="30" customHeight="1" x14ac:dyDescent="0.25">
      <c r="A1014" s="57"/>
      <c r="C1014" s="28"/>
      <c r="G1014" s="29"/>
      <c r="J1014" s="58"/>
    </row>
    <row r="1015" spans="1:10" ht="30" customHeight="1" x14ac:dyDescent="0.25">
      <c r="A1015" s="57"/>
      <c r="C1015" s="28"/>
      <c r="G1015" s="29"/>
      <c r="J1015" s="58"/>
    </row>
    <row r="1016" spans="1:10" ht="30" customHeight="1" x14ac:dyDescent="0.25">
      <c r="A1016" s="57"/>
      <c r="C1016" s="28"/>
      <c r="G1016" s="29"/>
      <c r="J1016" s="58"/>
    </row>
    <row r="1017" spans="1:10" ht="30" customHeight="1" x14ac:dyDescent="0.25">
      <c r="A1017" s="57"/>
      <c r="C1017" s="28"/>
      <c r="G1017" s="29"/>
      <c r="J1017" s="58"/>
    </row>
    <row r="1018" spans="1:10" ht="30" customHeight="1" x14ac:dyDescent="0.25">
      <c r="A1018" s="57"/>
      <c r="C1018" s="28"/>
      <c r="G1018" s="29"/>
      <c r="J1018" s="58"/>
    </row>
    <row r="1019" spans="1:10" ht="30" customHeight="1" x14ac:dyDescent="0.25">
      <c r="A1019" s="57"/>
      <c r="C1019" s="28"/>
      <c r="G1019" s="29"/>
      <c r="J1019" s="58"/>
    </row>
    <row r="1020" spans="1:10" ht="30" customHeight="1" x14ac:dyDescent="0.25">
      <c r="A1020" s="57"/>
      <c r="C1020" s="28"/>
      <c r="G1020" s="29"/>
      <c r="J1020" s="58"/>
    </row>
    <row r="1021" spans="1:10" ht="30" customHeight="1" x14ac:dyDescent="0.25">
      <c r="A1021" s="57"/>
      <c r="C1021" s="28"/>
      <c r="G1021" s="29"/>
      <c r="J1021" s="58"/>
    </row>
    <row r="1022" spans="1:10" ht="30" customHeight="1" x14ac:dyDescent="0.25">
      <c r="A1022" s="57"/>
      <c r="C1022" s="28"/>
      <c r="G1022" s="29"/>
      <c r="J1022" s="58"/>
    </row>
    <row r="1023" spans="1:10" ht="30" customHeight="1" x14ac:dyDescent="0.25">
      <c r="A1023" s="57"/>
      <c r="C1023" s="28"/>
      <c r="G1023" s="29"/>
      <c r="J1023" s="58"/>
    </row>
    <row r="1024" spans="1:10" ht="30" customHeight="1" x14ac:dyDescent="0.25">
      <c r="A1024" s="57"/>
      <c r="C1024" s="28"/>
      <c r="G1024" s="29"/>
      <c r="J1024" s="58"/>
    </row>
    <row r="1025" spans="1:10" ht="30" customHeight="1" x14ac:dyDescent="0.25">
      <c r="A1025" s="57"/>
      <c r="C1025" s="28"/>
      <c r="G1025" s="29"/>
      <c r="J1025" s="58"/>
    </row>
    <row r="1026" spans="1:10" ht="30" customHeight="1" x14ac:dyDescent="0.25">
      <c r="A1026" s="57"/>
      <c r="C1026" s="28"/>
      <c r="G1026" s="29"/>
      <c r="J1026" s="58"/>
    </row>
    <row r="1027" spans="1:10" ht="30" customHeight="1" x14ac:dyDescent="0.25">
      <c r="A1027" s="57"/>
      <c r="C1027" s="28"/>
      <c r="G1027" s="29"/>
      <c r="J1027" s="58"/>
    </row>
    <row r="1028" spans="1:10" ht="30" customHeight="1" x14ac:dyDescent="0.25">
      <c r="A1028" s="57"/>
      <c r="C1028" s="28"/>
      <c r="G1028" s="29"/>
      <c r="J1028" s="58"/>
    </row>
    <row r="1029" spans="1:10" ht="30" customHeight="1" x14ac:dyDescent="0.25">
      <c r="A1029" s="57"/>
      <c r="C1029" s="28"/>
      <c r="G1029" s="29"/>
      <c r="J1029" s="58"/>
    </row>
    <row r="1030" spans="1:10" ht="30" customHeight="1" x14ac:dyDescent="0.25">
      <c r="A1030" s="57"/>
      <c r="C1030" s="28"/>
      <c r="G1030" s="29"/>
      <c r="J1030" s="58"/>
    </row>
    <row r="1031" spans="1:10" ht="30" customHeight="1" x14ac:dyDescent="0.25">
      <c r="A1031" s="57"/>
      <c r="C1031" s="28"/>
      <c r="G1031" s="29"/>
      <c r="J1031" s="58"/>
    </row>
    <row r="1032" spans="1:10" ht="30" customHeight="1" x14ac:dyDescent="0.25">
      <c r="A1032" s="57"/>
      <c r="C1032" s="28"/>
      <c r="G1032" s="29"/>
      <c r="J1032" s="58"/>
    </row>
    <row r="1033" spans="1:10" ht="30" customHeight="1" x14ac:dyDescent="0.25">
      <c r="A1033" s="57"/>
      <c r="C1033" s="28"/>
      <c r="G1033" s="29"/>
      <c r="J1033" s="58"/>
    </row>
  </sheetData>
  <sheetProtection selectLockedCells="1" selectUnlockedCells="1"/>
  <dataConsolidate/>
  <mergeCells count="3">
    <mergeCell ref="A2:C2"/>
    <mergeCell ref="E2:G2"/>
    <mergeCell ref="A1:G1"/>
  </mergeCells>
  <pageMargins left="0.7" right="0.7" top="0.78740157499999996" bottom="0.78740157499999996" header="0.3" footer="0.3"/>
  <pageSetup paperSize="9" scale="33" orientation="portrait" horizontalDpi="200" verticalDpi="200" r:id="rId1"/>
  <rowBreaks count="1" manualBreakCount="1">
    <brk id="30" max="16383"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95881-3479-4A0E-A4AD-78C114999077}">
  <sheetPr codeName="Tabelle5"/>
  <dimension ref="A1:V6"/>
  <sheetViews>
    <sheetView showRowColHeaders="0" workbookViewId="0">
      <pane ySplit="4" topLeftCell="A5" activePane="bottomLeft" state="frozen"/>
      <selection pane="bottomLeft" sqref="A1:XFD1048576"/>
    </sheetView>
  </sheetViews>
  <sheetFormatPr baseColWidth="10" defaultRowHeight="20.100000000000001" customHeight="1" x14ac:dyDescent="0.25"/>
  <cols>
    <col min="1" max="1" width="20.28515625" style="41" customWidth="1"/>
    <col min="2" max="2" width="11.42578125" style="44"/>
    <col min="3" max="3" width="11.42578125" style="42"/>
    <col min="4" max="4" width="11.42578125" style="47"/>
    <col min="5" max="5" width="11.42578125" style="44"/>
    <col min="6" max="6" width="11.42578125" style="42"/>
    <col min="7" max="7" width="11.42578125" style="47"/>
    <col min="8" max="8" width="11.42578125" style="44"/>
    <col min="9" max="9" width="11.42578125" style="42" customWidth="1"/>
    <col min="10" max="10" width="11.42578125" style="47" customWidth="1"/>
    <col min="11" max="11" width="11.42578125" style="44" customWidth="1"/>
    <col min="12" max="12" width="11.42578125" style="42"/>
    <col min="13" max="13" width="11.42578125" style="47"/>
    <col min="14" max="14" width="11.42578125" style="44"/>
    <col min="15" max="15" width="11.42578125" style="42"/>
    <col min="16" max="16" width="11.42578125" style="47"/>
    <col min="17" max="17" width="11.42578125" style="44"/>
    <col min="18" max="18" width="11.42578125" style="42"/>
    <col min="19" max="19" width="11.42578125" style="47"/>
    <col min="20" max="20" width="11.42578125" style="44"/>
    <col min="21" max="21" width="11.42578125" style="42"/>
    <col min="22" max="22" width="11.42578125" style="47"/>
    <col min="23" max="16384" width="11.42578125" style="40"/>
  </cols>
  <sheetData>
    <row r="1" spans="1:22" ht="59.25" customHeight="1" x14ac:dyDescent="0.25">
      <c r="B1" s="43"/>
      <c r="C1" s="40"/>
      <c r="D1" s="46"/>
      <c r="E1" s="43"/>
      <c r="F1" s="40"/>
      <c r="G1" s="46"/>
      <c r="H1" s="43"/>
      <c r="I1" s="40"/>
      <c r="J1" s="46"/>
      <c r="K1" s="43"/>
      <c r="L1" s="40"/>
      <c r="M1" s="46"/>
      <c r="N1" s="43"/>
      <c r="O1" s="40"/>
      <c r="P1" s="46"/>
      <c r="Q1" s="43"/>
      <c r="R1" s="40"/>
      <c r="S1" s="46"/>
      <c r="T1" s="43"/>
      <c r="U1" s="40"/>
      <c r="V1" s="46"/>
    </row>
    <row r="2" spans="1:22" ht="15" x14ac:dyDescent="0.25">
      <c r="B2" s="43"/>
      <c r="C2" s="40"/>
      <c r="D2" s="46"/>
      <c r="E2" s="43"/>
      <c r="F2" s="40"/>
      <c r="G2" s="46"/>
      <c r="H2" s="43"/>
      <c r="I2" s="40"/>
      <c r="J2" s="46"/>
      <c r="K2" s="43"/>
      <c r="L2" s="40"/>
      <c r="M2" s="46"/>
      <c r="N2" s="43"/>
      <c r="O2" s="40"/>
      <c r="P2" s="46"/>
      <c r="Q2" s="43"/>
      <c r="R2" s="40"/>
      <c r="S2" s="46"/>
      <c r="T2" s="43"/>
      <c r="U2" s="40"/>
      <c r="V2" s="46"/>
    </row>
    <row r="3" spans="1:22" s="50" customFormat="1" ht="18.75" x14ac:dyDescent="0.25">
      <c r="A3" s="48"/>
      <c r="B3" s="49"/>
      <c r="D3" s="51"/>
      <c r="E3" s="49"/>
      <c r="G3" s="51"/>
      <c r="H3" s="49"/>
      <c r="J3" s="51"/>
      <c r="K3" s="49"/>
      <c r="M3" s="51"/>
      <c r="N3" s="49"/>
      <c r="P3" s="51"/>
      <c r="Q3" s="49"/>
      <c r="S3" s="51"/>
      <c r="T3" s="49"/>
      <c r="V3" s="51"/>
    </row>
    <row r="4" spans="1:22" ht="15" x14ac:dyDescent="0.25">
      <c r="B4" s="43"/>
      <c r="C4" s="40"/>
      <c r="D4" s="46"/>
      <c r="E4" s="43"/>
      <c r="F4" s="40"/>
      <c r="G4" s="46"/>
      <c r="H4" s="43"/>
      <c r="I4" s="40"/>
      <c r="J4" s="46"/>
      <c r="K4" s="43"/>
      <c r="L4" s="40"/>
      <c r="M4" s="46"/>
      <c r="N4" s="43"/>
      <c r="O4" s="40"/>
      <c r="P4" s="46"/>
      <c r="Q4" s="43"/>
      <c r="R4" s="40"/>
      <c r="S4" s="46"/>
      <c r="T4" s="43"/>
      <c r="U4" s="40"/>
      <c r="V4" s="46"/>
    </row>
    <row r="6" spans="1:22" ht="20.100000000000001" customHeight="1" x14ac:dyDescent="0.25">
      <c r="H6" s="45"/>
    </row>
  </sheetData>
  <dataConsolidate/>
  <pageMargins left="0.7" right="0.7" top="0.78740157499999996" bottom="0.78740157499999996" header="0.3" footer="0.3"/>
  <pageSetup paperSize="9"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4D7AE-4983-4346-84AE-B3E633AFD26B}">
  <sheetPr codeName="Tabelle4"/>
  <dimension ref="A1"/>
  <sheetViews>
    <sheetView topLeftCell="G1" workbookViewId="0"/>
  </sheetViews>
  <sheetFormatPr baseColWidth="10" defaultRowHeight="15" x14ac:dyDescent="0.25"/>
  <cols>
    <col min="1" max="16384" width="11.42578125" style="3"/>
  </cols>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35195-572D-4657-B2F1-865682885985}">
  <sheetPr codeName="Tabelle7"/>
  <dimension ref="A1:B4"/>
  <sheetViews>
    <sheetView showRowColHeaders="0" workbookViewId="0">
      <selection activeCell="B6" sqref="B6"/>
    </sheetView>
  </sheetViews>
  <sheetFormatPr baseColWidth="10" defaultRowHeight="15" x14ac:dyDescent="0.25"/>
  <cols>
    <col min="1" max="1" width="16.85546875" style="53" customWidth="1"/>
    <col min="2" max="2" width="121" style="53" customWidth="1"/>
    <col min="3" max="16384" width="11.42578125" style="53"/>
  </cols>
  <sheetData>
    <row r="1" spans="1:2" x14ac:dyDescent="0.25">
      <c r="A1" s="53" t="s">
        <v>45</v>
      </c>
      <c r="B1" s="53" t="s">
        <v>46</v>
      </c>
    </row>
    <row r="2" spans="1:2" x14ac:dyDescent="0.25">
      <c r="A2" s="53" t="s">
        <v>47</v>
      </c>
      <c r="B2" s="54" t="s">
        <v>75</v>
      </c>
    </row>
    <row r="3" spans="1:2" x14ac:dyDescent="0.25">
      <c r="A3" s="53" t="s">
        <v>48</v>
      </c>
      <c r="B3" s="54" t="s">
        <v>76</v>
      </c>
    </row>
    <row r="4" spans="1:2" x14ac:dyDescent="0.25">
      <c r="A4" s="53" t="s">
        <v>49</v>
      </c>
      <c r="B4" s="54" t="s">
        <v>77</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back_from_pfad">
                <anchor moveWithCells="1" sizeWithCells="1">
                  <from>
                    <xdr:col>1</xdr:col>
                    <xdr:colOff>1162050</xdr:colOff>
                    <xdr:row>8</xdr:row>
                    <xdr:rowOff>76200</xdr:rowOff>
                  </from>
                  <to>
                    <xdr:col>1</xdr:col>
                    <xdr:colOff>5724525</xdr:colOff>
                    <xdr:row>13</xdr:row>
                    <xdr:rowOff>171450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5849C95-7644-4DFF-A5F7-06B874EDE4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Data</vt:lpstr>
      <vt:lpstr>Analyse</vt:lpstr>
      <vt:lpstr>Dashboard</vt:lpstr>
      <vt:lpstr>Anzeige</vt:lpstr>
      <vt:lpstr>Vergleich</vt:lpstr>
      <vt:lpstr>Ver_Anzeige</vt:lpstr>
      <vt:lpstr>Durchschnitt</vt:lpstr>
      <vt:lpstr>Vergleich_custom</vt:lpstr>
      <vt:lpstr>Pfade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Lukas Reinert</dc:creator>
  <cp:lastModifiedBy>Lukas Reinert</cp:lastModifiedBy>
  <dcterms:created xsi:type="dcterms:W3CDTF">2023-10-11T20:17:48Z</dcterms:created>
  <dcterms:modified xsi:type="dcterms:W3CDTF">2023-11-23T22:23:31Z</dcterms:modified>
</cp:coreProperties>
</file>